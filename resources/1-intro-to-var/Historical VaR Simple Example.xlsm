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8209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davisvaughan/Google Drive/UNCC/10thSemesterClasses/uncc-finn-6216/resources/1-intro-to-var/"/>
    </mc:Choice>
  </mc:AlternateContent>
  <bookViews>
    <workbookView xWindow="0" yWindow="460" windowWidth="28800" windowHeight="12140"/>
  </bookViews>
  <sheets>
    <sheet name="Sheet1" sheetId="1" r:id="rId1"/>
    <sheet name="Sheet2" sheetId="2" r:id="rId2"/>
    <sheet name="Sheet3" sheetId="3" r:id="rId3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" i="1" l="1"/>
  <c r="B12" i="1"/>
  <c r="B26" i="1"/>
  <c r="B25" i="1"/>
  <c r="B10" i="1"/>
  <c r="L2" i="1"/>
  <c r="B24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B30" i="1"/>
  <c r="B23" i="1"/>
  <c r="B27" i="1"/>
  <c r="B28" i="1"/>
  <c r="B22" i="1"/>
  <c r="B17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" i="1"/>
  <c r="O3" i="1"/>
  <c r="P3" i="1"/>
  <c r="Q3" i="1"/>
  <c r="O4" i="1"/>
  <c r="P4" i="1"/>
  <c r="Q4" i="1"/>
  <c r="O5" i="1"/>
  <c r="P5" i="1"/>
  <c r="Q5" i="1"/>
  <c r="O6" i="1"/>
  <c r="P6" i="1"/>
  <c r="Q6" i="1"/>
  <c r="O7" i="1"/>
  <c r="P7" i="1"/>
  <c r="Q7" i="1"/>
  <c r="O8" i="1"/>
  <c r="P8" i="1"/>
  <c r="Q8" i="1"/>
  <c r="O9" i="1"/>
  <c r="P9" i="1"/>
  <c r="Q9" i="1"/>
  <c r="O10" i="1"/>
  <c r="P10" i="1"/>
  <c r="Q10" i="1"/>
  <c r="O11" i="1"/>
  <c r="P11" i="1"/>
  <c r="Q11" i="1"/>
  <c r="O12" i="1"/>
  <c r="P12" i="1"/>
  <c r="Q12" i="1"/>
  <c r="O13" i="1"/>
  <c r="P13" i="1"/>
  <c r="Q13" i="1"/>
  <c r="O14" i="1"/>
  <c r="P14" i="1"/>
  <c r="Q14" i="1"/>
  <c r="O15" i="1"/>
  <c r="P15" i="1"/>
  <c r="Q15" i="1"/>
  <c r="O16" i="1"/>
  <c r="P16" i="1"/>
  <c r="Q16" i="1"/>
  <c r="O17" i="1"/>
  <c r="P17" i="1"/>
  <c r="Q17" i="1"/>
  <c r="O18" i="1"/>
  <c r="P18" i="1"/>
  <c r="Q18" i="1"/>
  <c r="O19" i="1"/>
  <c r="P19" i="1"/>
  <c r="Q19" i="1"/>
  <c r="O20" i="1"/>
  <c r="P20" i="1"/>
  <c r="Q20" i="1"/>
  <c r="O21" i="1"/>
  <c r="P21" i="1"/>
  <c r="Q21" i="1"/>
  <c r="O22" i="1"/>
  <c r="P22" i="1"/>
  <c r="Q22" i="1"/>
  <c r="O23" i="1"/>
  <c r="P23" i="1"/>
  <c r="Q23" i="1"/>
  <c r="O24" i="1"/>
  <c r="P24" i="1"/>
  <c r="Q24" i="1"/>
  <c r="O25" i="1"/>
  <c r="P25" i="1"/>
  <c r="Q25" i="1"/>
  <c r="O26" i="1"/>
  <c r="P26" i="1"/>
  <c r="Q26" i="1"/>
  <c r="O27" i="1"/>
  <c r="P27" i="1"/>
  <c r="Q27" i="1"/>
  <c r="O28" i="1"/>
  <c r="P28" i="1"/>
  <c r="Q28" i="1"/>
  <c r="O29" i="1"/>
  <c r="P29" i="1"/>
  <c r="Q29" i="1"/>
  <c r="O30" i="1"/>
  <c r="P30" i="1"/>
  <c r="Q30" i="1"/>
  <c r="O31" i="1"/>
  <c r="P31" i="1"/>
  <c r="Q31" i="1"/>
  <c r="O32" i="1"/>
  <c r="P32" i="1"/>
  <c r="Q32" i="1"/>
  <c r="O33" i="1"/>
  <c r="P33" i="1"/>
  <c r="Q33" i="1"/>
  <c r="O34" i="1"/>
  <c r="P34" i="1"/>
  <c r="Q34" i="1"/>
  <c r="O35" i="1"/>
  <c r="P35" i="1"/>
  <c r="Q35" i="1"/>
  <c r="O36" i="1"/>
  <c r="P36" i="1"/>
  <c r="Q36" i="1"/>
  <c r="O37" i="1"/>
  <c r="P37" i="1"/>
  <c r="Q37" i="1"/>
  <c r="O38" i="1"/>
  <c r="P38" i="1"/>
  <c r="Q38" i="1"/>
  <c r="O39" i="1"/>
  <c r="P39" i="1"/>
  <c r="Q39" i="1"/>
  <c r="O40" i="1"/>
  <c r="P40" i="1"/>
  <c r="Q40" i="1"/>
  <c r="O41" i="1"/>
  <c r="P41" i="1"/>
  <c r="Q41" i="1"/>
  <c r="O42" i="1"/>
  <c r="P42" i="1"/>
  <c r="Q42" i="1"/>
  <c r="O43" i="1"/>
  <c r="P43" i="1"/>
  <c r="Q43" i="1"/>
  <c r="O44" i="1"/>
  <c r="P44" i="1"/>
  <c r="Q44" i="1"/>
  <c r="O45" i="1"/>
  <c r="P45" i="1"/>
  <c r="Q45" i="1"/>
  <c r="O46" i="1"/>
  <c r="P46" i="1"/>
  <c r="Q46" i="1"/>
  <c r="O47" i="1"/>
  <c r="P47" i="1"/>
  <c r="Q47" i="1"/>
  <c r="O48" i="1"/>
  <c r="P48" i="1"/>
  <c r="Q48" i="1"/>
  <c r="O49" i="1"/>
  <c r="P49" i="1"/>
  <c r="Q49" i="1"/>
  <c r="O50" i="1"/>
  <c r="P50" i="1"/>
  <c r="Q50" i="1"/>
  <c r="O51" i="1"/>
  <c r="P51" i="1"/>
  <c r="Q51" i="1"/>
  <c r="O52" i="1"/>
  <c r="P52" i="1"/>
  <c r="Q52" i="1"/>
  <c r="O53" i="1"/>
  <c r="P53" i="1"/>
  <c r="Q53" i="1"/>
  <c r="O54" i="1"/>
  <c r="P54" i="1"/>
  <c r="Q54" i="1"/>
  <c r="O55" i="1"/>
  <c r="P55" i="1"/>
  <c r="Q55" i="1"/>
  <c r="O56" i="1"/>
  <c r="P56" i="1"/>
  <c r="Q56" i="1"/>
  <c r="O57" i="1"/>
  <c r="P57" i="1"/>
  <c r="Q57" i="1"/>
  <c r="O58" i="1"/>
  <c r="P58" i="1"/>
  <c r="Q58" i="1"/>
  <c r="O59" i="1"/>
  <c r="P59" i="1"/>
  <c r="Q59" i="1"/>
  <c r="O60" i="1"/>
  <c r="P60" i="1"/>
  <c r="Q60" i="1"/>
  <c r="O61" i="1"/>
  <c r="P61" i="1"/>
  <c r="Q61" i="1"/>
  <c r="O62" i="1"/>
  <c r="P62" i="1"/>
  <c r="Q62" i="1"/>
  <c r="O63" i="1"/>
  <c r="P63" i="1"/>
  <c r="Q63" i="1"/>
  <c r="O64" i="1"/>
  <c r="P64" i="1"/>
  <c r="Q64" i="1"/>
  <c r="O65" i="1"/>
  <c r="P65" i="1"/>
  <c r="Q65" i="1"/>
  <c r="O66" i="1"/>
  <c r="P66" i="1"/>
  <c r="Q66" i="1"/>
  <c r="O67" i="1"/>
  <c r="P67" i="1"/>
  <c r="Q67" i="1"/>
  <c r="O68" i="1"/>
  <c r="P68" i="1"/>
  <c r="Q68" i="1"/>
  <c r="O69" i="1"/>
  <c r="P69" i="1"/>
  <c r="Q69" i="1"/>
  <c r="O70" i="1"/>
  <c r="P70" i="1"/>
  <c r="Q70" i="1"/>
  <c r="O71" i="1"/>
  <c r="P71" i="1"/>
  <c r="Q71" i="1"/>
  <c r="O72" i="1"/>
  <c r="P72" i="1"/>
  <c r="Q72" i="1"/>
  <c r="O73" i="1"/>
  <c r="P73" i="1"/>
  <c r="Q73" i="1"/>
  <c r="O74" i="1"/>
  <c r="P74" i="1"/>
  <c r="Q74" i="1"/>
  <c r="O75" i="1"/>
  <c r="P75" i="1"/>
  <c r="Q75" i="1"/>
  <c r="O76" i="1"/>
  <c r="P76" i="1"/>
  <c r="Q76" i="1"/>
  <c r="O77" i="1"/>
  <c r="P77" i="1"/>
  <c r="Q77" i="1"/>
  <c r="O78" i="1"/>
  <c r="P78" i="1"/>
  <c r="Q78" i="1"/>
  <c r="O79" i="1"/>
  <c r="P79" i="1"/>
  <c r="Q79" i="1"/>
  <c r="O80" i="1"/>
  <c r="P80" i="1"/>
  <c r="Q80" i="1"/>
  <c r="O81" i="1"/>
  <c r="P81" i="1"/>
  <c r="Q81" i="1"/>
  <c r="O82" i="1"/>
  <c r="P82" i="1"/>
  <c r="Q82" i="1"/>
  <c r="O83" i="1"/>
  <c r="P83" i="1"/>
  <c r="Q83" i="1"/>
  <c r="O84" i="1"/>
  <c r="P84" i="1"/>
  <c r="Q84" i="1"/>
  <c r="O85" i="1"/>
  <c r="P85" i="1"/>
  <c r="Q85" i="1"/>
  <c r="O86" i="1"/>
  <c r="P86" i="1"/>
  <c r="Q86" i="1"/>
  <c r="O87" i="1"/>
  <c r="P87" i="1"/>
  <c r="Q87" i="1"/>
  <c r="O88" i="1"/>
  <c r="P88" i="1"/>
  <c r="Q88" i="1"/>
  <c r="O89" i="1"/>
  <c r="P89" i="1"/>
  <c r="Q89" i="1"/>
  <c r="O90" i="1"/>
  <c r="P90" i="1"/>
  <c r="Q90" i="1"/>
  <c r="O91" i="1"/>
  <c r="P91" i="1"/>
  <c r="Q91" i="1"/>
  <c r="O92" i="1"/>
  <c r="P92" i="1"/>
  <c r="Q92" i="1"/>
  <c r="O93" i="1"/>
  <c r="P93" i="1"/>
  <c r="Q93" i="1"/>
  <c r="O94" i="1"/>
  <c r="P94" i="1"/>
  <c r="Q94" i="1"/>
  <c r="O95" i="1"/>
  <c r="P95" i="1"/>
  <c r="Q95" i="1"/>
  <c r="O96" i="1"/>
  <c r="P96" i="1"/>
  <c r="Q96" i="1"/>
  <c r="O97" i="1"/>
  <c r="P97" i="1"/>
  <c r="Q97" i="1"/>
  <c r="O98" i="1"/>
  <c r="P98" i="1"/>
  <c r="Q98" i="1"/>
  <c r="O99" i="1"/>
  <c r="P99" i="1"/>
  <c r="Q99" i="1"/>
  <c r="O100" i="1"/>
  <c r="P100" i="1"/>
  <c r="Q100" i="1"/>
  <c r="O101" i="1"/>
  <c r="P101" i="1"/>
  <c r="Q101" i="1"/>
  <c r="O102" i="1"/>
  <c r="P102" i="1"/>
  <c r="Q102" i="1"/>
  <c r="O103" i="1"/>
  <c r="P103" i="1"/>
  <c r="Q103" i="1"/>
  <c r="O104" i="1"/>
  <c r="P104" i="1"/>
  <c r="Q104" i="1"/>
  <c r="O105" i="1"/>
  <c r="P105" i="1"/>
  <c r="Q105" i="1"/>
  <c r="O106" i="1"/>
  <c r="P106" i="1"/>
  <c r="Q106" i="1"/>
  <c r="O107" i="1"/>
  <c r="P107" i="1"/>
  <c r="Q107" i="1"/>
  <c r="O108" i="1"/>
  <c r="P108" i="1"/>
  <c r="Q108" i="1"/>
  <c r="O109" i="1"/>
  <c r="P109" i="1"/>
  <c r="Q109" i="1"/>
  <c r="O110" i="1"/>
  <c r="P110" i="1"/>
  <c r="Q110" i="1"/>
  <c r="O111" i="1"/>
  <c r="P111" i="1"/>
  <c r="Q111" i="1"/>
  <c r="O112" i="1"/>
  <c r="P112" i="1"/>
  <c r="Q112" i="1"/>
  <c r="O113" i="1"/>
  <c r="P113" i="1"/>
  <c r="Q113" i="1"/>
  <c r="O114" i="1"/>
  <c r="P114" i="1"/>
  <c r="Q114" i="1"/>
  <c r="O115" i="1"/>
  <c r="P115" i="1"/>
  <c r="Q115" i="1"/>
  <c r="O116" i="1"/>
  <c r="P116" i="1"/>
  <c r="Q116" i="1"/>
  <c r="O117" i="1"/>
  <c r="P117" i="1"/>
  <c r="Q117" i="1"/>
  <c r="O118" i="1"/>
  <c r="P118" i="1"/>
  <c r="Q118" i="1"/>
  <c r="O119" i="1"/>
  <c r="P119" i="1"/>
  <c r="Q119" i="1"/>
  <c r="O120" i="1"/>
  <c r="P120" i="1"/>
  <c r="Q120" i="1"/>
  <c r="O121" i="1"/>
  <c r="P121" i="1"/>
  <c r="Q121" i="1"/>
  <c r="O122" i="1"/>
  <c r="P122" i="1"/>
  <c r="Q122" i="1"/>
  <c r="O123" i="1"/>
  <c r="P123" i="1"/>
  <c r="Q123" i="1"/>
  <c r="O124" i="1"/>
  <c r="P124" i="1"/>
  <c r="Q124" i="1"/>
  <c r="O125" i="1"/>
  <c r="P125" i="1"/>
  <c r="Q125" i="1"/>
  <c r="O126" i="1"/>
  <c r="P126" i="1"/>
  <c r="Q126" i="1"/>
  <c r="O127" i="1"/>
  <c r="P127" i="1"/>
  <c r="Q127" i="1"/>
  <c r="O128" i="1"/>
  <c r="P128" i="1"/>
  <c r="Q128" i="1"/>
  <c r="O129" i="1"/>
  <c r="P129" i="1"/>
  <c r="Q129" i="1"/>
  <c r="O130" i="1"/>
  <c r="P130" i="1"/>
  <c r="Q130" i="1"/>
  <c r="O131" i="1"/>
  <c r="P131" i="1"/>
  <c r="Q131" i="1"/>
  <c r="O132" i="1"/>
  <c r="P132" i="1"/>
  <c r="Q132" i="1"/>
  <c r="O133" i="1"/>
  <c r="P133" i="1"/>
  <c r="Q133" i="1"/>
  <c r="O134" i="1"/>
  <c r="P134" i="1"/>
  <c r="Q134" i="1"/>
  <c r="O135" i="1"/>
  <c r="P135" i="1"/>
  <c r="Q135" i="1"/>
  <c r="O136" i="1"/>
  <c r="P136" i="1"/>
  <c r="Q136" i="1"/>
  <c r="O137" i="1"/>
  <c r="P137" i="1"/>
  <c r="Q137" i="1"/>
  <c r="O138" i="1"/>
  <c r="P138" i="1"/>
  <c r="Q138" i="1"/>
  <c r="O139" i="1"/>
  <c r="P139" i="1"/>
  <c r="Q139" i="1"/>
  <c r="O140" i="1"/>
  <c r="P140" i="1"/>
  <c r="Q140" i="1"/>
  <c r="O141" i="1"/>
  <c r="P141" i="1"/>
  <c r="Q141" i="1"/>
  <c r="O142" i="1"/>
  <c r="P142" i="1"/>
  <c r="Q142" i="1"/>
  <c r="O143" i="1"/>
  <c r="P143" i="1"/>
  <c r="Q143" i="1"/>
  <c r="O144" i="1"/>
  <c r="P144" i="1"/>
  <c r="Q144" i="1"/>
  <c r="O145" i="1"/>
  <c r="P145" i="1"/>
  <c r="Q145" i="1"/>
  <c r="O146" i="1"/>
  <c r="P146" i="1"/>
  <c r="Q146" i="1"/>
  <c r="O147" i="1"/>
  <c r="P147" i="1"/>
  <c r="Q147" i="1"/>
  <c r="O148" i="1"/>
  <c r="P148" i="1"/>
  <c r="Q148" i="1"/>
  <c r="O149" i="1"/>
  <c r="P149" i="1"/>
  <c r="Q149" i="1"/>
  <c r="O150" i="1"/>
  <c r="P150" i="1"/>
  <c r="Q150" i="1"/>
  <c r="O151" i="1"/>
  <c r="P151" i="1"/>
  <c r="Q151" i="1"/>
  <c r="O152" i="1"/>
  <c r="P152" i="1"/>
  <c r="Q152" i="1"/>
  <c r="O153" i="1"/>
  <c r="P153" i="1"/>
  <c r="Q153" i="1"/>
  <c r="O154" i="1"/>
  <c r="P154" i="1"/>
  <c r="Q154" i="1"/>
  <c r="O155" i="1"/>
  <c r="P155" i="1"/>
  <c r="Q155" i="1"/>
  <c r="O156" i="1"/>
  <c r="P156" i="1"/>
  <c r="Q156" i="1"/>
  <c r="O157" i="1"/>
  <c r="P157" i="1"/>
  <c r="Q157" i="1"/>
  <c r="O158" i="1"/>
  <c r="P158" i="1"/>
  <c r="Q158" i="1"/>
  <c r="O159" i="1"/>
  <c r="P159" i="1"/>
  <c r="Q159" i="1"/>
  <c r="O160" i="1"/>
  <c r="P160" i="1"/>
  <c r="Q160" i="1"/>
  <c r="O161" i="1"/>
  <c r="P161" i="1"/>
  <c r="Q161" i="1"/>
  <c r="O162" i="1"/>
  <c r="P162" i="1"/>
  <c r="Q162" i="1"/>
  <c r="O163" i="1"/>
  <c r="P163" i="1"/>
  <c r="Q163" i="1"/>
  <c r="O164" i="1"/>
  <c r="P164" i="1"/>
  <c r="Q164" i="1"/>
  <c r="O165" i="1"/>
  <c r="P165" i="1"/>
  <c r="Q165" i="1"/>
  <c r="O166" i="1"/>
  <c r="P166" i="1"/>
  <c r="Q166" i="1"/>
  <c r="O167" i="1"/>
  <c r="P167" i="1"/>
  <c r="Q167" i="1"/>
  <c r="O168" i="1"/>
  <c r="P168" i="1"/>
  <c r="Q168" i="1"/>
  <c r="O169" i="1"/>
  <c r="P169" i="1"/>
  <c r="Q169" i="1"/>
  <c r="O170" i="1"/>
  <c r="P170" i="1"/>
  <c r="Q170" i="1"/>
  <c r="O171" i="1"/>
  <c r="P171" i="1"/>
  <c r="Q171" i="1"/>
  <c r="O172" i="1"/>
  <c r="P172" i="1"/>
  <c r="Q172" i="1"/>
  <c r="O173" i="1"/>
  <c r="P173" i="1"/>
  <c r="Q173" i="1"/>
  <c r="O174" i="1"/>
  <c r="P174" i="1"/>
  <c r="Q174" i="1"/>
  <c r="O175" i="1"/>
  <c r="P175" i="1"/>
  <c r="Q175" i="1"/>
  <c r="O176" i="1"/>
  <c r="P176" i="1"/>
  <c r="Q176" i="1"/>
  <c r="O177" i="1"/>
  <c r="P177" i="1"/>
  <c r="Q177" i="1"/>
  <c r="O178" i="1"/>
  <c r="P178" i="1"/>
  <c r="Q178" i="1"/>
  <c r="O179" i="1"/>
  <c r="P179" i="1"/>
  <c r="Q179" i="1"/>
  <c r="O180" i="1"/>
  <c r="P180" i="1"/>
  <c r="Q180" i="1"/>
  <c r="O181" i="1"/>
  <c r="P181" i="1"/>
  <c r="Q181" i="1"/>
  <c r="O182" i="1"/>
  <c r="P182" i="1"/>
  <c r="Q182" i="1"/>
  <c r="O183" i="1"/>
  <c r="P183" i="1"/>
  <c r="Q183" i="1"/>
  <c r="O184" i="1"/>
  <c r="P184" i="1"/>
  <c r="Q184" i="1"/>
  <c r="O185" i="1"/>
  <c r="P185" i="1"/>
  <c r="Q185" i="1"/>
  <c r="O186" i="1"/>
  <c r="P186" i="1"/>
  <c r="Q186" i="1"/>
  <c r="O187" i="1"/>
  <c r="P187" i="1"/>
  <c r="Q187" i="1"/>
  <c r="O188" i="1"/>
  <c r="P188" i="1"/>
  <c r="Q188" i="1"/>
  <c r="O189" i="1"/>
  <c r="P189" i="1"/>
  <c r="Q189" i="1"/>
  <c r="O190" i="1"/>
  <c r="P190" i="1"/>
  <c r="Q190" i="1"/>
  <c r="O191" i="1"/>
  <c r="P191" i="1"/>
  <c r="Q191" i="1"/>
  <c r="O192" i="1"/>
  <c r="P192" i="1"/>
  <c r="Q192" i="1"/>
  <c r="O193" i="1"/>
  <c r="P193" i="1"/>
  <c r="Q193" i="1"/>
  <c r="O194" i="1"/>
  <c r="P194" i="1"/>
  <c r="Q194" i="1"/>
  <c r="O195" i="1"/>
  <c r="P195" i="1"/>
  <c r="Q195" i="1"/>
  <c r="O196" i="1"/>
  <c r="P196" i="1"/>
  <c r="Q196" i="1"/>
  <c r="O197" i="1"/>
  <c r="P197" i="1"/>
  <c r="Q197" i="1"/>
  <c r="O198" i="1"/>
  <c r="P198" i="1"/>
  <c r="Q198" i="1"/>
  <c r="O199" i="1"/>
  <c r="P199" i="1"/>
  <c r="Q199" i="1"/>
  <c r="O200" i="1"/>
  <c r="P200" i="1"/>
  <c r="Q200" i="1"/>
  <c r="O201" i="1"/>
  <c r="P201" i="1"/>
  <c r="Q201" i="1"/>
  <c r="O202" i="1"/>
  <c r="P202" i="1"/>
  <c r="Q202" i="1"/>
  <c r="O203" i="1"/>
  <c r="P203" i="1"/>
  <c r="Q203" i="1"/>
  <c r="O204" i="1"/>
  <c r="P204" i="1"/>
  <c r="Q204" i="1"/>
  <c r="O205" i="1"/>
  <c r="P205" i="1"/>
  <c r="Q205" i="1"/>
  <c r="O206" i="1"/>
  <c r="P206" i="1"/>
  <c r="Q206" i="1"/>
  <c r="O207" i="1"/>
  <c r="P207" i="1"/>
  <c r="Q207" i="1"/>
  <c r="O208" i="1"/>
  <c r="P208" i="1"/>
  <c r="Q208" i="1"/>
  <c r="O209" i="1"/>
  <c r="P209" i="1"/>
  <c r="Q209" i="1"/>
  <c r="O210" i="1"/>
  <c r="P210" i="1"/>
  <c r="Q210" i="1"/>
  <c r="O211" i="1"/>
  <c r="P211" i="1"/>
  <c r="Q211" i="1"/>
  <c r="O212" i="1"/>
  <c r="P212" i="1"/>
  <c r="Q212" i="1"/>
  <c r="O213" i="1"/>
  <c r="P213" i="1"/>
  <c r="Q213" i="1"/>
  <c r="O214" i="1"/>
  <c r="P214" i="1"/>
  <c r="Q214" i="1"/>
  <c r="O215" i="1"/>
  <c r="P215" i="1"/>
  <c r="Q215" i="1"/>
  <c r="O216" i="1"/>
  <c r="P216" i="1"/>
  <c r="Q216" i="1"/>
  <c r="O217" i="1"/>
  <c r="P217" i="1"/>
  <c r="Q217" i="1"/>
  <c r="O218" i="1"/>
  <c r="P218" i="1"/>
  <c r="Q218" i="1"/>
  <c r="O219" i="1"/>
  <c r="P219" i="1"/>
  <c r="Q219" i="1"/>
  <c r="O220" i="1"/>
  <c r="P220" i="1"/>
  <c r="Q220" i="1"/>
  <c r="O221" i="1"/>
  <c r="P221" i="1"/>
  <c r="Q221" i="1"/>
  <c r="O222" i="1"/>
  <c r="P222" i="1"/>
  <c r="Q222" i="1"/>
  <c r="O223" i="1"/>
  <c r="P223" i="1"/>
  <c r="Q223" i="1"/>
  <c r="O224" i="1"/>
  <c r="P224" i="1"/>
  <c r="Q224" i="1"/>
  <c r="O225" i="1"/>
  <c r="P225" i="1"/>
  <c r="Q225" i="1"/>
  <c r="O226" i="1"/>
  <c r="P226" i="1"/>
  <c r="Q226" i="1"/>
  <c r="O227" i="1"/>
  <c r="P227" i="1"/>
  <c r="Q227" i="1"/>
  <c r="O228" i="1"/>
  <c r="P228" i="1"/>
  <c r="Q228" i="1"/>
  <c r="O229" i="1"/>
  <c r="P229" i="1"/>
  <c r="Q229" i="1"/>
  <c r="O230" i="1"/>
  <c r="P230" i="1"/>
  <c r="Q230" i="1"/>
  <c r="O231" i="1"/>
  <c r="P231" i="1"/>
  <c r="Q231" i="1"/>
  <c r="O232" i="1"/>
  <c r="P232" i="1"/>
  <c r="Q232" i="1"/>
  <c r="O233" i="1"/>
  <c r="P233" i="1"/>
  <c r="Q233" i="1"/>
  <c r="O234" i="1"/>
  <c r="P234" i="1"/>
  <c r="Q234" i="1"/>
  <c r="O235" i="1"/>
  <c r="P235" i="1"/>
  <c r="Q235" i="1"/>
  <c r="O236" i="1"/>
  <c r="P236" i="1"/>
  <c r="Q236" i="1"/>
  <c r="O237" i="1"/>
  <c r="P237" i="1"/>
  <c r="Q237" i="1"/>
  <c r="O238" i="1"/>
  <c r="P238" i="1"/>
  <c r="Q238" i="1"/>
  <c r="O239" i="1"/>
  <c r="P239" i="1"/>
  <c r="Q239" i="1"/>
  <c r="O240" i="1"/>
  <c r="P240" i="1"/>
  <c r="Q240" i="1"/>
  <c r="O241" i="1"/>
  <c r="P241" i="1"/>
  <c r="Q241" i="1"/>
  <c r="O242" i="1"/>
  <c r="P242" i="1"/>
  <c r="Q242" i="1"/>
  <c r="O243" i="1"/>
  <c r="P243" i="1"/>
  <c r="Q243" i="1"/>
  <c r="O244" i="1"/>
  <c r="P244" i="1"/>
  <c r="Q244" i="1"/>
  <c r="O245" i="1"/>
  <c r="P245" i="1"/>
  <c r="Q245" i="1"/>
  <c r="O246" i="1"/>
  <c r="P246" i="1"/>
  <c r="Q246" i="1"/>
  <c r="O247" i="1"/>
  <c r="P247" i="1"/>
  <c r="Q247" i="1"/>
  <c r="O248" i="1"/>
  <c r="P248" i="1"/>
  <c r="Q248" i="1"/>
  <c r="O249" i="1"/>
  <c r="P249" i="1"/>
  <c r="Q249" i="1"/>
  <c r="O250" i="1"/>
  <c r="P250" i="1"/>
  <c r="Q250" i="1"/>
  <c r="O251" i="1"/>
  <c r="P251" i="1"/>
  <c r="Q251" i="1"/>
  <c r="O252" i="1"/>
  <c r="P252" i="1"/>
  <c r="Q252" i="1"/>
  <c r="O253" i="1"/>
  <c r="P253" i="1"/>
  <c r="Q253" i="1"/>
  <c r="O254" i="1"/>
  <c r="P254" i="1"/>
  <c r="Q254" i="1"/>
  <c r="O255" i="1"/>
  <c r="P255" i="1"/>
  <c r="Q255" i="1"/>
  <c r="O256" i="1"/>
  <c r="P256" i="1"/>
  <c r="Q256" i="1"/>
  <c r="O257" i="1"/>
  <c r="P257" i="1"/>
  <c r="Q257" i="1"/>
  <c r="O258" i="1"/>
  <c r="P258" i="1"/>
  <c r="Q258" i="1"/>
  <c r="O259" i="1"/>
  <c r="P259" i="1"/>
  <c r="Q259" i="1"/>
  <c r="O260" i="1"/>
  <c r="P260" i="1"/>
  <c r="Q260" i="1"/>
  <c r="O261" i="1"/>
  <c r="P261" i="1"/>
  <c r="Q261" i="1"/>
  <c r="O262" i="1"/>
  <c r="P262" i="1"/>
  <c r="Q262" i="1"/>
  <c r="O263" i="1"/>
  <c r="P263" i="1"/>
  <c r="Q263" i="1"/>
  <c r="O264" i="1"/>
  <c r="P264" i="1"/>
  <c r="Q264" i="1"/>
  <c r="O265" i="1"/>
  <c r="P265" i="1"/>
  <c r="Q265" i="1"/>
  <c r="O266" i="1"/>
  <c r="P266" i="1"/>
  <c r="Q266" i="1"/>
  <c r="O267" i="1"/>
  <c r="P267" i="1"/>
  <c r="Q267" i="1"/>
  <c r="O268" i="1"/>
  <c r="P268" i="1"/>
  <c r="Q268" i="1"/>
  <c r="O269" i="1"/>
  <c r="P269" i="1"/>
  <c r="Q269" i="1"/>
  <c r="O270" i="1"/>
  <c r="P270" i="1"/>
  <c r="Q270" i="1"/>
  <c r="O271" i="1"/>
  <c r="P271" i="1"/>
  <c r="Q271" i="1"/>
  <c r="O272" i="1"/>
  <c r="P272" i="1"/>
  <c r="Q272" i="1"/>
  <c r="O273" i="1"/>
  <c r="P273" i="1"/>
  <c r="Q273" i="1"/>
  <c r="O274" i="1"/>
  <c r="P274" i="1"/>
  <c r="Q274" i="1"/>
  <c r="O275" i="1"/>
  <c r="P275" i="1"/>
  <c r="Q275" i="1"/>
  <c r="O276" i="1"/>
  <c r="P276" i="1"/>
  <c r="Q276" i="1"/>
  <c r="O277" i="1"/>
  <c r="P277" i="1"/>
  <c r="Q277" i="1"/>
  <c r="O278" i="1"/>
  <c r="P278" i="1"/>
  <c r="Q278" i="1"/>
  <c r="O279" i="1"/>
  <c r="P279" i="1"/>
  <c r="Q279" i="1"/>
  <c r="O280" i="1"/>
  <c r="P280" i="1"/>
  <c r="Q280" i="1"/>
  <c r="O281" i="1"/>
  <c r="P281" i="1"/>
  <c r="Q281" i="1"/>
  <c r="O282" i="1"/>
  <c r="P282" i="1"/>
  <c r="Q282" i="1"/>
  <c r="O283" i="1"/>
  <c r="P283" i="1"/>
  <c r="Q283" i="1"/>
  <c r="O284" i="1"/>
  <c r="P284" i="1"/>
  <c r="Q284" i="1"/>
  <c r="O285" i="1"/>
  <c r="P285" i="1"/>
  <c r="Q285" i="1"/>
  <c r="O286" i="1"/>
  <c r="P286" i="1"/>
  <c r="Q286" i="1"/>
  <c r="O287" i="1"/>
  <c r="P287" i="1"/>
  <c r="Q287" i="1"/>
  <c r="O288" i="1"/>
  <c r="P288" i="1"/>
  <c r="Q288" i="1"/>
  <c r="O289" i="1"/>
  <c r="P289" i="1"/>
  <c r="Q289" i="1"/>
  <c r="O290" i="1"/>
  <c r="P290" i="1"/>
  <c r="Q290" i="1"/>
  <c r="O291" i="1"/>
  <c r="P291" i="1"/>
  <c r="Q291" i="1"/>
  <c r="O292" i="1"/>
  <c r="P292" i="1"/>
  <c r="Q292" i="1"/>
  <c r="O293" i="1"/>
  <c r="P293" i="1"/>
  <c r="Q293" i="1"/>
  <c r="O294" i="1"/>
  <c r="P294" i="1"/>
  <c r="Q294" i="1"/>
  <c r="O295" i="1"/>
  <c r="P295" i="1"/>
  <c r="Q295" i="1"/>
  <c r="O296" i="1"/>
  <c r="P296" i="1"/>
  <c r="Q296" i="1"/>
  <c r="O297" i="1"/>
  <c r="P297" i="1"/>
  <c r="Q297" i="1"/>
  <c r="O298" i="1"/>
  <c r="P298" i="1"/>
  <c r="Q298" i="1"/>
  <c r="O299" i="1"/>
  <c r="P299" i="1"/>
  <c r="Q299" i="1"/>
  <c r="O300" i="1"/>
  <c r="P300" i="1"/>
  <c r="Q300" i="1"/>
  <c r="O301" i="1"/>
  <c r="P301" i="1"/>
  <c r="Q301" i="1"/>
  <c r="O302" i="1"/>
  <c r="P302" i="1"/>
  <c r="Q302" i="1"/>
  <c r="O303" i="1"/>
  <c r="P303" i="1"/>
  <c r="Q303" i="1"/>
  <c r="O304" i="1"/>
  <c r="P304" i="1"/>
  <c r="Q304" i="1"/>
  <c r="O305" i="1"/>
  <c r="P305" i="1"/>
  <c r="Q305" i="1"/>
  <c r="O306" i="1"/>
  <c r="P306" i="1"/>
  <c r="Q306" i="1"/>
  <c r="O307" i="1"/>
  <c r="P307" i="1"/>
  <c r="Q307" i="1"/>
  <c r="O308" i="1"/>
  <c r="P308" i="1"/>
  <c r="Q308" i="1"/>
  <c r="O309" i="1"/>
  <c r="P309" i="1"/>
  <c r="Q309" i="1"/>
  <c r="O310" i="1"/>
  <c r="P310" i="1"/>
  <c r="Q310" i="1"/>
  <c r="O311" i="1"/>
  <c r="P311" i="1"/>
  <c r="Q311" i="1"/>
  <c r="O312" i="1"/>
  <c r="P312" i="1"/>
  <c r="Q312" i="1"/>
  <c r="O313" i="1"/>
  <c r="P313" i="1"/>
  <c r="Q313" i="1"/>
  <c r="O314" i="1"/>
  <c r="P314" i="1"/>
  <c r="Q314" i="1"/>
  <c r="O315" i="1"/>
  <c r="P315" i="1"/>
  <c r="Q315" i="1"/>
  <c r="O316" i="1"/>
  <c r="P316" i="1"/>
  <c r="Q316" i="1"/>
  <c r="O317" i="1"/>
  <c r="P317" i="1"/>
  <c r="Q317" i="1"/>
  <c r="O318" i="1"/>
  <c r="P318" i="1"/>
  <c r="Q318" i="1"/>
  <c r="O319" i="1"/>
  <c r="P319" i="1"/>
  <c r="Q319" i="1"/>
  <c r="O320" i="1"/>
  <c r="P320" i="1"/>
  <c r="Q320" i="1"/>
  <c r="O321" i="1"/>
  <c r="P321" i="1"/>
  <c r="Q321" i="1"/>
  <c r="O322" i="1"/>
  <c r="P322" i="1"/>
  <c r="Q322" i="1"/>
  <c r="O323" i="1"/>
  <c r="P323" i="1"/>
  <c r="Q323" i="1"/>
  <c r="O324" i="1"/>
  <c r="P324" i="1"/>
  <c r="Q324" i="1"/>
  <c r="O325" i="1"/>
  <c r="P325" i="1"/>
  <c r="Q325" i="1"/>
  <c r="O326" i="1"/>
  <c r="P326" i="1"/>
  <c r="Q326" i="1"/>
  <c r="O327" i="1"/>
  <c r="P327" i="1"/>
  <c r="Q327" i="1"/>
  <c r="O328" i="1"/>
  <c r="P328" i="1"/>
  <c r="Q328" i="1"/>
  <c r="O329" i="1"/>
  <c r="P329" i="1"/>
  <c r="Q329" i="1"/>
  <c r="O330" i="1"/>
  <c r="P330" i="1"/>
  <c r="Q330" i="1"/>
  <c r="O331" i="1"/>
  <c r="P331" i="1"/>
  <c r="Q331" i="1"/>
  <c r="O332" i="1"/>
  <c r="P332" i="1"/>
  <c r="Q332" i="1"/>
  <c r="O333" i="1"/>
  <c r="P333" i="1"/>
  <c r="Q333" i="1"/>
  <c r="O334" i="1"/>
  <c r="P334" i="1"/>
  <c r="Q334" i="1"/>
  <c r="O335" i="1"/>
  <c r="P335" i="1"/>
  <c r="Q335" i="1"/>
  <c r="O336" i="1"/>
  <c r="P336" i="1"/>
  <c r="Q336" i="1"/>
  <c r="O337" i="1"/>
  <c r="P337" i="1"/>
  <c r="Q337" i="1"/>
  <c r="O338" i="1"/>
  <c r="P338" i="1"/>
  <c r="Q338" i="1"/>
  <c r="O339" i="1"/>
  <c r="P339" i="1"/>
  <c r="Q339" i="1"/>
  <c r="O340" i="1"/>
  <c r="P340" i="1"/>
  <c r="Q340" i="1"/>
  <c r="O341" i="1"/>
  <c r="P341" i="1"/>
  <c r="Q341" i="1"/>
  <c r="O342" i="1"/>
  <c r="P342" i="1"/>
  <c r="Q342" i="1"/>
  <c r="O343" i="1"/>
  <c r="P343" i="1"/>
  <c r="Q343" i="1"/>
  <c r="O344" i="1"/>
  <c r="P344" i="1"/>
  <c r="Q344" i="1"/>
  <c r="O345" i="1"/>
  <c r="P345" i="1"/>
  <c r="Q345" i="1"/>
  <c r="O346" i="1"/>
  <c r="P346" i="1"/>
  <c r="Q346" i="1"/>
  <c r="O347" i="1"/>
  <c r="P347" i="1"/>
  <c r="Q347" i="1"/>
  <c r="O348" i="1"/>
  <c r="P348" i="1"/>
  <c r="Q348" i="1"/>
  <c r="O349" i="1"/>
  <c r="P349" i="1"/>
  <c r="Q349" i="1"/>
  <c r="O350" i="1"/>
  <c r="P350" i="1"/>
  <c r="Q350" i="1"/>
  <c r="O351" i="1"/>
  <c r="P351" i="1"/>
  <c r="Q351" i="1"/>
  <c r="O352" i="1"/>
  <c r="P352" i="1"/>
  <c r="Q352" i="1"/>
  <c r="O353" i="1"/>
  <c r="P353" i="1"/>
  <c r="Q353" i="1"/>
  <c r="O354" i="1"/>
  <c r="P354" i="1"/>
  <c r="Q354" i="1"/>
  <c r="O355" i="1"/>
  <c r="P355" i="1"/>
  <c r="Q355" i="1"/>
  <c r="O356" i="1"/>
  <c r="P356" i="1"/>
  <c r="Q356" i="1"/>
  <c r="O357" i="1"/>
  <c r="P357" i="1"/>
  <c r="Q357" i="1"/>
  <c r="O358" i="1"/>
  <c r="P358" i="1"/>
  <c r="Q358" i="1"/>
  <c r="O359" i="1"/>
  <c r="P359" i="1"/>
  <c r="Q359" i="1"/>
  <c r="O360" i="1"/>
  <c r="P360" i="1"/>
  <c r="Q360" i="1"/>
  <c r="O361" i="1"/>
  <c r="P361" i="1"/>
  <c r="Q361" i="1"/>
  <c r="O362" i="1"/>
  <c r="P362" i="1"/>
  <c r="Q362" i="1"/>
  <c r="O363" i="1"/>
  <c r="P363" i="1"/>
  <c r="Q363" i="1"/>
  <c r="O364" i="1"/>
  <c r="P364" i="1"/>
  <c r="Q364" i="1"/>
  <c r="O365" i="1"/>
  <c r="P365" i="1"/>
  <c r="Q365" i="1"/>
  <c r="O366" i="1"/>
  <c r="P366" i="1"/>
  <c r="Q366" i="1"/>
  <c r="O367" i="1"/>
  <c r="P367" i="1"/>
  <c r="Q367" i="1"/>
  <c r="O368" i="1"/>
  <c r="P368" i="1"/>
  <c r="Q368" i="1"/>
  <c r="O369" i="1"/>
  <c r="P369" i="1"/>
  <c r="Q369" i="1"/>
  <c r="O370" i="1"/>
  <c r="P370" i="1"/>
  <c r="Q370" i="1"/>
  <c r="O371" i="1"/>
  <c r="P371" i="1"/>
  <c r="Q371" i="1"/>
  <c r="O372" i="1"/>
  <c r="P372" i="1"/>
  <c r="Q372" i="1"/>
  <c r="O373" i="1"/>
  <c r="P373" i="1"/>
  <c r="Q373" i="1"/>
  <c r="O374" i="1"/>
  <c r="P374" i="1"/>
  <c r="Q374" i="1"/>
  <c r="O375" i="1"/>
  <c r="P375" i="1"/>
  <c r="Q375" i="1"/>
  <c r="O376" i="1"/>
  <c r="P376" i="1"/>
  <c r="Q376" i="1"/>
  <c r="O377" i="1"/>
  <c r="P377" i="1"/>
  <c r="Q377" i="1"/>
  <c r="O378" i="1"/>
  <c r="P378" i="1"/>
  <c r="Q378" i="1"/>
  <c r="O379" i="1"/>
  <c r="P379" i="1"/>
  <c r="Q379" i="1"/>
  <c r="O380" i="1"/>
  <c r="P380" i="1"/>
  <c r="Q380" i="1"/>
  <c r="O381" i="1"/>
  <c r="P381" i="1"/>
  <c r="Q381" i="1"/>
  <c r="O382" i="1"/>
  <c r="P382" i="1"/>
  <c r="Q382" i="1"/>
  <c r="O383" i="1"/>
  <c r="P383" i="1"/>
  <c r="Q383" i="1"/>
  <c r="O384" i="1"/>
  <c r="P384" i="1"/>
  <c r="Q384" i="1"/>
  <c r="O385" i="1"/>
  <c r="P385" i="1"/>
  <c r="Q385" i="1"/>
  <c r="O386" i="1"/>
  <c r="P386" i="1"/>
  <c r="Q386" i="1"/>
  <c r="O387" i="1"/>
  <c r="P387" i="1"/>
  <c r="Q387" i="1"/>
  <c r="O388" i="1"/>
  <c r="P388" i="1"/>
  <c r="Q388" i="1"/>
  <c r="O389" i="1"/>
  <c r="P389" i="1"/>
  <c r="Q389" i="1"/>
  <c r="O390" i="1"/>
  <c r="P390" i="1"/>
  <c r="Q390" i="1"/>
  <c r="O391" i="1"/>
  <c r="P391" i="1"/>
  <c r="Q391" i="1"/>
  <c r="O392" i="1"/>
  <c r="P392" i="1"/>
  <c r="Q392" i="1"/>
  <c r="O393" i="1"/>
  <c r="P393" i="1"/>
  <c r="Q393" i="1"/>
  <c r="O394" i="1"/>
  <c r="P394" i="1"/>
  <c r="Q394" i="1"/>
  <c r="O395" i="1"/>
  <c r="P395" i="1"/>
  <c r="Q395" i="1"/>
  <c r="O396" i="1"/>
  <c r="P396" i="1"/>
  <c r="Q396" i="1"/>
  <c r="O397" i="1"/>
  <c r="P397" i="1"/>
  <c r="Q397" i="1"/>
  <c r="O398" i="1"/>
  <c r="P398" i="1"/>
  <c r="Q398" i="1"/>
  <c r="O399" i="1"/>
  <c r="P399" i="1"/>
  <c r="Q399" i="1"/>
  <c r="O400" i="1"/>
  <c r="P400" i="1"/>
  <c r="Q400" i="1"/>
  <c r="O401" i="1"/>
  <c r="P401" i="1"/>
  <c r="Q401" i="1"/>
  <c r="O402" i="1"/>
  <c r="P402" i="1"/>
  <c r="Q402" i="1"/>
  <c r="O403" i="1"/>
  <c r="P403" i="1"/>
  <c r="Q403" i="1"/>
  <c r="O404" i="1"/>
  <c r="P404" i="1"/>
  <c r="Q404" i="1"/>
  <c r="O405" i="1"/>
  <c r="P405" i="1"/>
  <c r="Q405" i="1"/>
  <c r="O406" i="1"/>
  <c r="P406" i="1"/>
  <c r="Q406" i="1"/>
  <c r="O407" i="1"/>
  <c r="P407" i="1"/>
  <c r="Q407" i="1"/>
  <c r="O408" i="1"/>
  <c r="P408" i="1"/>
  <c r="Q408" i="1"/>
  <c r="O409" i="1"/>
  <c r="P409" i="1"/>
  <c r="Q409" i="1"/>
  <c r="O410" i="1"/>
  <c r="P410" i="1"/>
  <c r="Q410" i="1"/>
  <c r="O411" i="1"/>
  <c r="P411" i="1"/>
  <c r="Q411" i="1"/>
  <c r="O412" i="1"/>
  <c r="P412" i="1"/>
  <c r="Q412" i="1"/>
  <c r="O413" i="1"/>
  <c r="P413" i="1"/>
  <c r="Q413" i="1"/>
  <c r="O414" i="1"/>
  <c r="P414" i="1"/>
  <c r="Q414" i="1"/>
  <c r="O415" i="1"/>
  <c r="P415" i="1"/>
  <c r="Q415" i="1"/>
  <c r="O416" i="1"/>
  <c r="P416" i="1"/>
  <c r="Q416" i="1"/>
  <c r="O417" i="1"/>
  <c r="P417" i="1"/>
  <c r="Q417" i="1"/>
  <c r="O418" i="1"/>
  <c r="P418" i="1"/>
  <c r="Q418" i="1"/>
  <c r="O419" i="1"/>
  <c r="P419" i="1"/>
  <c r="Q419" i="1"/>
  <c r="O420" i="1"/>
  <c r="P420" i="1"/>
  <c r="Q420" i="1"/>
  <c r="O421" i="1"/>
  <c r="P421" i="1"/>
  <c r="Q421" i="1"/>
  <c r="O422" i="1"/>
  <c r="P422" i="1"/>
  <c r="Q422" i="1"/>
  <c r="O423" i="1"/>
  <c r="P423" i="1"/>
  <c r="Q423" i="1"/>
  <c r="O424" i="1"/>
  <c r="P424" i="1"/>
  <c r="Q424" i="1"/>
  <c r="O425" i="1"/>
  <c r="P425" i="1"/>
  <c r="Q425" i="1"/>
  <c r="O426" i="1"/>
  <c r="P426" i="1"/>
  <c r="Q426" i="1"/>
  <c r="O427" i="1"/>
  <c r="P427" i="1"/>
  <c r="Q427" i="1"/>
  <c r="O428" i="1"/>
  <c r="P428" i="1"/>
  <c r="Q428" i="1"/>
  <c r="O429" i="1"/>
  <c r="P429" i="1"/>
  <c r="Q429" i="1"/>
  <c r="O430" i="1"/>
  <c r="P430" i="1"/>
  <c r="Q430" i="1"/>
  <c r="O431" i="1"/>
  <c r="P431" i="1"/>
  <c r="Q431" i="1"/>
  <c r="O432" i="1"/>
  <c r="P432" i="1"/>
  <c r="Q432" i="1"/>
  <c r="O433" i="1"/>
  <c r="P433" i="1"/>
  <c r="Q433" i="1"/>
  <c r="O434" i="1"/>
  <c r="P434" i="1"/>
  <c r="Q434" i="1"/>
  <c r="O435" i="1"/>
  <c r="P435" i="1"/>
  <c r="Q435" i="1"/>
  <c r="O436" i="1"/>
  <c r="P436" i="1"/>
  <c r="Q436" i="1"/>
  <c r="O437" i="1"/>
  <c r="P437" i="1"/>
  <c r="Q437" i="1"/>
  <c r="O438" i="1"/>
  <c r="P438" i="1"/>
  <c r="Q438" i="1"/>
  <c r="O439" i="1"/>
  <c r="P439" i="1"/>
  <c r="Q439" i="1"/>
  <c r="O440" i="1"/>
  <c r="P440" i="1"/>
  <c r="Q440" i="1"/>
  <c r="O441" i="1"/>
  <c r="P441" i="1"/>
  <c r="Q441" i="1"/>
  <c r="O442" i="1"/>
  <c r="P442" i="1"/>
  <c r="Q442" i="1"/>
  <c r="O443" i="1"/>
  <c r="P443" i="1"/>
  <c r="Q443" i="1"/>
  <c r="O444" i="1"/>
  <c r="P444" i="1"/>
  <c r="Q444" i="1"/>
  <c r="O445" i="1"/>
  <c r="P445" i="1"/>
  <c r="Q445" i="1"/>
  <c r="O446" i="1"/>
  <c r="P446" i="1"/>
  <c r="Q446" i="1"/>
  <c r="O447" i="1"/>
  <c r="P447" i="1"/>
  <c r="Q447" i="1"/>
  <c r="O448" i="1"/>
  <c r="P448" i="1"/>
  <c r="Q448" i="1"/>
  <c r="O449" i="1"/>
  <c r="P449" i="1"/>
  <c r="Q449" i="1"/>
  <c r="O450" i="1"/>
  <c r="P450" i="1"/>
  <c r="Q450" i="1"/>
  <c r="O451" i="1"/>
  <c r="P451" i="1"/>
  <c r="Q451" i="1"/>
  <c r="O452" i="1"/>
  <c r="P452" i="1"/>
  <c r="Q452" i="1"/>
  <c r="O453" i="1"/>
  <c r="P453" i="1"/>
  <c r="Q453" i="1"/>
  <c r="O454" i="1"/>
  <c r="P454" i="1"/>
  <c r="Q454" i="1"/>
  <c r="O455" i="1"/>
  <c r="P455" i="1"/>
  <c r="Q455" i="1"/>
  <c r="O456" i="1"/>
  <c r="P456" i="1"/>
  <c r="Q456" i="1"/>
  <c r="O457" i="1"/>
  <c r="P457" i="1"/>
  <c r="Q457" i="1"/>
  <c r="O458" i="1"/>
  <c r="P458" i="1"/>
  <c r="Q458" i="1"/>
  <c r="O459" i="1"/>
  <c r="P459" i="1"/>
  <c r="Q459" i="1"/>
  <c r="O460" i="1"/>
  <c r="P460" i="1"/>
  <c r="Q460" i="1"/>
  <c r="O461" i="1"/>
  <c r="P461" i="1"/>
  <c r="Q461" i="1"/>
  <c r="O462" i="1"/>
  <c r="P462" i="1"/>
  <c r="Q462" i="1"/>
  <c r="O463" i="1"/>
  <c r="P463" i="1"/>
  <c r="Q463" i="1"/>
  <c r="O464" i="1"/>
  <c r="P464" i="1"/>
  <c r="Q464" i="1"/>
  <c r="O465" i="1"/>
  <c r="P465" i="1"/>
  <c r="Q465" i="1"/>
  <c r="O466" i="1"/>
  <c r="P466" i="1"/>
  <c r="Q466" i="1"/>
  <c r="O467" i="1"/>
  <c r="P467" i="1"/>
  <c r="Q467" i="1"/>
  <c r="O468" i="1"/>
  <c r="P468" i="1"/>
  <c r="Q468" i="1"/>
  <c r="O469" i="1"/>
  <c r="P469" i="1"/>
  <c r="Q469" i="1"/>
  <c r="O470" i="1"/>
  <c r="P470" i="1"/>
  <c r="Q470" i="1"/>
  <c r="O471" i="1"/>
  <c r="P471" i="1"/>
  <c r="Q471" i="1"/>
  <c r="O472" i="1"/>
  <c r="P472" i="1"/>
  <c r="Q472" i="1"/>
  <c r="O473" i="1"/>
  <c r="P473" i="1"/>
  <c r="Q473" i="1"/>
  <c r="O474" i="1"/>
  <c r="P474" i="1"/>
  <c r="Q474" i="1"/>
  <c r="O475" i="1"/>
  <c r="P475" i="1"/>
  <c r="Q475" i="1"/>
  <c r="O476" i="1"/>
  <c r="P476" i="1"/>
  <c r="Q476" i="1"/>
  <c r="O477" i="1"/>
  <c r="P477" i="1"/>
  <c r="Q477" i="1"/>
  <c r="O478" i="1"/>
  <c r="P478" i="1"/>
  <c r="Q478" i="1"/>
  <c r="O479" i="1"/>
  <c r="P479" i="1"/>
  <c r="Q479" i="1"/>
  <c r="O480" i="1"/>
  <c r="P480" i="1"/>
  <c r="Q480" i="1"/>
  <c r="O481" i="1"/>
  <c r="P481" i="1"/>
  <c r="Q481" i="1"/>
  <c r="O482" i="1"/>
  <c r="P482" i="1"/>
  <c r="Q482" i="1"/>
  <c r="O483" i="1"/>
  <c r="P483" i="1"/>
  <c r="Q483" i="1"/>
  <c r="O484" i="1"/>
  <c r="P484" i="1"/>
  <c r="Q484" i="1"/>
  <c r="O485" i="1"/>
  <c r="P485" i="1"/>
  <c r="Q485" i="1"/>
  <c r="O486" i="1"/>
  <c r="P486" i="1"/>
  <c r="Q486" i="1"/>
  <c r="O487" i="1"/>
  <c r="P487" i="1"/>
  <c r="Q487" i="1"/>
  <c r="O488" i="1"/>
  <c r="P488" i="1"/>
  <c r="Q488" i="1"/>
  <c r="O489" i="1"/>
  <c r="P489" i="1"/>
  <c r="Q489" i="1"/>
  <c r="O490" i="1"/>
  <c r="P490" i="1"/>
  <c r="Q490" i="1"/>
  <c r="O491" i="1"/>
  <c r="P491" i="1"/>
  <c r="Q491" i="1"/>
  <c r="O492" i="1"/>
  <c r="P492" i="1"/>
  <c r="Q492" i="1"/>
  <c r="O493" i="1"/>
  <c r="P493" i="1"/>
  <c r="Q493" i="1"/>
  <c r="O494" i="1"/>
  <c r="P494" i="1"/>
  <c r="Q494" i="1"/>
  <c r="O495" i="1"/>
  <c r="P495" i="1"/>
  <c r="Q495" i="1"/>
  <c r="O496" i="1"/>
  <c r="P496" i="1"/>
  <c r="Q496" i="1"/>
  <c r="O497" i="1"/>
  <c r="P497" i="1"/>
  <c r="Q497" i="1"/>
  <c r="O498" i="1"/>
  <c r="P498" i="1"/>
  <c r="Q498" i="1"/>
  <c r="O499" i="1"/>
  <c r="P499" i="1"/>
  <c r="Q499" i="1"/>
  <c r="O500" i="1"/>
  <c r="P500" i="1"/>
  <c r="Q500" i="1"/>
  <c r="O501" i="1"/>
  <c r="P501" i="1"/>
  <c r="Q501" i="1"/>
  <c r="O502" i="1"/>
  <c r="P502" i="1"/>
  <c r="Q502" i="1"/>
  <c r="O503" i="1"/>
  <c r="P503" i="1"/>
  <c r="Q503" i="1"/>
  <c r="O504" i="1"/>
  <c r="P504" i="1"/>
  <c r="Q504" i="1"/>
  <c r="O505" i="1"/>
  <c r="P505" i="1"/>
  <c r="Q505" i="1"/>
  <c r="O506" i="1"/>
  <c r="P506" i="1"/>
  <c r="Q506" i="1"/>
  <c r="O507" i="1"/>
  <c r="P507" i="1"/>
  <c r="Q507" i="1"/>
  <c r="O508" i="1"/>
  <c r="P508" i="1"/>
  <c r="Q508" i="1"/>
  <c r="O509" i="1"/>
  <c r="P509" i="1"/>
  <c r="Q509" i="1"/>
  <c r="O510" i="1"/>
  <c r="P510" i="1"/>
  <c r="Q510" i="1"/>
  <c r="O511" i="1"/>
  <c r="P511" i="1"/>
  <c r="Q511" i="1"/>
  <c r="O512" i="1"/>
  <c r="P512" i="1"/>
  <c r="Q512" i="1"/>
  <c r="O513" i="1"/>
  <c r="P513" i="1"/>
  <c r="Q513" i="1"/>
  <c r="O514" i="1"/>
  <c r="P514" i="1"/>
  <c r="Q514" i="1"/>
  <c r="O515" i="1"/>
  <c r="P515" i="1"/>
  <c r="Q515" i="1"/>
  <c r="O516" i="1"/>
  <c r="P516" i="1"/>
  <c r="Q516" i="1"/>
  <c r="O517" i="1"/>
  <c r="P517" i="1"/>
  <c r="Q517" i="1"/>
  <c r="O518" i="1"/>
  <c r="P518" i="1"/>
  <c r="Q518" i="1"/>
  <c r="O519" i="1"/>
  <c r="P519" i="1"/>
  <c r="Q519" i="1"/>
  <c r="O520" i="1"/>
  <c r="P520" i="1"/>
  <c r="Q520" i="1"/>
  <c r="O521" i="1"/>
  <c r="P521" i="1"/>
  <c r="Q521" i="1"/>
  <c r="O522" i="1"/>
  <c r="P522" i="1"/>
  <c r="Q522" i="1"/>
  <c r="O523" i="1"/>
  <c r="P523" i="1"/>
  <c r="Q523" i="1"/>
  <c r="O524" i="1"/>
  <c r="P524" i="1"/>
  <c r="Q524" i="1"/>
  <c r="O525" i="1"/>
  <c r="P525" i="1"/>
  <c r="Q525" i="1"/>
  <c r="O526" i="1"/>
  <c r="P526" i="1"/>
  <c r="Q526" i="1"/>
  <c r="O527" i="1"/>
  <c r="P527" i="1"/>
  <c r="Q527" i="1"/>
  <c r="O528" i="1"/>
  <c r="P528" i="1"/>
  <c r="Q528" i="1"/>
  <c r="O529" i="1"/>
  <c r="P529" i="1"/>
  <c r="Q529" i="1"/>
  <c r="O530" i="1"/>
  <c r="P530" i="1"/>
  <c r="Q530" i="1"/>
  <c r="O531" i="1"/>
  <c r="P531" i="1"/>
  <c r="Q531" i="1"/>
  <c r="O532" i="1"/>
  <c r="P532" i="1"/>
  <c r="Q532" i="1"/>
  <c r="O533" i="1"/>
  <c r="P533" i="1"/>
  <c r="Q533" i="1"/>
  <c r="O534" i="1"/>
  <c r="P534" i="1"/>
  <c r="Q534" i="1"/>
  <c r="O535" i="1"/>
  <c r="P535" i="1"/>
  <c r="Q535" i="1"/>
  <c r="O536" i="1"/>
  <c r="P536" i="1"/>
  <c r="Q536" i="1"/>
  <c r="O537" i="1"/>
  <c r="P537" i="1"/>
  <c r="Q537" i="1"/>
  <c r="O538" i="1"/>
  <c r="P538" i="1"/>
  <c r="Q538" i="1"/>
  <c r="O539" i="1"/>
  <c r="P539" i="1"/>
  <c r="Q539" i="1"/>
  <c r="O540" i="1"/>
  <c r="P540" i="1"/>
  <c r="Q540" i="1"/>
  <c r="O541" i="1"/>
  <c r="P541" i="1"/>
  <c r="Q541" i="1"/>
  <c r="O542" i="1"/>
  <c r="P542" i="1"/>
  <c r="Q542" i="1"/>
  <c r="O543" i="1"/>
  <c r="P543" i="1"/>
  <c r="Q543" i="1"/>
  <c r="O544" i="1"/>
  <c r="P544" i="1"/>
  <c r="Q544" i="1"/>
  <c r="O545" i="1"/>
  <c r="P545" i="1"/>
  <c r="Q545" i="1"/>
  <c r="O546" i="1"/>
  <c r="P546" i="1"/>
  <c r="Q546" i="1"/>
  <c r="O547" i="1"/>
  <c r="P547" i="1"/>
  <c r="Q547" i="1"/>
  <c r="O548" i="1"/>
  <c r="P548" i="1"/>
  <c r="Q548" i="1"/>
  <c r="O549" i="1"/>
  <c r="P549" i="1"/>
  <c r="Q549" i="1"/>
  <c r="O550" i="1"/>
  <c r="P550" i="1"/>
  <c r="Q550" i="1"/>
  <c r="O551" i="1"/>
  <c r="P551" i="1"/>
  <c r="Q551" i="1"/>
  <c r="O552" i="1"/>
  <c r="P552" i="1"/>
  <c r="Q552" i="1"/>
  <c r="O553" i="1"/>
  <c r="P553" i="1"/>
  <c r="Q553" i="1"/>
  <c r="O554" i="1"/>
  <c r="P554" i="1"/>
  <c r="Q554" i="1"/>
  <c r="O555" i="1"/>
  <c r="P555" i="1"/>
  <c r="Q555" i="1"/>
  <c r="O556" i="1"/>
  <c r="P556" i="1"/>
  <c r="Q556" i="1"/>
  <c r="O557" i="1"/>
  <c r="P557" i="1"/>
  <c r="Q557" i="1"/>
  <c r="O558" i="1"/>
  <c r="P558" i="1"/>
  <c r="Q558" i="1"/>
  <c r="O559" i="1"/>
  <c r="P559" i="1"/>
  <c r="Q559" i="1"/>
  <c r="O560" i="1"/>
  <c r="P560" i="1"/>
  <c r="Q560" i="1"/>
  <c r="O561" i="1"/>
  <c r="P561" i="1"/>
  <c r="Q561" i="1"/>
  <c r="O562" i="1"/>
  <c r="P562" i="1"/>
  <c r="Q562" i="1"/>
  <c r="O563" i="1"/>
  <c r="P563" i="1"/>
  <c r="Q563" i="1"/>
  <c r="O564" i="1"/>
  <c r="P564" i="1"/>
  <c r="Q564" i="1"/>
  <c r="O565" i="1"/>
  <c r="P565" i="1"/>
  <c r="Q565" i="1"/>
  <c r="O566" i="1"/>
  <c r="P566" i="1"/>
  <c r="Q566" i="1"/>
  <c r="O567" i="1"/>
  <c r="P567" i="1"/>
  <c r="Q567" i="1"/>
  <c r="O568" i="1"/>
  <c r="P568" i="1"/>
  <c r="Q568" i="1"/>
  <c r="O569" i="1"/>
  <c r="P569" i="1"/>
  <c r="Q569" i="1"/>
  <c r="O570" i="1"/>
  <c r="P570" i="1"/>
  <c r="Q570" i="1"/>
  <c r="O571" i="1"/>
  <c r="P571" i="1"/>
  <c r="Q571" i="1"/>
  <c r="O572" i="1"/>
  <c r="P572" i="1"/>
  <c r="Q572" i="1"/>
  <c r="O573" i="1"/>
  <c r="P573" i="1"/>
  <c r="Q573" i="1"/>
  <c r="O574" i="1"/>
  <c r="P574" i="1"/>
  <c r="Q574" i="1"/>
  <c r="O575" i="1"/>
  <c r="P575" i="1"/>
  <c r="Q575" i="1"/>
  <c r="O576" i="1"/>
  <c r="P576" i="1"/>
  <c r="Q576" i="1"/>
  <c r="O577" i="1"/>
  <c r="P577" i="1"/>
  <c r="Q577" i="1"/>
  <c r="O578" i="1"/>
  <c r="P578" i="1"/>
  <c r="Q578" i="1"/>
  <c r="O579" i="1"/>
  <c r="P579" i="1"/>
  <c r="Q579" i="1"/>
  <c r="O580" i="1"/>
  <c r="P580" i="1"/>
  <c r="Q580" i="1"/>
  <c r="O581" i="1"/>
  <c r="P581" i="1"/>
  <c r="Q581" i="1"/>
  <c r="O582" i="1"/>
  <c r="P582" i="1"/>
  <c r="Q582" i="1"/>
  <c r="O583" i="1"/>
  <c r="P583" i="1"/>
  <c r="Q583" i="1"/>
  <c r="O584" i="1"/>
  <c r="P584" i="1"/>
  <c r="Q584" i="1"/>
  <c r="O585" i="1"/>
  <c r="P585" i="1"/>
  <c r="Q585" i="1"/>
  <c r="O586" i="1"/>
  <c r="P586" i="1"/>
  <c r="Q586" i="1"/>
  <c r="O587" i="1"/>
  <c r="P587" i="1"/>
  <c r="Q587" i="1"/>
  <c r="O588" i="1"/>
  <c r="P588" i="1"/>
  <c r="Q588" i="1"/>
  <c r="O589" i="1"/>
  <c r="P589" i="1"/>
  <c r="Q589" i="1"/>
  <c r="O590" i="1"/>
  <c r="P590" i="1"/>
  <c r="Q590" i="1"/>
  <c r="O591" i="1"/>
  <c r="P591" i="1"/>
  <c r="Q591" i="1"/>
  <c r="O592" i="1"/>
  <c r="P592" i="1"/>
  <c r="Q592" i="1"/>
  <c r="O593" i="1"/>
  <c r="P593" i="1"/>
  <c r="Q593" i="1"/>
  <c r="O594" i="1"/>
  <c r="P594" i="1"/>
  <c r="Q594" i="1"/>
  <c r="O595" i="1"/>
  <c r="P595" i="1"/>
  <c r="Q595" i="1"/>
  <c r="O596" i="1"/>
  <c r="P596" i="1"/>
  <c r="Q596" i="1"/>
  <c r="O597" i="1"/>
  <c r="P597" i="1"/>
  <c r="Q597" i="1"/>
  <c r="O598" i="1"/>
  <c r="P598" i="1"/>
  <c r="Q598" i="1"/>
  <c r="O599" i="1"/>
  <c r="P599" i="1"/>
  <c r="Q599" i="1"/>
  <c r="O600" i="1"/>
  <c r="P600" i="1"/>
  <c r="Q600" i="1"/>
  <c r="O601" i="1"/>
  <c r="P601" i="1"/>
  <c r="Q601" i="1"/>
  <c r="O602" i="1"/>
  <c r="P602" i="1"/>
  <c r="Q602" i="1"/>
  <c r="O603" i="1"/>
  <c r="P603" i="1"/>
  <c r="Q603" i="1"/>
  <c r="O604" i="1"/>
  <c r="P604" i="1"/>
  <c r="Q604" i="1"/>
  <c r="O605" i="1"/>
  <c r="P605" i="1"/>
  <c r="Q605" i="1"/>
  <c r="O606" i="1"/>
  <c r="P606" i="1"/>
  <c r="Q606" i="1"/>
  <c r="O607" i="1"/>
  <c r="P607" i="1"/>
  <c r="Q607" i="1"/>
  <c r="O608" i="1"/>
  <c r="P608" i="1"/>
  <c r="Q608" i="1"/>
  <c r="O609" i="1"/>
  <c r="P609" i="1"/>
  <c r="Q609" i="1"/>
  <c r="O610" i="1"/>
  <c r="P610" i="1"/>
  <c r="Q610" i="1"/>
  <c r="O611" i="1"/>
  <c r="P611" i="1"/>
  <c r="Q611" i="1"/>
  <c r="O612" i="1"/>
  <c r="P612" i="1"/>
  <c r="Q612" i="1"/>
  <c r="O613" i="1"/>
  <c r="P613" i="1"/>
  <c r="Q613" i="1"/>
  <c r="O614" i="1"/>
  <c r="P614" i="1"/>
  <c r="Q614" i="1"/>
  <c r="O615" i="1"/>
  <c r="P615" i="1"/>
  <c r="Q615" i="1"/>
  <c r="O616" i="1"/>
  <c r="P616" i="1"/>
  <c r="Q616" i="1"/>
  <c r="O617" i="1"/>
  <c r="P617" i="1"/>
  <c r="Q617" i="1"/>
  <c r="O618" i="1"/>
  <c r="P618" i="1"/>
  <c r="Q618" i="1"/>
  <c r="O619" i="1"/>
  <c r="P619" i="1"/>
  <c r="Q619" i="1"/>
  <c r="O620" i="1"/>
  <c r="P620" i="1"/>
  <c r="Q620" i="1"/>
  <c r="O621" i="1"/>
  <c r="P621" i="1"/>
  <c r="Q621" i="1"/>
  <c r="O622" i="1"/>
  <c r="P622" i="1"/>
  <c r="Q622" i="1"/>
  <c r="O623" i="1"/>
  <c r="P623" i="1"/>
  <c r="Q623" i="1"/>
  <c r="O624" i="1"/>
  <c r="P624" i="1"/>
  <c r="Q624" i="1"/>
  <c r="O625" i="1"/>
  <c r="P625" i="1"/>
  <c r="Q625" i="1"/>
  <c r="O626" i="1"/>
  <c r="P626" i="1"/>
  <c r="Q626" i="1"/>
  <c r="O627" i="1"/>
  <c r="P627" i="1"/>
  <c r="Q627" i="1"/>
  <c r="O628" i="1"/>
  <c r="P628" i="1"/>
  <c r="Q628" i="1"/>
  <c r="O629" i="1"/>
  <c r="P629" i="1"/>
  <c r="Q629" i="1"/>
  <c r="O630" i="1"/>
  <c r="P630" i="1"/>
  <c r="Q630" i="1"/>
  <c r="O631" i="1"/>
  <c r="P631" i="1"/>
  <c r="Q631" i="1"/>
  <c r="O632" i="1"/>
  <c r="P632" i="1"/>
  <c r="Q632" i="1"/>
  <c r="O633" i="1"/>
  <c r="P633" i="1"/>
  <c r="Q633" i="1"/>
  <c r="O634" i="1"/>
  <c r="P634" i="1"/>
  <c r="Q634" i="1"/>
  <c r="O635" i="1"/>
  <c r="P635" i="1"/>
  <c r="Q635" i="1"/>
  <c r="O636" i="1"/>
  <c r="P636" i="1"/>
  <c r="Q636" i="1"/>
  <c r="O637" i="1"/>
  <c r="P637" i="1"/>
  <c r="Q637" i="1"/>
  <c r="O638" i="1"/>
  <c r="P638" i="1"/>
  <c r="Q638" i="1"/>
  <c r="O639" i="1"/>
  <c r="P639" i="1"/>
  <c r="Q639" i="1"/>
  <c r="O640" i="1"/>
  <c r="P640" i="1"/>
  <c r="Q640" i="1"/>
  <c r="O641" i="1"/>
  <c r="P641" i="1"/>
  <c r="Q641" i="1"/>
  <c r="O642" i="1"/>
  <c r="P642" i="1"/>
  <c r="Q642" i="1"/>
  <c r="O643" i="1"/>
  <c r="P643" i="1"/>
  <c r="Q643" i="1"/>
  <c r="O644" i="1"/>
  <c r="P644" i="1"/>
  <c r="Q644" i="1"/>
  <c r="O645" i="1"/>
  <c r="P645" i="1"/>
  <c r="Q645" i="1"/>
  <c r="O646" i="1"/>
  <c r="P646" i="1"/>
  <c r="Q646" i="1"/>
  <c r="O647" i="1"/>
  <c r="P647" i="1"/>
  <c r="Q647" i="1"/>
  <c r="O648" i="1"/>
  <c r="P648" i="1"/>
  <c r="Q648" i="1"/>
  <c r="O649" i="1"/>
  <c r="P649" i="1"/>
  <c r="Q649" i="1"/>
  <c r="O650" i="1"/>
  <c r="P650" i="1"/>
  <c r="Q650" i="1"/>
  <c r="O651" i="1"/>
  <c r="P651" i="1"/>
  <c r="Q651" i="1"/>
  <c r="O652" i="1"/>
  <c r="P652" i="1"/>
  <c r="Q652" i="1"/>
  <c r="O653" i="1"/>
  <c r="P653" i="1"/>
  <c r="Q653" i="1"/>
  <c r="O654" i="1"/>
  <c r="P654" i="1"/>
  <c r="Q654" i="1"/>
  <c r="O655" i="1"/>
  <c r="P655" i="1"/>
  <c r="Q655" i="1"/>
  <c r="O656" i="1"/>
  <c r="P656" i="1"/>
  <c r="Q656" i="1"/>
  <c r="O657" i="1"/>
  <c r="P657" i="1"/>
  <c r="Q657" i="1"/>
  <c r="O658" i="1"/>
  <c r="P658" i="1"/>
  <c r="Q658" i="1"/>
  <c r="O659" i="1"/>
  <c r="P659" i="1"/>
  <c r="Q659" i="1"/>
  <c r="O660" i="1"/>
  <c r="P660" i="1"/>
  <c r="Q660" i="1"/>
  <c r="O661" i="1"/>
  <c r="P661" i="1"/>
  <c r="Q661" i="1"/>
  <c r="O662" i="1"/>
  <c r="P662" i="1"/>
  <c r="Q662" i="1"/>
  <c r="O663" i="1"/>
  <c r="P663" i="1"/>
  <c r="Q663" i="1"/>
  <c r="O664" i="1"/>
  <c r="P664" i="1"/>
  <c r="Q664" i="1"/>
  <c r="O665" i="1"/>
  <c r="P665" i="1"/>
  <c r="Q665" i="1"/>
  <c r="O666" i="1"/>
  <c r="P666" i="1"/>
  <c r="Q666" i="1"/>
  <c r="O667" i="1"/>
  <c r="P667" i="1"/>
  <c r="Q667" i="1"/>
  <c r="O668" i="1"/>
  <c r="P668" i="1"/>
  <c r="Q668" i="1"/>
  <c r="O669" i="1"/>
  <c r="P669" i="1"/>
  <c r="Q669" i="1"/>
  <c r="O670" i="1"/>
  <c r="P670" i="1"/>
  <c r="Q670" i="1"/>
  <c r="O671" i="1"/>
  <c r="P671" i="1"/>
  <c r="Q671" i="1"/>
  <c r="O672" i="1"/>
  <c r="P672" i="1"/>
  <c r="Q672" i="1"/>
  <c r="O673" i="1"/>
  <c r="P673" i="1"/>
  <c r="Q673" i="1"/>
  <c r="O674" i="1"/>
  <c r="P674" i="1"/>
  <c r="Q674" i="1"/>
  <c r="O675" i="1"/>
  <c r="P675" i="1"/>
  <c r="Q675" i="1"/>
  <c r="O676" i="1"/>
  <c r="P676" i="1"/>
  <c r="Q676" i="1"/>
  <c r="O677" i="1"/>
  <c r="P677" i="1"/>
  <c r="Q677" i="1"/>
  <c r="O678" i="1"/>
  <c r="P678" i="1"/>
  <c r="Q678" i="1"/>
  <c r="O679" i="1"/>
  <c r="P679" i="1"/>
  <c r="Q679" i="1"/>
  <c r="O680" i="1"/>
  <c r="P680" i="1"/>
  <c r="Q680" i="1"/>
  <c r="O681" i="1"/>
  <c r="P681" i="1"/>
  <c r="Q681" i="1"/>
  <c r="O682" i="1"/>
  <c r="P682" i="1"/>
  <c r="Q682" i="1"/>
  <c r="O683" i="1"/>
  <c r="P683" i="1"/>
  <c r="Q683" i="1"/>
  <c r="O684" i="1"/>
  <c r="P684" i="1"/>
  <c r="Q684" i="1"/>
  <c r="O685" i="1"/>
  <c r="P685" i="1"/>
  <c r="Q685" i="1"/>
  <c r="O686" i="1"/>
  <c r="P686" i="1"/>
  <c r="Q686" i="1"/>
  <c r="O687" i="1"/>
  <c r="P687" i="1"/>
  <c r="Q687" i="1"/>
  <c r="O688" i="1"/>
  <c r="P688" i="1"/>
  <c r="Q688" i="1"/>
  <c r="O689" i="1"/>
  <c r="P689" i="1"/>
  <c r="Q689" i="1"/>
  <c r="O690" i="1"/>
  <c r="P690" i="1"/>
  <c r="Q690" i="1"/>
  <c r="O691" i="1"/>
  <c r="P691" i="1"/>
  <c r="Q691" i="1"/>
  <c r="O692" i="1"/>
  <c r="P692" i="1"/>
  <c r="Q692" i="1"/>
  <c r="O693" i="1"/>
  <c r="P693" i="1"/>
  <c r="Q693" i="1"/>
  <c r="O694" i="1"/>
  <c r="P694" i="1"/>
  <c r="Q694" i="1"/>
  <c r="O695" i="1"/>
  <c r="P695" i="1"/>
  <c r="Q695" i="1"/>
  <c r="O696" i="1"/>
  <c r="P696" i="1"/>
  <c r="Q696" i="1"/>
  <c r="O697" i="1"/>
  <c r="P697" i="1"/>
  <c r="Q697" i="1"/>
  <c r="O698" i="1"/>
  <c r="P698" i="1"/>
  <c r="Q698" i="1"/>
  <c r="O699" i="1"/>
  <c r="P699" i="1"/>
  <c r="Q699" i="1"/>
  <c r="O700" i="1"/>
  <c r="P700" i="1"/>
  <c r="Q700" i="1"/>
  <c r="O701" i="1"/>
  <c r="P701" i="1"/>
  <c r="Q701" i="1"/>
  <c r="O702" i="1"/>
  <c r="P702" i="1"/>
  <c r="Q702" i="1"/>
  <c r="O703" i="1"/>
  <c r="P703" i="1"/>
  <c r="Q703" i="1"/>
  <c r="O704" i="1"/>
  <c r="P704" i="1"/>
  <c r="Q704" i="1"/>
  <c r="O705" i="1"/>
  <c r="P705" i="1"/>
  <c r="Q705" i="1"/>
  <c r="O706" i="1"/>
  <c r="P706" i="1"/>
  <c r="Q706" i="1"/>
  <c r="O707" i="1"/>
  <c r="P707" i="1"/>
  <c r="Q707" i="1"/>
  <c r="O708" i="1"/>
  <c r="P708" i="1"/>
  <c r="Q708" i="1"/>
  <c r="O709" i="1"/>
  <c r="P709" i="1"/>
  <c r="Q709" i="1"/>
  <c r="O710" i="1"/>
  <c r="P710" i="1"/>
  <c r="Q710" i="1"/>
  <c r="O711" i="1"/>
  <c r="P711" i="1"/>
  <c r="Q711" i="1"/>
  <c r="O712" i="1"/>
  <c r="P712" i="1"/>
  <c r="Q712" i="1"/>
  <c r="O713" i="1"/>
  <c r="P713" i="1"/>
  <c r="Q713" i="1"/>
  <c r="O714" i="1"/>
  <c r="P714" i="1"/>
  <c r="Q714" i="1"/>
  <c r="O715" i="1"/>
  <c r="P715" i="1"/>
  <c r="Q715" i="1"/>
  <c r="O716" i="1"/>
  <c r="P716" i="1"/>
  <c r="Q716" i="1"/>
  <c r="O717" i="1"/>
  <c r="P717" i="1"/>
  <c r="Q717" i="1"/>
  <c r="O718" i="1"/>
  <c r="P718" i="1"/>
  <c r="Q718" i="1"/>
  <c r="O719" i="1"/>
  <c r="P719" i="1"/>
  <c r="Q719" i="1"/>
  <c r="O720" i="1"/>
  <c r="P720" i="1"/>
  <c r="Q720" i="1"/>
  <c r="O721" i="1"/>
  <c r="P721" i="1"/>
  <c r="Q721" i="1"/>
  <c r="O722" i="1"/>
  <c r="P722" i="1"/>
  <c r="Q722" i="1"/>
  <c r="O723" i="1"/>
  <c r="P723" i="1"/>
  <c r="Q723" i="1"/>
  <c r="O724" i="1"/>
  <c r="P724" i="1"/>
  <c r="Q724" i="1"/>
  <c r="O725" i="1"/>
  <c r="P725" i="1"/>
  <c r="Q725" i="1"/>
  <c r="O726" i="1"/>
  <c r="P726" i="1"/>
  <c r="Q726" i="1"/>
  <c r="O727" i="1"/>
  <c r="P727" i="1"/>
  <c r="Q727" i="1"/>
  <c r="O728" i="1"/>
  <c r="P728" i="1"/>
  <c r="Q728" i="1"/>
  <c r="O729" i="1"/>
  <c r="P729" i="1"/>
  <c r="Q729" i="1"/>
  <c r="O730" i="1"/>
  <c r="P730" i="1"/>
  <c r="Q730" i="1"/>
  <c r="O731" i="1"/>
  <c r="P731" i="1"/>
  <c r="Q731" i="1"/>
  <c r="O732" i="1"/>
  <c r="P732" i="1"/>
  <c r="Q732" i="1"/>
  <c r="O733" i="1"/>
  <c r="P733" i="1"/>
  <c r="Q733" i="1"/>
  <c r="O734" i="1"/>
  <c r="P734" i="1"/>
  <c r="Q734" i="1"/>
  <c r="O735" i="1"/>
  <c r="P735" i="1"/>
  <c r="Q735" i="1"/>
  <c r="O736" i="1"/>
  <c r="P736" i="1"/>
  <c r="Q736" i="1"/>
  <c r="O737" i="1"/>
  <c r="P737" i="1"/>
  <c r="Q737" i="1"/>
  <c r="O738" i="1"/>
  <c r="P738" i="1"/>
  <c r="Q738" i="1"/>
  <c r="O739" i="1"/>
  <c r="P739" i="1"/>
  <c r="Q739" i="1"/>
  <c r="O740" i="1"/>
  <c r="P740" i="1"/>
  <c r="Q740" i="1"/>
  <c r="O741" i="1"/>
  <c r="P741" i="1"/>
  <c r="Q741" i="1"/>
  <c r="O742" i="1"/>
  <c r="P742" i="1"/>
  <c r="Q742" i="1"/>
  <c r="O743" i="1"/>
  <c r="P743" i="1"/>
  <c r="Q743" i="1"/>
  <c r="O744" i="1"/>
  <c r="P744" i="1"/>
  <c r="Q744" i="1"/>
  <c r="O745" i="1"/>
  <c r="P745" i="1"/>
  <c r="Q745" i="1"/>
  <c r="O746" i="1"/>
  <c r="P746" i="1"/>
  <c r="Q746" i="1"/>
  <c r="O747" i="1"/>
  <c r="P747" i="1"/>
  <c r="Q747" i="1"/>
  <c r="O748" i="1"/>
  <c r="P748" i="1"/>
  <c r="Q748" i="1"/>
  <c r="O749" i="1"/>
  <c r="P749" i="1"/>
  <c r="Q749" i="1"/>
  <c r="O750" i="1"/>
  <c r="P750" i="1"/>
  <c r="Q750" i="1"/>
  <c r="O751" i="1"/>
  <c r="P751" i="1"/>
  <c r="Q751" i="1"/>
  <c r="O752" i="1"/>
  <c r="P752" i="1"/>
  <c r="Q752" i="1"/>
  <c r="O753" i="1"/>
  <c r="P753" i="1"/>
  <c r="Q753" i="1"/>
  <c r="O754" i="1"/>
  <c r="P754" i="1"/>
  <c r="Q754" i="1"/>
  <c r="O755" i="1"/>
  <c r="P755" i="1"/>
  <c r="Q755" i="1"/>
  <c r="O756" i="1"/>
  <c r="P756" i="1"/>
  <c r="Q756" i="1"/>
  <c r="O757" i="1"/>
  <c r="P757" i="1"/>
  <c r="Q757" i="1"/>
  <c r="O758" i="1"/>
  <c r="P758" i="1"/>
  <c r="Q758" i="1"/>
  <c r="O759" i="1"/>
  <c r="P759" i="1"/>
  <c r="Q759" i="1"/>
  <c r="O760" i="1"/>
  <c r="P760" i="1"/>
  <c r="Q760" i="1"/>
  <c r="O761" i="1"/>
  <c r="P761" i="1"/>
  <c r="Q761" i="1"/>
  <c r="O762" i="1"/>
  <c r="P762" i="1"/>
  <c r="Q762" i="1"/>
  <c r="O763" i="1"/>
  <c r="P763" i="1"/>
  <c r="Q763" i="1"/>
  <c r="O764" i="1"/>
  <c r="P764" i="1"/>
  <c r="Q764" i="1"/>
  <c r="O765" i="1"/>
  <c r="P765" i="1"/>
  <c r="Q765" i="1"/>
  <c r="O766" i="1"/>
  <c r="P766" i="1"/>
  <c r="Q766" i="1"/>
  <c r="O767" i="1"/>
  <c r="P767" i="1"/>
  <c r="Q767" i="1"/>
  <c r="O768" i="1"/>
  <c r="P768" i="1"/>
  <c r="Q768" i="1"/>
  <c r="O769" i="1"/>
  <c r="P769" i="1"/>
  <c r="Q769" i="1"/>
  <c r="O770" i="1"/>
  <c r="P770" i="1"/>
  <c r="Q770" i="1"/>
  <c r="O771" i="1"/>
  <c r="P771" i="1"/>
  <c r="Q771" i="1"/>
  <c r="O772" i="1"/>
  <c r="P772" i="1"/>
  <c r="Q772" i="1"/>
  <c r="O773" i="1"/>
  <c r="P773" i="1"/>
  <c r="Q773" i="1"/>
  <c r="O774" i="1"/>
  <c r="P774" i="1"/>
  <c r="Q774" i="1"/>
  <c r="O775" i="1"/>
  <c r="P775" i="1"/>
  <c r="Q775" i="1"/>
  <c r="O776" i="1"/>
  <c r="P776" i="1"/>
  <c r="Q776" i="1"/>
  <c r="O777" i="1"/>
  <c r="P777" i="1"/>
  <c r="Q777" i="1"/>
  <c r="O778" i="1"/>
  <c r="P778" i="1"/>
  <c r="Q778" i="1"/>
  <c r="O779" i="1"/>
  <c r="P779" i="1"/>
  <c r="Q779" i="1"/>
  <c r="O780" i="1"/>
  <c r="P780" i="1"/>
  <c r="Q780" i="1"/>
  <c r="O781" i="1"/>
  <c r="P781" i="1"/>
  <c r="Q781" i="1"/>
  <c r="O782" i="1"/>
  <c r="P782" i="1"/>
  <c r="Q782" i="1"/>
  <c r="O783" i="1"/>
  <c r="P783" i="1"/>
  <c r="Q783" i="1"/>
  <c r="O784" i="1"/>
  <c r="P784" i="1"/>
  <c r="Q784" i="1"/>
  <c r="O785" i="1"/>
  <c r="P785" i="1"/>
  <c r="Q785" i="1"/>
  <c r="O786" i="1"/>
  <c r="P786" i="1"/>
  <c r="Q786" i="1"/>
  <c r="O787" i="1"/>
  <c r="P787" i="1"/>
  <c r="Q787" i="1"/>
  <c r="O788" i="1"/>
  <c r="P788" i="1"/>
  <c r="Q788" i="1"/>
  <c r="O789" i="1"/>
  <c r="P789" i="1"/>
  <c r="Q789" i="1"/>
  <c r="O790" i="1"/>
  <c r="P790" i="1"/>
  <c r="Q790" i="1"/>
  <c r="O791" i="1"/>
  <c r="P791" i="1"/>
  <c r="Q791" i="1"/>
  <c r="O792" i="1"/>
  <c r="P792" i="1"/>
  <c r="Q792" i="1"/>
  <c r="O793" i="1"/>
  <c r="P793" i="1"/>
  <c r="Q793" i="1"/>
  <c r="O794" i="1"/>
  <c r="P794" i="1"/>
  <c r="Q794" i="1"/>
  <c r="O795" i="1"/>
  <c r="P795" i="1"/>
  <c r="Q795" i="1"/>
  <c r="O796" i="1"/>
  <c r="P796" i="1"/>
  <c r="Q796" i="1"/>
  <c r="O797" i="1"/>
  <c r="P797" i="1"/>
  <c r="Q797" i="1"/>
  <c r="O798" i="1"/>
  <c r="P798" i="1"/>
  <c r="Q798" i="1"/>
  <c r="O799" i="1"/>
  <c r="P799" i="1"/>
  <c r="Q799" i="1"/>
  <c r="O800" i="1"/>
  <c r="P800" i="1"/>
  <c r="Q800" i="1"/>
  <c r="O801" i="1"/>
  <c r="P801" i="1"/>
  <c r="Q801" i="1"/>
  <c r="O802" i="1"/>
  <c r="P802" i="1"/>
  <c r="Q802" i="1"/>
  <c r="O803" i="1"/>
  <c r="P803" i="1"/>
  <c r="Q803" i="1"/>
  <c r="O804" i="1"/>
  <c r="P804" i="1"/>
  <c r="Q804" i="1"/>
  <c r="O805" i="1"/>
  <c r="P805" i="1"/>
  <c r="Q805" i="1"/>
  <c r="O806" i="1"/>
  <c r="P806" i="1"/>
  <c r="Q806" i="1"/>
  <c r="O807" i="1"/>
  <c r="P807" i="1"/>
  <c r="Q807" i="1"/>
  <c r="O808" i="1"/>
  <c r="P808" i="1"/>
  <c r="Q808" i="1"/>
  <c r="O809" i="1"/>
  <c r="P809" i="1"/>
  <c r="Q809" i="1"/>
  <c r="O810" i="1"/>
  <c r="P810" i="1"/>
  <c r="Q810" i="1"/>
  <c r="O811" i="1"/>
  <c r="P811" i="1"/>
  <c r="Q811" i="1"/>
  <c r="O812" i="1"/>
  <c r="P812" i="1"/>
  <c r="Q812" i="1"/>
  <c r="O813" i="1"/>
  <c r="P813" i="1"/>
  <c r="Q813" i="1"/>
  <c r="O814" i="1"/>
  <c r="P814" i="1"/>
  <c r="Q814" i="1"/>
  <c r="O815" i="1"/>
  <c r="P815" i="1"/>
  <c r="Q815" i="1"/>
  <c r="O816" i="1"/>
  <c r="P816" i="1"/>
  <c r="Q816" i="1"/>
  <c r="O817" i="1"/>
  <c r="P817" i="1"/>
  <c r="Q817" i="1"/>
  <c r="O818" i="1"/>
  <c r="P818" i="1"/>
  <c r="Q818" i="1"/>
  <c r="O819" i="1"/>
  <c r="P819" i="1"/>
  <c r="Q819" i="1"/>
  <c r="O820" i="1"/>
  <c r="P820" i="1"/>
  <c r="Q820" i="1"/>
  <c r="O821" i="1"/>
  <c r="P821" i="1"/>
  <c r="Q821" i="1"/>
  <c r="O822" i="1"/>
  <c r="P822" i="1"/>
  <c r="Q822" i="1"/>
  <c r="O823" i="1"/>
  <c r="P823" i="1"/>
  <c r="Q823" i="1"/>
  <c r="O824" i="1"/>
  <c r="P824" i="1"/>
  <c r="Q824" i="1"/>
  <c r="O825" i="1"/>
  <c r="P825" i="1"/>
  <c r="Q825" i="1"/>
  <c r="O826" i="1"/>
  <c r="P826" i="1"/>
  <c r="Q826" i="1"/>
  <c r="O827" i="1"/>
  <c r="P827" i="1"/>
  <c r="Q827" i="1"/>
  <c r="O828" i="1"/>
  <c r="P828" i="1"/>
  <c r="Q828" i="1"/>
  <c r="O829" i="1"/>
  <c r="P829" i="1"/>
  <c r="Q829" i="1"/>
  <c r="O830" i="1"/>
  <c r="P830" i="1"/>
  <c r="Q830" i="1"/>
  <c r="O831" i="1"/>
  <c r="P831" i="1"/>
  <c r="Q831" i="1"/>
  <c r="O832" i="1"/>
  <c r="P832" i="1"/>
  <c r="Q832" i="1"/>
  <c r="O833" i="1"/>
  <c r="P833" i="1"/>
  <c r="Q833" i="1"/>
  <c r="O834" i="1"/>
  <c r="P834" i="1"/>
  <c r="Q834" i="1"/>
  <c r="O835" i="1"/>
  <c r="P835" i="1"/>
  <c r="Q835" i="1"/>
  <c r="O836" i="1"/>
  <c r="P836" i="1"/>
  <c r="Q836" i="1"/>
  <c r="O837" i="1"/>
  <c r="P837" i="1"/>
  <c r="Q837" i="1"/>
  <c r="O838" i="1"/>
  <c r="P838" i="1"/>
  <c r="Q838" i="1"/>
  <c r="O839" i="1"/>
  <c r="P839" i="1"/>
  <c r="Q839" i="1"/>
  <c r="O840" i="1"/>
  <c r="P840" i="1"/>
  <c r="Q840" i="1"/>
  <c r="O841" i="1"/>
  <c r="P841" i="1"/>
  <c r="Q841" i="1"/>
  <c r="O842" i="1"/>
  <c r="P842" i="1"/>
  <c r="Q842" i="1"/>
  <c r="O843" i="1"/>
  <c r="P843" i="1"/>
  <c r="Q843" i="1"/>
  <c r="O844" i="1"/>
  <c r="P844" i="1"/>
  <c r="Q844" i="1"/>
  <c r="O845" i="1"/>
  <c r="P845" i="1"/>
  <c r="Q845" i="1"/>
  <c r="O846" i="1"/>
  <c r="P846" i="1"/>
  <c r="Q846" i="1"/>
  <c r="O847" i="1"/>
  <c r="P847" i="1"/>
  <c r="Q847" i="1"/>
  <c r="O848" i="1"/>
  <c r="P848" i="1"/>
  <c r="Q848" i="1"/>
  <c r="O849" i="1"/>
  <c r="P849" i="1"/>
  <c r="Q849" i="1"/>
  <c r="O850" i="1"/>
  <c r="P850" i="1"/>
  <c r="Q850" i="1"/>
  <c r="O851" i="1"/>
  <c r="P851" i="1"/>
  <c r="Q851" i="1"/>
  <c r="O852" i="1"/>
  <c r="P852" i="1"/>
  <c r="Q852" i="1"/>
  <c r="O853" i="1"/>
  <c r="P853" i="1"/>
  <c r="Q853" i="1"/>
  <c r="O854" i="1"/>
  <c r="P854" i="1"/>
  <c r="Q854" i="1"/>
  <c r="O855" i="1"/>
  <c r="P855" i="1"/>
  <c r="Q855" i="1"/>
  <c r="O856" i="1"/>
  <c r="P856" i="1"/>
  <c r="Q856" i="1"/>
  <c r="O857" i="1"/>
  <c r="P857" i="1"/>
  <c r="Q857" i="1"/>
  <c r="O858" i="1"/>
  <c r="P858" i="1"/>
  <c r="Q858" i="1"/>
  <c r="O859" i="1"/>
  <c r="P859" i="1"/>
  <c r="Q859" i="1"/>
  <c r="O860" i="1"/>
  <c r="P860" i="1"/>
  <c r="Q860" i="1"/>
  <c r="O861" i="1"/>
  <c r="P861" i="1"/>
  <c r="Q861" i="1"/>
  <c r="O862" i="1"/>
  <c r="P862" i="1"/>
  <c r="Q862" i="1"/>
  <c r="O863" i="1"/>
  <c r="P863" i="1"/>
  <c r="Q863" i="1"/>
  <c r="O864" i="1"/>
  <c r="P864" i="1"/>
  <c r="Q864" i="1"/>
  <c r="O865" i="1"/>
  <c r="P865" i="1"/>
  <c r="Q865" i="1"/>
  <c r="O866" i="1"/>
  <c r="P866" i="1"/>
  <c r="Q866" i="1"/>
  <c r="O867" i="1"/>
  <c r="P867" i="1"/>
  <c r="Q867" i="1"/>
  <c r="O868" i="1"/>
  <c r="P868" i="1"/>
  <c r="Q868" i="1"/>
  <c r="O869" i="1"/>
  <c r="P869" i="1"/>
  <c r="Q869" i="1"/>
  <c r="O870" i="1"/>
  <c r="P870" i="1"/>
  <c r="Q870" i="1"/>
  <c r="O871" i="1"/>
  <c r="P871" i="1"/>
  <c r="Q871" i="1"/>
  <c r="O872" i="1"/>
  <c r="P872" i="1"/>
  <c r="Q872" i="1"/>
  <c r="O873" i="1"/>
  <c r="P873" i="1"/>
  <c r="Q873" i="1"/>
  <c r="O874" i="1"/>
  <c r="P874" i="1"/>
  <c r="Q874" i="1"/>
  <c r="O875" i="1"/>
  <c r="P875" i="1"/>
  <c r="Q875" i="1"/>
  <c r="O876" i="1"/>
  <c r="P876" i="1"/>
  <c r="Q876" i="1"/>
  <c r="O877" i="1"/>
  <c r="P877" i="1"/>
  <c r="Q877" i="1"/>
  <c r="O878" i="1"/>
  <c r="P878" i="1"/>
  <c r="Q878" i="1"/>
  <c r="O879" i="1"/>
  <c r="P879" i="1"/>
  <c r="Q879" i="1"/>
  <c r="O880" i="1"/>
  <c r="P880" i="1"/>
  <c r="Q880" i="1"/>
  <c r="O881" i="1"/>
  <c r="P881" i="1"/>
  <c r="Q881" i="1"/>
  <c r="O882" i="1"/>
  <c r="P882" i="1"/>
  <c r="Q882" i="1"/>
  <c r="O883" i="1"/>
  <c r="P883" i="1"/>
  <c r="Q883" i="1"/>
  <c r="O884" i="1"/>
  <c r="P884" i="1"/>
  <c r="Q884" i="1"/>
  <c r="O885" i="1"/>
  <c r="P885" i="1"/>
  <c r="Q885" i="1"/>
  <c r="O886" i="1"/>
  <c r="P886" i="1"/>
  <c r="Q886" i="1"/>
  <c r="O887" i="1"/>
  <c r="P887" i="1"/>
  <c r="Q887" i="1"/>
  <c r="O888" i="1"/>
  <c r="P888" i="1"/>
  <c r="Q888" i="1"/>
  <c r="O889" i="1"/>
  <c r="P889" i="1"/>
  <c r="Q889" i="1"/>
  <c r="O890" i="1"/>
  <c r="P890" i="1"/>
  <c r="Q890" i="1"/>
  <c r="O891" i="1"/>
  <c r="P891" i="1"/>
  <c r="Q891" i="1"/>
  <c r="O892" i="1"/>
  <c r="P892" i="1"/>
  <c r="Q892" i="1"/>
  <c r="O893" i="1"/>
  <c r="P893" i="1"/>
  <c r="Q893" i="1"/>
  <c r="O894" i="1"/>
  <c r="P894" i="1"/>
  <c r="Q894" i="1"/>
  <c r="O895" i="1"/>
  <c r="P895" i="1"/>
  <c r="Q895" i="1"/>
  <c r="O896" i="1"/>
  <c r="P896" i="1"/>
  <c r="Q896" i="1"/>
  <c r="O897" i="1"/>
  <c r="P897" i="1"/>
  <c r="Q897" i="1"/>
  <c r="O898" i="1"/>
  <c r="P898" i="1"/>
  <c r="Q898" i="1"/>
  <c r="O899" i="1"/>
  <c r="P899" i="1"/>
  <c r="Q899" i="1"/>
  <c r="O900" i="1"/>
  <c r="P900" i="1"/>
  <c r="Q900" i="1"/>
  <c r="O901" i="1"/>
  <c r="P901" i="1"/>
  <c r="Q901" i="1"/>
  <c r="O902" i="1"/>
  <c r="P902" i="1"/>
  <c r="Q902" i="1"/>
  <c r="O903" i="1"/>
  <c r="P903" i="1"/>
  <c r="Q903" i="1"/>
  <c r="O904" i="1"/>
  <c r="P904" i="1"/>
  <c r="Q904" i="1"/>
  <c r="O905" i="1"/>
  <c r="P905" i="1"/>
  <c r="Q905" i="1"/>
  <c r="O906" i="1"/>
  <c r="P906" i="1"/>
  <c r="Q906" i="1"/>
  <c r="O907" i="1"/>
  <c r="P907" i="1"/>
  <c r="Q907" i="1"/>
  <c r="O908" i="1"/>
  <c r="P908" i="1"/>
  <c r="Q908" i="1"/>
  <c r="O909" i="1"/>
  <c r="P909" i="1"/>
  <c r="Q909" i="1"/>
  <c r="O910" i="1"/>
  <c r="P910" i="1"/>
  <c r="Q910" i="1"/>
  <c r="O911" i="1"/>
  <c r="P911" i="1"/>
  <c r="Q911" i="1"/>
  <c r="O912" i="1"/>
  <c r="P912" i="1"/>
  <c r="Q912" i="1"/>
  <c r="O913" i="1"/>
  <c r="P913" i="1"/>
  <c r="Q913" i="1"/>
  <c r="O914" i="1"/>
  <c r="P914" i="1"/>
  <c r="Q914" i="1"/>
  <c r="O915" i="1"/>
  <c r="P915" i="1"/>
  <c r="Q915" i="1"/>
  <c r="O916" i="1"/>
  <c r="P916" i="1"/>
  <c r="Q916" i="1"/>
  <c r="O917" i="1"/>
  <c r="P917" i="1"/>
  <c r="Q917" i="1"/>
  <c r="O918" i="1"/>
  <c r="P918" i="1"/>
  <c r="Q918" i="1"/>
  <c r="O919" i="1"/>
  <c r="P919" i="1"/>
  <c r="Q919" i="1"/>
  <c r="O920" i="1"/>
  <c r="P920" i="1"/>
  <c r="Q920" i="1"/>
  <c r="O921" i="1"/>
  <c r="P921" i="1"/>
  <c r="Q921" i="1"/>
  <c r="O922" i="1"/>
  <c r="P922" i="1"/>
  <c r="Q922" i="1"/>
  <c r="O923" i="1"/>
  <c r="P923" i="1"/>
  <c r="Q923" i="1"/>
  <c r="O924" i="1"/>
  <c r="P924" i="1"/>
  <c r="Q924" i="1"/>
  <c r="O925" i="1"/>
  <c r="P925" i="1"/>
  <c r="Q925" i="1"/>
  <c r="O926" i="1"/>
  <c r="P926" i="1"/>
  <c r="Q926" i="1"/>
  <c r="O927" i="1"/>
  <c r="P927" i="1"/>
  <c r="Q927" i="1"/>
  <c r="O928" i="1"/>
  <c r="P928" i="1"/>
  <c r="Q928" i="1"/>
  <c r="O929" i="1"/>
  <c r="P929" i="1"/>
  <c r="Q929" i="1"/>
  <c r="O930" i="1"/>
  <c r="P930" i="1"/>
  <c r="Q930" i="1"/>
  <c r="O931" i="1"/>
  <c r="P931" i="1"/>
  <c r="Q931" i="1"/>
  <c r="O932" i="1"/>
  <c r="P932" i="1"/>
  <c r="Q932" i="1"/>
  <c r="O933" i="1"/>
  <c r="P933" i="1"/>
  <c r="Q933" i="1"/>
  <c r="O934" i="1"/>
  <c r="P934" i="1"/>
  <c r="Q934" i="1"/>
  <c r="O935" i="1"/>
  <c r="P935" i="1"/>
  <c r="Q935" i="1"/>
  <c r="O936" i="1"/>
  <c r="P936" i="1"/>
  <c r="Q936" i="1"/>
  <c r="O937" i="1"/>
  <c r="P937" i="1"/>
  <c r="Q937" i="1"/>
  <c r="O938" i="1"/>
  <c r="P938" i="1"/>
  <c r="Q938" i="1"/>
  <c r="O939" i="1"/>
  <c r="P939" i="1"/>
  <c r="Q939" i="1"/>
  <c r="O940" i="1"/>
  <c r="P940" i="1"/>
  <c r="Q940" i="1"/>
  <c r="O941" i="1"/>
  <c r="P941" i="1"/>
  <c r="Q941" i="1"/>
  <c r="O942" i="1"/>
  <c r="P942" i="1"/>
  <c r="Q942" i="1"/>
  <c r="O943" i="1"/>
  <c r="P943" i="1"/>
  <c r="Q943" i="1"/>
  <c r="O944" i="1"/>
  <c r="P944" i="1"/>
  <c r="Q944" i="1"/>
  <c r="O945" i="1"/>
  <c r="P945" i="1"/>
  <c r="Q945" i="1"/>
  <c r="O946" i="1"/>
  <c r="P946" i="1"/>
  <c r="Q946" i="1"/>
  <c r="O947" i="1"/>
  <c r="P947" i="1"/>
  <c r="Q947" i="1"/>
  <c r="O948" i="1"/>
  <c r="P948" i="1"/>
  <c r="Q948" i="1"/>
  <c r="O949" i="1"/>
  <c r="P949" i="1"/>
  <c r="Q949" i="1"/>
  <c r="O950" i="1"/>
  <c r="P950" i="1"/>
  <c r="Q950" i="1"/>
  <c r="O951" i="1"/>
  <c r="P951" i="1"/>
  <c r="Q951" i="1"/>
  <c r="O952" i="1"/>
  <c r="P952" i="1"/>
  <c r="Q952" i="1"/>
  <c r="O953" i="1"/>
  <c r="P953" i="1"/>
  <c r="Q953" i="1"/>
  <c r="O954" i="1"/>
  <c r="P954" i="1"/>
  <c r="Q954" i="1"/>
  <c r="O955" i="1"/>
  <c r="P955" i="1"/>
  <c r="Q955" i="1"/>
  <c r="O956" i="1"/>
  <c r="P956" i="1"/>
  <c r="Q956" i="1"/>
  <c r="O957" i="1"/>
  <c r="P957" i="1"/>
  <c r="Q957" i="1"/>
  <c r="O958" i="1"/>
  <c r="P958" i="1"/>
  <c r="Q958" i="1"/>
  <c r="O959" i="1"/>
  <c r="P959" i="1"/>
  <c r="Q959" i="1"/>
  <c r="O960" i="1"/>
  <c r="P960" i="1"/>
  <c r="Q960" i="1"/>
  <c r="O961" i="1"/>
  <c r="P961" i="1"/>
  <c r="Q961" i="1"/>
  <c r="O962" i="1"/>
  <c r="P962" i="1"/>
  <c r="Q962" i="1"/>
  <c r="O963" i="1"/>
  <c r="P963" i="1"/>
  <c r="Q963" i="1"/>
  <c r="O964" i="1"/>
  <c r="P964" i="1"/>
  <c r="Q964" i="1"/>
  <c r="O965" i="1"/>
  <c r="P965" i="1"/>
  <c r="Q965" i="1"/>
  <c r="O966" i="1"/>
  <c r="P966" i="1"/>
  <c r="Q966" i="1"/>
  <c r="O967" i="1"/>
  <c r="P967" i="1"/>
  <c r="Q967" i="1"/>
  <c r="O968" i="1"/>
  <c r="P968" i="1"/>
  <c r="Q968" i="1"/>
  <c r="O969" i="1"/>
  <c r="P969" i="1"/>
  <c r="Q969" i="1"/>
  <c r="O970" i="1"/>
  <c r="P970" i="1"/>
  <c r="Q970" i="1"/>
  <c r="O971" i="1"/>
  <c r="P971" i="1"/>
  <c r="Q971" i="1"/>
  <c r="O972" i="1"/>
  <c r="P972" i="1"/>
  <c r="Q972" i="1"/>
  <c r="O973" i="1"/>
  <c r="P973" i="1"/>
  <c r="Q973" i="1"/>
  <c r="O974" i="1"/>
  <c r="P974" i="1"/>
  <c r="Q974" i="1"/>
  <c r="O975" i="1"/>
  <c r="P975" i="1"/>
  <c r="Q975" i="1"/>
  <c r="O976" i="1"/>
  <c r="P976" i="1"/>
  <c r="Q976" i="1"/>
  <c r="O977" i="1"/>
  <c r="P977" i="1"/>
  <c r="Q977" i="1"/>
  <c r="O978" i="1"/>
  <c r="P978" i="1"/>
  <c r="Q978" i="1"/>
  <c r="O979" i="1"/>
  <c r="P979" i="1"/>
  <c r="Q979" i="1"/>
  <c r="O980" i="1"/>
  <c r="P980" i="1"/>
  <c r="Q980" i="1"/>
  <c r="O981" i="1"/>
  <c r="P981" i="1"/>
  <c r="Q981" i="1"/>
  <c r="O982" i="1"/>
  <c r="P982" i="1"/>
  <c r="Q982" i="1"/>
  <c r="O983" i="1"/>
  <c r="P983" i="1"/>
  <c r="Q983" i="1"/>
  <c r="O984" i="1"/>
  <c r="P984" i="1"/>
  <c r="Q984" i="1"/>
  <c r="O985" i="1"/>
  <c r="P985" i="1"/>
  <c r="Q985" i="1"/>
  <c r="O986" i="1"/>
  <c r="P986" i="1"/>
  <c r="Q986" i="1"/>
  <c r="O987" i="1"/>
  <c r="P987" i="1"/>
  <c r="Q987" i="1"/>
  <c r="O988" i="1"/>
  <c r="P988" i="1"/>
  <c r="Q988" i="1"/>
  <c r="O989" i="1"/>
  <c r="P989" i="1"/>
  <c r="Q989" i="1"/>
  <c r="O990" i="1"/>
  <c r="P990" i="1"/>
  <c r="Q990" i="1"/>
  <c r="O991" i="1"/>
  <c r="P991" i="1"/>
  <c r="Q991" i="1"/>
  <c r="O992" i="1"/>
  <c r="P992" i="1"/>
  <c r="Q992" i="1"/>
  <c r="O993" i="1"/>
  <c r="P993" i="1"/>
  <c r="Q993" i="1"/>
  <c r="O994" i="1"/>
  <c r="P994" i="1"/>
  <c r="Q994" i="1"/>
  <c r="O995" i="1"/>
  <c r="P995" i="1"/>
  <c r="Q995" i="1"/>
  <c r="O996" i="1"/>
  <c r="P996" i="1"/>
  <c r="Q996" i="1"/>
  <c r="O997" i="1"/>
  <c r="P997" i="1"/>
  <c r="Q997" i="1"/>
  <c r="O998" i="1"/>
  <c r="P998" i="1"/>
  <c r="Q998" i="1"/>
  <c r="O999" i="1"/>
  <c r="P999" i="1"/>
  <c r="Q999" i="1"/>
  <c r="O1000" i="1"/>
  <c r="P1000" i="1"/>
  <c r="Q1000" i="1"/>
  <c r="O1001" i="1"/>
  <c r="P1001" i="1"/>
  <c r="Q1001" i="1"/>
  <c r="O1002" i="1"/>
  <c r="P1002" i="1"/>
  <c r="Q1002" i="1"/>
  <c r="O1003" i="1"/>
  <c r="P1003" i="1"/>
  <c r="Q1003" i="1"/>
  <c r="O1004" i="1"/>
  <c r="P1004" i="1"/>
  <c r="Q1004" i="1"/>
  <c r="O1005" i="1"/>
  <c r="P1005" i="1"/>
  <c r="Q1005" i="1"/>
  <c r="O1006" i="1"/>
  <c r="P1006" i="1"/>
  <c r="Q1006" i="1"/>
  <c r="O1007" i="1"/>
  <c r="P1007" i="1"/>
  <c r="Q1007" i="1"/>
  <c r="O1008" i="1"/>
  <c r="P1008" i="1"/>
  <c r="Q1008" i="1"/>
  <c r="O1009" i="1"/>
  <c r="P1009" i="1"/>
  <c r="Q1009" i="1"/>
  <c r="O1010" i="1"/>
  <c r="P1010" i="1"/>
  <c r="Q1010" i="1"/>
  <c r="O1011" i="1"/>
  <c r="P1011" i="1"/>
  <c r="Q1011" i="1"/>
  <c r="O1012" i="1"/>
  <c r="P1012" i="1"/>
  <c r="Q1012" i="1"/>
  <c r="O1013" i="1"/>
  <c r="P1013" i="1"/>
  <c r="Q1013" i="1"/>
  <c r="O1014" i="1"/>
  <c r="P1014" i="1"/>
  <c r="Q1014" i="1"/>
  <c r="O1015" i="1"/>
  <c r="P1015" i="1"/>
  <c r="Q1015" i="1"/>
  <c r="O1016" i="1"/>
  <c r="P1016" i="1"/>
  <c r="Q1016" i="1"/>
  <c r="O1017" i="1"/>
  <c r="P1017" i="1"/>
  <c r="Q1017" i="1"/>
  <c r="O1018" i="1"/>
  <c r="P1018" i="1"/>
  <c r="Q1018" i="1"/>
  <c r="O1019" i="1"/>
  <c r="P1019" i="1"/>
  <c r="Q1019" i="1"/>
  <c r="O1020" i="1"/>
  <c r="P1020" i="1"/>
  <c r="Q1020" i="1"/>
  <c r="O1021" i="1"/>
  <c r="P1021" i="1"/>
  <c r="Q1021" i="1"/>
  <c r="O1022" i="1"/>
  <c r="P1022" i="1"/>
  <c r="Q1022" i="1"/>
  <c r="O1023" i="1"/>
  <c r="P1023" i="1"/>
  <c r="Q1023" i="1"/>
  <c r="O1024" i="1"/>
  <c r="P1024" i="1"/>
  <c r="Q1024" i="1"/>
  <c r="O1025" i="1"/>
  <c r="P1025" i="1"/>
  <c r="Q1025" i="1"/>
  <c r="O1026" i="1"/>
  <c r="P1026" i="1"/>
  <c r="Q1026" i="1"/>
  <c r="O1027" i="1"/>
  <c r="P1027" i="1"/>
  <c r="Q1027" i="1"/>
  <c r="O1028" i="1"/>
  <c r="P1028" i="1"/>
  <c r="Q1028" i="1"/>
  <c r="O1029" i="1"/>
  <c r="P1029" i="1"/>
  <c r="Q1029" i="1"/>
  <c r="O1030" i="1"/>
  <c r="P1030" i="1"/>
  <c r="Q1030" i="1"/>
  <c r="O1031" i="1"/>
  <c r="P1031" i="1"/>
  <c r="Q1031" i="1"/>
  <c r="O1032" i="1"/>
  <c r="P1032" i="1"/>
  <c r="Q1032" i="1"/>
  <c r="O1033" i="1"/>
  <c r="P1033" i="1"/>
  <c r="Q1033" i="1"/>
  <c r="O1034" i="1"/>
  <c r="P1034" i="1"/>
  <c r="Q1034" i="1"/>
  <c r="O1035" i="1"/>
  <c r="P1035" i="1"/>
  <c r="Q1035" i="1"/>
  <c r="O1036" i="1"/>
  <c r="P1036" i="1"/>
  <c r="Q1036" i="1"/>
  <c r="O1037" i="1"/>
  <c r="P1037" i="1"/>
  <c r="Q1037" i="1"/>
  <c r="O1038" i="1"/>
  <c r="P1038" i="1"/>
  <c r="Q1038" i="1"/>
  <c r="O1039" i="1"/>
  <c r="P1039" i="1"/>
  <c r="Q1039" i="1"/>
  <c r="O1040" i="1"/>
  <c r="P1040" i="1"/>
  <c r="Q1040" i="1"/>
  <c r="O1041" i="1"/>
  <c r="P1041" i="1"/>
  <c r="Q1041" i="1"/>
  <c r="O1042" i="1"/>
  <c r="P1042" i="1"/>
  <c r="Q1042" i="1"/>
  <c r="O1043" i="1"/>
  <c r="P1043" i="1"/>
  <c r="Q1043" i="1"/>
  <c r="O1044" i="1"/>
  <c r="P1044" i="1"/>
  <c r="Q1044" i="1"/>
  <c r="O1045" i="1"/>
  <c r="P1045" i="1"/>
  <c r="Q1045" i="1"/>
  <c r="O1046" i="1"/>
  <c r="P1046" i="1"/>
  <c r="Q1046" i="1"/>
  <c r="O1047" i="1"/>
  <c r="P1047" i="1"/>
  <c r="Q1047" i="1"/>
  <c r="O1048" i="1"/>
  <c r="P1048" i="1"/>
  <c r="Q1048" i="1"/>
  <c r="O1049" i="1"/>
  <c r="P1049" i="1"/>
  <c r="Q1049" i="1"/>
  <c r="O1050" i="1"/>
  <c r="P1050" i="1"/>
  <c r="Q1050" i="1"/>
  <c r="O1051" i="1"/>
  <c r="P1051" i="1"/>
  <c r="Q1051" i="1"/>
  <c r="O1052" i="1"/>
  <c r="P1052" i="1"/>
  <c r="Q1052" i="1"/>
  <c r="O1053" i="1"/>
  <c r="P1053" i="1"/>
  <c r="Q1053" i="1"/>
  <c r="O1054" i="1"/>
  <c r="P1054" i="1"/>
  <c r="Q1054" i="1"/>
  <c r="O1055" i="1"/>
  <c r="P1055" i="1"/>
  <c r="Q1055" i="1"/>
  <c r="O1056" i="1"/>
  <c r="P1056" i="1"/>
  <c r="Q1056" i="1"/>
  <c r="O1057" i="1"/>
  <c r="P1057" i="1"/>
  <c r="Q1057" i="1"/>
  <c r="O1058" i="1"/>
  <c r="P1058" i="1"/>
  <c r="Q1058" i="1"/>
  <c r="O1059" i="1"/>
  <c r="P1059" i="1"/>
  <c r="Q1059" i="1"/>
  <c r="O1060" i="1"/>
  <c r="P1060" i="1"/>
  <c r="Q1060" i="1"/>
  <c r="O1061" i="1"/>
  <c r="P1061" i="1"/>
  <c r="Q1061" i="1"/>
  <c r="O1062" i="1"/>
  <c r="P1062" i="1"/>
  <c r="Q1062" i="1"/>
  <c r="O1063" i="1"/>
  <c r="P1063" i="1"/>
  <c r="Q1063" i="1"/>
  <c r="O1064" i="1"/>
  <c r="P1064" i="1"/>
  <c r="Q1064" i="1"/>
  <c r="O1065" i="1"/>
  <c r="P1065" i="1"/>
  <c r="Q1065" i="1"/>
  <c r="O1066" i="1"/>
  <c r="P1066" i="1"/>
  <c r="Q1066" i="1"/>
  <c r="O1067" i="1"/>
  <c r="P1067" i="1"/>
  <c r="Q1067" i="1"/>
  <c r="O1068" i="1"/>
  <c r="P1068" i="1"/>
  <c r="Q1068" i="1"/>
  <c r="O1069" i="1"/>
  <c r="P1069" i="1"/>
  <c r="Q1069" i="1"/>
  <c r="O1070" i="1"/>
  <c r="P1070" i="1"/>
  <c r="Q1070" i="1"/>
  <c r="O1071" i="1"/>
  <c r="P1071" i="1"/>
  <c r="Q1071" i="1"/>
  <c r="O1072" i="1"/>
  <c r="P1072" i="1"/>
  <c r="Q1072" i="1"/>
  <c r="O1073" i="1"/>
  <c r="P1073" i="1"/>
  <c r="Q1073" i="1"/>
  <c r="O1074" i="1"/>
  <c r="P1074" i="1"/>
  <c r="Q1074" i="1"/>
  <c r="O1075" i="1"/>
  <c r="P1075" i="1"/>
  <c r="Q1075" i="1"/>
  <c r="O1076" i="1"/>
  <c r="P1076" i="1"/>
  <c r="Q1076" i="1"/>
  <c r="O1077" i="1"/>
  <c r="P1077" i="1"/>
  <c r="Q1077" i="1"/>
  <c r="O1078" i="1"/>
  <c r="P1078" i="1"/>
  <c r="Q1078" i="1"/>
  <c r="O1079" i="1"/>
  <c r="P1079" i="1"/>
  <c r="Q1079" i="1"/>
  <c r="O1080" i="1"/>
  <c r="P1080" i="1"/>
  <c r="Q1080" i="1"/>
  <c r="O1081" i="1"/>
  <c r="P1081" i="1"/>
  <c r="Q1081" i="1"/>
  <c r="O1082" i="1"/>
  <c r="P1082" i="1"/>
  <c r="Q1082" i="1"/>
  <c r="O1083" i="1"/>
  <c r="P1083" i="1"/>
  <c r="Q1083" i="1"/>
  <c r="O1084" i="1"/>
  <c r="P1084" i="1"/>
  <c r="Q1084" i="1"/>
  <c r="O1085" i="1"/>
  <c r="P1085" i="1"/>
  <c r="Q1085" i="1"/>
  <c r="O1086" i="1"/>
  <c r="P1086" i="1"/>
  <c r="Q1086" i="1"/>
  <c r="O1087" i="1"/>
  <c r="P1087" i="1"/>
  <c r="Q1087" i="1"/>
  <c r="O1088" i="1"/>
  <c r="P1088" i="1"/>
  <c r="Q1088" i="1"/>
  <c r="O1089" i="1"/>
  <c r="P1089" i="1"/>
  <c r="Q1089" i="1"/>
  <c r="O1090" i="1"/>
  <c r="P1090" i="1"/>
  <c r="Q1090" i="1"/>
  <c r="O1091" i="1"/>
  <c r="P1091" i="1"/>
  <c r="Q1091" i="1"/>
  <c r="O1092" i="1"/>
  <c r="P1092" i="1"/>
  <c r="Q1092" i="1"/>
  <c r="O1093" i="1"/>
  <c r="P1093" i="1"/>
  <c r="Q1093" i="1"/>
  <c r="O1094" i="1"/>
  <c r="P1094" i="1"/>
  <c r="Q1094" i="1"/>
  <c r="O1095" i="1"/>
  <c r="P1095" i="1"/>
  <c r="Q1095" i="1"/>
  <c r="O1096" i="1"/>
  <c r="P1096" i="1"/>
  <c r="Q1096" i="1"/>
  <c r="O1097" i="1"/>
  <c r="P1097" i="1"/>
  <c r="Q1097" i="1"/>
  <c r="O1098" i="1"/>
  <c r="P1098" i="1"/>
  <c r="Q1098" i="1"/>
  <c r="O1099" i="1"/>
  <c r="P1099" i="1"/>
  <c r="Q1099" i="1"/>
  <c r="O1100" i="1"/>
  <c r="P1100" i="1"/>
  <c r="Q1100" i="1"/>
  <c r="O1101" i="1"/>
  <c r="P1101" i="1"/>
  <c r="Q1101" i="1"/>
  <c r="O1102" i="1"/>
  <c r="P1102" i="1"/>
  <c r="Q1102" i="1"/>
  <c r="O1103" i="1"/>
  <c r="P1103" i="1"/>
  <c r="Q1103" i="1"/>
  <c r="O1104" i="1"/>
  <c r="P1104" i="1"/>
  <c r="Q1104" i="1"/>
  <c r="O1105" i="1"/>
  <c r="P1105" i="1"/>
  <c r="Q1105" i="1"/>
  <c r="O1106" i="1"/>
  <c r="P1106" i="1"/>
  <c r="Q1106" i="1"/>
  <c r="O1107" i="1"/>
  <c r="P1107" i="1"/>
  <c r="Q1107" i="1"/>
  <c r="O1108" i="1"/>
  <c r="P1108" i="1"/>
  <c r="Q1108" i="1"/>
  <c r="O1109" i="1"/>
  <c r="P1109" i="1"/>
  <c r="Q1109" i="1"/>
  <c r="O1110" i="1"/>
  <c r="P1110" i="1"/>
  <c r="Q1110" i="1"/>
  <c r="O1111" i="1"/>
  <c r="P1111" i="1"/>
  <c r="Q1111" i="1"/>
  <c r="O1112" i="1"/>
  <c r="P1112" i="1"/>
  <c r="Q1112" i="1"/>
  <c r="O1113" i="1"/>
  <c r="P1113" i="1"/>
  <c r="Q1113" i="1"/>
  <c r="O1114" i="1"/>
  <c r="P1114" i="1"/>
  <c r="Q1114" i="1"/>
  <c r="O1115" i="1"/>
  <c r="P1115" i="1"/>
  <c r="Q1115" i="1"/>
  <c r="O1116" i="1"/>
  <c r="P1116" i="1"/>
  <c r="Q1116" i="1"/>
  <c r="O1117" i="1"/>
  <c r="P1117" i="1"/>
  <c r="Q1117" i="1"/>
  <c r="O1118" i="1"/>
  <c r="P1118" i="1"/>
  <c r="Q1118" i="1"/>
  <c r="O1119" i="1"/>
  <c r="P1119" i="1"/>
  <c r="Q1119" i="1"/>
  <c r="O1120" i="1"/>
  <c r="P1120" i="1"/>
  <c r="Q1120" i="1"/>
  <c r="O1121" i="1"/>
  <c r="P1121" i="1"/>
  <c r="Q1121" i="1"/>
  <c r="O1122" i="1"/>
  <c r="P1122" i="1"/>
  <c r="Q1122" i="1"/>
  <c r="O1123" i="1"/>
  <c r="P1123" i="1"/>
  <c r="Q1123" i="1"/>
  <c r="O1124" i="1"/>
  <c r="P1124" i="1"/>
  <c r="Q1124" i="1"/>
  <c r="O1125" i="1"/>
  <c r="P1125" i="1"/>
  <c r="Q1125" i="1"/>
  <c r="O1126" i="1"/>
  <c r="P1126" i="1"/>
  <c r="Q1126" i="1"/>
  <c r="O1127" i="1"/>
  <c r="P1127" i="1"/>
  <c r="Q1127" i="1"/>
  <c r="O1128" i="1"/>
  <c r="P1128" i="1"/>
  <c r="Q1128" i="1"/>
  <c r="O1129" i="1"/>
  <c r="P1129" i="1"/>
  <c r="Q1129" i="1"/>
  <c r="O1130" i="1"/>
  <c r="P1130" i="1"/>
  <c r="Q1130" i="1"/>
  <c r="O1131" i="1"/>
  <c r="P1131" i="1"/>
  <c r="Q1131" i="1"/>
  <c r="O1132" i="1"/>
  <c r="P1132" i="1"/>
  <c r="Q1132" i="1"/>
  <c r="O1133" i="1"/>
  <c r="P1133" i="1"/>
  <c r="Q1133" i="1"/>
  <c r="O1134" i="1"/>
  <c r="P1134" i="1"/>
  <c r="Q1134" i="1"/>
  <c r="O1135" i="1"/>
  <c r="P1135" i="1"/>
  <c r="Q1135" i="1"/>
  <c r="O1136" i="1"/>
  <c r="P1136" i="1"/>
  <c r="Q1136" i="1"/>
  <c r="O1137" i="1"/>
  <c r="P1137" i="1"/>
  <c r="Q1137" i="1"/>
  <c r="O1138" i="1"/>
  <c r="P1138" i="1"/>
  <c r="Q1138" i="1"/>
  <c r="O1139" i="1"/>
  <c r="P1139" i="1"/>
  <c r="Q1139" i="1"/>
  <c r="O1140" i="1"/>
  <c r="P1140" i="1"/>
  <c r="Q1140" i="1"/>
  <c r="O1141" i="1"/>
  <c r="P1141" i="1"/>
  <c r="Q1141" i="1"/>
  <c r="O1142" i="1"/>
  <c r="P1142" i="1"/>
  <c r="Q1142" i="1"/>
  <c r="O1143" i="1"/>
  <c r="P1143" i="1"/>
  <c r="Q1143" i="1"/>
  <c r="O1144" i="1"/>
  <c r="P1144" i="1"/>
  <c r="Q1144" i="1"/>
  <c r="O1145" i="1"/>
  <c r="P1145" i="1"/>
  <c r="Q1145" i="1"/>
  <c r="O1146" i="1"/>
  <c r="P1146" i="1"/>
  <c r="Q1146" i="1"/>
  <c r="O1147" i="1"/>
  <c r="P1147" i="1"/>
  <c r="Q1147" i="1"/>
  <c r="O1148" i="1"/>
  <c r="P1148" i="1"/>
  <c r="Q1148" i="1"/>
  <c r="O1149" i="1"/>
  <c r="P1149" i="1"/>
  <c r="Q1149" i="1"/>
  <c r="O1150" i="1"/>
  <c r="P1150" i="1"/>
  <c r="Q1150" i="1"/>
  <c r="O1151" i="1"/>
  <c r="P1151" i="1"/>
  <c r="Q1151" i="1"/>
  <c r="O1152" i="1"/>
  <c r="P1152" i="1"/>
  <c r="Q1152" i="1"/>
  <c r="O1153" i="1"/>
  <c r="P1153" i="1"/>
  <c r="Q1153" i="1"/>
  <c r="O1154" i="1"/>
  <c r="P1154" i="1"/>
  <c r="Q1154" i="1"/>
  <c r="O1155" i="1"/>
  <c r="P1155" i="1"/>
  <c r="Q1155" i="1"/>
  <c r="O1156" i="1"/>
  <c r="P1156" i="1"/>
  <c r="Q1156" i="1"/>
  <c r="O1157" i="1"/>
  <c r="P1157" i="1"/>
  <c r="Q1157" i="1"/>
  <c r="O1158" i="1"/>
  <c r="P1158" i="1"/>
  <c r="Q1158" i="1"/>
  <c r="O1159" i="1"/>
  <c r="P1159" i="1"/>
  <c r="Q1159" i="1"/>
  <c r="O1160" i="1"/>
  <c r="P1160" i="1"/>
  <c r="Q1160" i="1"/>
  <c r="O1161" i="1"/>
  <c r="P1161" i="1"/>
  <c r="Q1161" i="1"/>
  <c r="O1162" i="1"/>
  <c r="P1162" i="1"/>
  <c r="Q1162" i="1"/>
  <c r="O1163" i="1"/>
  <c r="P1163" i="1"/>
  <c r="Q1163" i="1"/>
  <c r="O1164" i="1"/>
  <c r="P1164" i="1"/>
  <c r="Q1164" i="1"/>
  <c r="O1165" i="1"/>
  <c r="P1165" i="1"/>
  <c r="Q1165" i="1"/>
  <c r="O1166" i="1"/>
  <c r="P1166" i="1"/>
  <c r="Q1166" i="1"/>
  <c r="O1167" i="1"/>
  <c r="P1167" i="1"/>
  <c r="Q1167" i="1"/>
  <c r="O1168" i="1"/>
  <c r="P1168" i="1"/>
  <c r="Q1168" i="1"/>
  <c r="O1169" i="1"/>
  <c r="P1169" i="1"/>
  <c r="Q1169" i="1"/>
  <c r="O1170" i="1"/>
  <c r="P1170" i="1"/>
  <c r="Q1170" i="1"/>
  <c r="O1171" i="1"/>
  <c r="P1171" i="1"/>
  <c r="Q1171" i="1"/>
  <c r="O1172" i="1"/>
  <c r="P1172" i="1"/>
  <c r="Q1172" i="1"/>
  <c r="O1173" i="1"/>
  <c r="P1173" i="1"/>
  <c r="Q1173" i="1"/>
  <c r="O1174" i="1"/>
  <c r="P1174" i="1"/>
  <c r="Q1174" i="1"/>
  <c r="O1175" i="1"/>
  <c r="P1175" i="1"/>
  <c r="Q1175" i="1"/>
  <c r="O1176" i="1"/>
  <c r="P1176" i="1"/>
  <c r="Q1176" i="1"/>
  <c r="O1177" i="1"/>
  <c r="P1177" i="1"/>
  <c r="Q1177" i="1"/>
  <c r="O1178" i="1"/>
  <c r="P1178" i="1"/>
  <c r="Q1178" i="1"/>
  <c r="O1179" i="1"/>
  <c r="P1179" i="1"/>
  <c r="Q1179" i="1"/>
  <c r="O1180" i="1"/>
  <c r="P1180" i="1"/>
  <c r="Q1180" i="1"/>
  <c r="O1181" i="1"/>
  <c r="P1181" i="1"/>
  <c r="Q1181" i="1"/>
  <c r="O1182" i="1"/>
  <c r="P1182" i="1"/>
  <c r="Q1182" i="1"/>
  <c r="O1183" i="1"/>
  <c r="P1183" i="1"/>
  <c r="Q1183" i="1"/>
  <c r="O1184" i="1"/>
  <c r="P1184" i="1"/>
  <c r="Q1184" i="1"/>
  <c r="O1185" i="1"/>
  <c r="P1185" i="1"/>
  <c r="Q1185" i="1"/>
  <c r="O1186" i="1"/>
  <c r="P1186" i="1"/>
  <c r="Q1186" i="1"/>
  <c r="O1187" i="1"/>
  <c r="P1187" i="1"/>
  <c r="Q1187" i="1"/>
  <c r="O1188" i="1"/>
  <c r="P1188" i="1"/>
  <c r="Q1188" i="1"/>
  <c r="O1189" i="1"/>
  <c r="P1189" i="1"/>
  <c r="Q1189" i="1"/>
  <c r="O1190" i="1"/>
  <c r="P1190" i="1"/>
  <c r="Q1190" i="1"/>
  <c r="O1191" i="1"/>
  <c r="P1191" i="1"/>
  <c r="Q1191" i="1"/>
  <c r="O1192" i="1"/>
  <c r="P1192" i="1"/>
  <c r="Q1192" i="1"/>
  <c r="O1193" i="1"/>
  <c r="P1193" i="1"/>
  <c r="Q1193" i="1"/>
  <c r="O1194" i="1"/>
  <c r="P1194" i="1"/>
  <c r="Q1194" i="1"/>
  <c r="O1195" i="1"/>
  <c r="P1195" i="1"/>
  <c r="Q1195" i="1"/>
  <c r="O1196" i="1"/>
  <c r="P1196" i="1"/>
  <c r="Q1196" i="1"/>
  <c r="O1197" i="1"/>
  <c r="P1197" i="1"/>
  <c r="Q1197" i="1"/>
  <c r="O1198" i="1"/>
  <c r="P1198" i="1"/>
  <c r="Q1198" i="1"/>
  <c r="O1199" i="1"/>
  <c r="P1199" i="1"/>
  <c r="Q1199" i="1"/>
  <c r="O1200" i="1"/>
  <c r="P1200" i="1"/>
  <c r="Q1200" i="1"/>
  <c r="O1201" i="1"/>
  <c r="P1201" i="1"/>
  <c r="Q1201" i="1"/>
  <c r="O1202" i="1"/>
  <c r="P1202" i="1"/>
  <c r="Q1202" i="1"/>
  <c r="O1203" i="1"/>
  <c r="P1203" i="1"/>
  <c r="Q1203" i="1"/>
  <c r="O1204" i="1"/>
  <c r="P1204" i="1"/>
  <c r="Q1204" i="1"/>
  <c r="O1205" i="1"/>
  <c r="P1205" i="1"/>
  <c r="Q1205" i="1"/>
  <c r="O1206" i="1"/>
  <c r="P1206" i="1"/>
  <c r="Q1206" i="1"/>
  <c r="O1207" i="1"/>
  <c r="P1207" i="1"/>
  <c r="Q1207" i="1"/>
  <c r="O1208" i="1"/>
  <c r="P1208" i="1"/>
  <c r="Q1208" i="1"/>
  <c r="O1209" i="1"/>
  <c r="P1209" i="1"/>
  <c r="Q1209" i="1"/>
  <c r="O1210" i="1"/>
  <c r="P1210" i="1"/>
  <c r="Q1210" i="1"/>
  <c r="O1211" i="1"/>
  <c r="P1211" i="1"/>
  <c r="Q1211" i="1"/>
  <c r="O1212" i="1"/>
  <c r="P1212" i="1"/>
  <c r="Q1212" i="1"/>
  <c r="O1213" i="1"/>
  <c r="P1213" i="1"/>
  <c r="Q1213" i="1"/>
  <c r="O1214" i="1"/>
  <c r="P1214" i="1"/>
  <c r="Q1214" i="1"/>
  <c r="O1215" i="1"/>
  <c r="P1215" i="1"/>
  <c r="Q1215" i="1"/>
  <c r="O1216" i="1"/>
  <c r="P1216" i="1"/>
  <c r="Q1216" i="1"/>
  <c r="O1217" i="1"/>
  <c r="P1217" i="1"/>
  <c r="Q1217" i="1"/>
  <c r="O1218" i="1"/>
  <c r="P1218" i="1"/>
  <c r="Q1218" i="1"/>
  <c r="O1219" i="1"/>
  <c r="P1219" i="1"/>
  <c r="Q1219" i="1"/>
  <c r="O1220" i="1"/>
  <c r="P1220" i="1"/>
  <c r="Q1220" i="1"/>
  <c r="O1221" i="1"/>
  <c r="P1221" i="1"/>
  <c r="Q1221" i="1"/>
  <c r="O1222" i="1"/>
  <c r="P1222" i="1"/>
  <c r="Q1222" i="1"/>
  <c r="O1223" i="1"/>
  <c r="P1223" i="1"/>
  <c r="Q1223" i="1"/>
  <c r="O1224" i="1"/>
  <c r="P1224" i="1"/>
  <c r="Q1224" i="1"/>
  <c r="O1225" i="1"/>
  <c r="P1225" i="1"/>
  <c r="Q1225" i="1"/>
  <c r="O1226" i="1"/>
  <c r="P1226" i="1"/>
  <c r="Q1226" i="1"/>
  <c r="O1227" i="1"/>
  <c r="P1227" i="1"/>
  <c r="Q1227" i="1"/>
  <c r="O1228" i="1"/>
  <c r="P1228" i="1"/>
  <c r="Q1228" i="1"/>
  <c r="O1229" i="1"/>
  <c r="P1229" i="1"/>
  <c r="Q1229" i="1"/>
  <c r="O1230" i="1"/>
  <c r="P1230" i="1"/>
  <c r="Q1230" i="1"/>
  <c r="O1231" i="1"/>
  <c r="P1231" i="1"/>
  <c r="Q1231" i="1"/>
  <c r="O1232" i="1"/>
  <c r="P1232" i="1"/>
  <c r="Q1232" i="1"/>
  <c r="O1233" i="1"/>
  <c r="P1233" i="1"/>
  <c r="Q1233" i="1"/>
  <c r="O1234" i="1"/>
  <c r="P1234" i="1"/>
  <c r="Q1234" i="1"/>
  <c r="O1235" i="1"/>
  <c r="P1235" i="1"/>
  <c r="Q1235" i="1"/>
  <c r="O1236" i="1"/>
  <c r="P1236" i="1"/>
  <c r="Q1236" i="1"/>
  <c r="O1237" i="1"/>
  <c r="P1237" i="1"/>
  <c r="Q1237" i="1"/>
  <c r="O1238" i="1"/>
  <c r="P1238" i="1"/>
  <c r="Q1238" i="1"/>
  <c r="O1239" i="1"/>
  <c r="P1239" i="1"/>
  <c r="Q1239" i="1"/>
  <c r="O1240" i="1"/>
  <c r="P1240" i="1"/>
  <c r="Q1240" i="1"/>
  <c r="O1241" i="1"/>
  <c r="P1241" i="1"/>
  <c r="Q1241" i="1"/>
  <c r="O1242" i="1"/>
  <c r="P1242" i="1"/>
  <c r="Q1242" i="1"/>
  <c r="O1243" i="1"/>
  <c r="P1243" i="1"/>
  <c r="Q1243" i="1"/>
  <c r="O1244" i="1"/>
  <c r="P1244" i="1"/>
  <c r="Q1244" i="1"/>
  <c r="O1245" i="1"/>
  <c r="P1245" i="1"/>
  <c r="Q1245" i="1"/>
  <c r="O1246" i="1"/>
  <c r="P1246" i="1"/>
  <c r="Q1246" i="1"/>
  <c r="O1247" i="1"/>
  <c r="P1247" i="1"/>
  <c r="Q1247" i="1"/>
  <c r="O1248" i="1"/>
  <c r="P1248" i="1"/>
  <c r="Q1248" i="1"/>
  <c r="O1249" i="1"/>
  <c r="P1249" i="1"/>
  <c r="Q1249" i="1"/>
  <c r="O1250" i="1"/>
  <c r="P1250" i="1"/>
  <c r="Q1250" i="1"/>
  <c r="O1251" i="1"/>
  <c r="P1251" i="1"/>
  <c r="Q1251" i="1"/>
  <c r="O1252" i="1"/>
  <c r="P1252" i="1"/>
  <c r="Q1252" i="1"/>
  <c r="O1253" i="1"/>
  <c r="P1253" i="1"/>
  <c r="Q1253" i="1"/>
  <c r="O1254" i="1"/>
  <c r="P1254" i="1"/>
  <c r="Q1254" i="1"/>
  <c r="O1255" i="1"/>
  <c r="P1255" i="1"/>
  <c r="Q1255" i="1"/>
  <c r="O1256" i="1"/>
  <c r="P1256" i="1"/>
  <c r="Q1256" i="1"/>
  <c r="O1257" i="1"/>
  <c r="P1257" i="1"/>
  <c r="Q1257" i="1"/>
  <c r="O1258" i="1"/>
  <c r="P1258" i="1"/>
  <c r="Q1258" i="1"/>
  <c r="O1259" i="1"/>
  <c r="P1259" i="1"/>
  <c r="Q1259" i="1"/>
  <c r="O1260" i="1"/>
  <c r="P1260" i="1"/>
  <c r="Q1260" i="1"/>
  <c r="O1261" i="1"/>
  <c r="P1261" i="1"/>
  <c r="Q1261" i="1"/>
  <c r="O1262" i="1"/>
  <c r="P1262" i="1"/>
  <c r="Q1262" i="1"/>
  <c r="O1263" i="1"/>
  <c r="P1263" i="1"/>
  <c r="Q1263" i="1"/>
  <c r="O1264" i="1"/>
  <c r="P1264" i="1"/>
  <c r="Q1264" i="1"/>
  <c r="O1265" i="1"/>
  <c r="P1265" i="1"/>
  <c r="Q1265" i="1"/>
  <c r="O1266" i="1"/>
  <c r="P1266" i="1"/>
  <c r="Q1266" i="1"/>
  <c r="O1267" i="1"/>
  <c r="P1267" i="1"/>
  <c r="Q1267" i="1"/>
  <c r="O1268" i="1"/>
  <c r="P1268" i="1"/>
  <c r="Q1268" i="1"/>
  <c r="O1269" i="1"/>
  <c r="P1269" i="1"/>
  <c r="Q1269" i="1"/>
  <c r="O1270" i="1"/>
  <c r="P1270" i="1"/>
  <c r="Q1270" i="1"/>
  <c r="O1271" i="1"/>
  <c r="P1271" i="1"/>
  <c r="Q1271" i="1"/>
  <c r="O1272" i="1"/>
  <c r="P1272" i="1"/>
  <c r="Q1272" i="1"/>
  <c r="O1273" i="1"/>
  <c r="P1273" i="1"/>
  <c r="Q1273" i="1"/>
  <c r="O1274" i="1"/>
  <c r="P1274" i="1"/>
  <c r="Q1274" i="1"/>
  <c r="O1275" i="1"/>
  <c r="P1275" i="1"/>
  <c r="Q1275" i="1"/>
  <c r="O1276" i="1"/>
  <c r="P1276" i="1"/>
  <c r="Q1276" i="1"/>
  <c r="O1277" i="1"/>
  <c r="P1277" i="1"/>
  <c r="Q1277" i="1"/>
  <c r="O1278" i="1"/>
  <c r="P1278" i="1"/>
  <c r="Q1278" i="1"/>
  <c r="O1279" i="1"/>
  <c r="P1279" i="1"/>
  <c r="Q1279" i="1"/>
  <c r="O1280" i="1"/>
  <c r="P1280" i="1"/>
  <c r="Q1280" i="1"/>
  <c r="O1281" i="1"/>
  <c r="P1281" i="1"/>
  <c r="Q1281" i="1"/>
  <c r="O1282" i="1"/>
  <c r="P1282" i="1"/>
  <c r="Q1282" i="1"/>
  <c r="O1283" i="1"/>
  <c r="P1283" i="1"/>
  <c r="Q1283" i="1"/>
  <c r="O1284" i="1"/>
  <c r="P1284" i="1"/>
  <c r="Q1284" i="1"/>
  <c r="O1285" i="1"/>
  <c r="P1285" i="1"/>
  <c r="Q1285" i="1"/>
  <c r="O1286" i="1"/>
  <c r="P1286" i="1"/>
  <c r="Q1286" i="1"/>
  <c r="O1287" i="1"/>
  <c r="P1287" i="1"/>
  <c r="Q1287" i="1"/>
  <c r="O1288" i="1"/>
  <c r="P1288" i="1"/>
  <c r="Q1288" i="1"/>
  <c r="O1289" i="1"/>
  <c r="P1289" i="1"/>
  <c r="Q1289" i="1"/>
  <c r="O1290" i="1"/>
  <c r="P1290" i="1"/>
  <c r="Q1290" i="1"/>
  <c r="O1291" i="1"/>
  <c r="P1291" i="1"/>
  <c r="Q1291" i="1"/>
  <c r="O1292" i="1"/>
  <c r="P1292" i="1"/>
  <c r="Q1292" i="1"/>
  <c r="O1293" i="1"/>
  <c r="P1293" i="1"/>
  <c r="Q1293" i="1"/>
  <c r="O1294" i="1"/>
  <c r="P1294" i="1"/>
  <c r="Q1294" i="1"/>
  <c r="O1295" i="1"/>
  <c r="P1295" i="1"/>
  <c r="Q1295" i="1"/>
  <c r="O1296" i="1"/>
  <c r="P1296" i="1"/>
  <c r="Q1296" i="1"/>
  <c r="O1297" i="1"/>
  <c r="P1297" i="1"/>
  <c r="Q1297" i="1"/>
  <c r="O1298" i="1"/>
  <c r="P1298" i="1"/>
  <c r="Q1298" i="1"/>
  <c r="O1299" i="1"/>
  <c r="P1299" i="1"/>
  <c r="Q1299" i="1"/>
  <c r="O1300" i="1"/>
  <c r="P1300" i="1"/>
  <c r="Q1300" i="1"/>
  <c r="O1301" i="1"/>
  <c r="P1301" i="1"/>
  <c r="Q1301" i="1"/>
  <c r="O1302" i="1"/>
  <c r="P1302" i="1"/>
  <c r="Q1302" i="1"/>
  <c r="O1303" i="1"/>
  <c r="P1303" i="1"/>
  <c r="Q1303" i="1"/>
  <c r="O1304" i="1"/>
  <c r="P1304" i="1"/>
  <c r="Q1304" i="1"/>
  <c r="O1305" i="1"/>
  <c r="P1305" i="1"/>
  <c r="Q1305" i="1"/>
  <c r="O1306" i="1"/>
  <c r="P1306" i="1"/>
  <c r="Q1306" i="1"/>
  <c r="O1307" i="1"/>
  <c r="P1307" i="1"/>
  <c r="Q1307" i="1"/>
  <c r="O1308" i="1"/>
  <c r="P1308" i="1"/>
  <c r="Q1308" i="1"/>
  <c r="O1309" i="1"/>
  <c r="P1309" i="1"/>
  <c r="Q1309" i="1"/>
  <c r="O1310" i="1"/>
  <c r="P1310" i="1"/>
  <c r="Q1310" i="1"/>
  <c r="O1311" i="1"/>
  <c r="P1311" i="1"/>
  <c r="Q1311" i="1"/>
  <c r="O1312" i="1"/>
  <c r="P1312" i="1"/>
  <c r="Q1312" i="1"/>
  <c r="O1313" i="1"/>
  <c r="P1313" i="1"/>
  <c r="Q1313" i="1"/>
  <c r="O1314" i="1"/>
  <c r="P1314" i="1"/>
  <c r="Q1314" i="1"/>
  <c r="O1315" i="1"/>
  <c r="P1315" i="1"/>
  <c r="Q1315" i="1"/>
  <c r="O1316" i="1"/>
  <c r="P1316" i="1"/>
  <c r="Q1316" i="1"/>
  <c r="O1317" i="1"/>
  <c r="P1317" i="1"/>
  <c r="Q1317" i="1"/>
  <c r="O1318" i="1"/>
  <c r="P1318" i="1"/>
  <c r="Q1318" i="1"/>
  <c r="O1319" i="1"/>
  <c r="P1319" i="1"/>
  <c r="Q1319" i="1"/>
  <c r="O1320" i="1"/>
  <c r="P1320" i="1"/>
  <c r="Q1320" i="1"/>
  <c r="O1321" i="1"/>
  <c r="P1321" i="1"/>
  <c r="Q1321" i="1"/>
  <c r="O1322" i="1"/>
  <c r="P1322" i="1"/>
  <c r="Q1322" i="1"/>
  <c r="O1323" i="1"/>
  <c r="P1323" i="1"/>
  <c r="Q1323" i="1"/>
  <c r="O1324" i="1"/>
  <c r="P1324" i="1"/>
  <c r="Q1324" i="1"/>
  <c r="O1325" i="1"/>
  <c r="P1325" i="1"/>
  <c r="Q1325" i="1"/>
  <c r="O1326" i="1"/>
  <c r="P1326" i="1"/>
  <c r="Q1326" i="1"/>
  <c r="O1327" i="1"/>
  <c r="P1327" i="1"/>
  <c r="Q1327" i="1"/>
  <c r="O1328" i="1"/>
  <c r="P1328" i="1"/>
  <c r="Q1328" i="1"/>
  <c r="O1329" i="1"/>
  <c r="P1329" i="1"/>
  <c r="Q1329" i="1"/>
  <c r="O1330" i="1"/>
  <c r="P1330" i="1"/>
  <c r="Q1330" i="1"/>
  <c r="O1331" i="1"/>
  <c r="P1331" i="1"/>
  <c r="Q1331" i="1"/>
  <c r="O1332" i="1"/>
  <c r="P1332" i="1"/>
  <c r="Q1332" i="1"/>
  <c r="O1333" i="1"/>
  <c r="P1333" i="1"/>
  <c r="Q1333" i="1"/>
  <c r="O1334" i="1"/>
  <c r="P1334" i="1"/>
  <c r="Q1334" i="1"/>
  <c r="O1335" i="1"/>
  <c r="P1335" i="1"/>
  <c r="Q1335" i="1"/>
  <c r="O1336" i="1"/>
  <c r="P1336" i="1"/>
  <c r="Q1336" i="1"/>
  <c r="O1337" i="1"/>
  <c r="P1337" i="1"/>
  <c r="Q1337" i="1"/>
  <c r="O1338" i="1"/>
  <c r="P1338" i="1"/>
  <c r="Q1338" i="1"/>
  <c r="O1339" i="1"/>
  <c r="P1339" i="1"/>
  <c r="Q1339" i="1"/>
  <c r="O1340" i="1"/>
  <c r="P1340" i="1"/>
  <c r="Q1340" i="1"/>
  <c r="O1341" i="1"/>
  <c r="P1341" i="1"/>
  <c r="Q1341" i="1"/>
  <c r="O1342" i="1"/>
  <c r="P1342" i="1"/>
  <c r="Q1342" i="1"/>
  <c r="O1343" i="1"/>
  <c r="P1343" i="1"/>
  <c r="Q1343" i="1"/>
  <c r="O1344" i="1"/>
  <c r="P1344" i="1"/>
  <c r="Q1344" i="1"/>
  <c r="O1345" i="1"/>
  <c r="P1345" i="1"/>
  <c r="Q1345" i="1"/>
  <c r="O1346" i="1"/>
  <c r="P1346" i="1"/>
  <c r="Q1346" i="1"/>
  <c r="O1347" i="1"/>
  <c r="P1347" i="1"/>
  <c r="Q1347" i="1"/>
  <c r="O1348" i="1"/>
  <c r="P1348" i="1"/>
  <c r="Q1348" i="1"/>
  <c r="O1349" i="1"/>
  <c r="P1349" i="1"/>
  <c r="Q1349" i="1"/>
  <c r="O1350" i="1"/>
  <c r="P1350" i="1"/>
  <c r="Q1350" i="1"/>
  <c r="O1351" i="1"/>
  <c r="P1351" i="1"/>
  <c r="Q1351" i="1"/>
  <c r="O1352" i="1"/>
  <c r="P1352" i="1"/>
  <c r="Q1352" i="1"/>
  <c r="O1353" i="1"/>
  <c r="P1353" i="1"/>
  <c r="Q1353" i="1"/>
  <c r="O1354" i="1"/>
  <c r="P1354" i="1"/>
  <c r="Q1354" i="1"/>
  <c r="O1355" i="1"/>
  <c r="P1355" i="1"/>
  <c r="Q1355" i="1"/>
  <c r="O1356" i="1"/>
  <c r="P1356" i="1"/>
  <c r="Q1356" i="1"/>
  <c r="O1357" i="1"/>
  <c r="P1357" i="1"/>
  <c r="Q1357" i="1"/>
  <c r="O1358" i="1"/>
  <c r="P1358" i="1"/>
  <c r="Q1358" i="1"/>
  <c r="O1359" i="1"/>
  <c r="P1359" i="1"/>
  <c r="Q1359" i="1"/>
  <c r="O1360" i="1"/>
  <c r="P1360" i="1"/>
  <c r="Q1360" i="1"/>
  <c r="O1361" i="1"/>
  <c r="P1361" i="1"/>
  <c r="Q1361" i="1"/>
  <c r="O1362" i="1"/>
  <c r="P1362" i="1"/>
  <c r="Q1362" i="1"/>
  <c r="O1363" i="1"/>
  <c r="P1363" i="1"/>
  <c r="Q1363" i="1"/>
  <c r="O1364" i="1"/>
  <c r="P1364" i="1"/>
  <c r="Q1364" i="1"/>
  <c r="O1365" i="1"/>
  <c r="P1365" i="1"/>
  <c r="Q1365" i="1"/>
  <c r="O1366" i="1"/>
  <c r="P1366" i="1"/>
  <c r="Q1366" i="1"/>
  <c r="O1367" i="1"/>
  <c r="P1367" i="1"/>
  <c r="Q1367" i="1"/>
  <c r="O1368" i="1"/>
  <c r="P1368" i="1"/>
  <c r="Q1368" i="1"/>
  <c r="O1369" i="1"/>
  <c r="P1369" i="1"/>
  <c r="Q1369" i="1"/>
  <c r="O1370" i="1"/>
  <c r="P1370" i="1"/>
  <c r="Q1370" i="1"/>
  <c r="O1371" i="1"/>
  <c r="P1371" i="1"/>
  <c r="Q1371" i="1"/>
  <c r="O1372" i="1"/>
  <c r="P1372" i="1"/>
  <c r="Q1372" i="1"/>
  <c r="O1373" i="1"/>
  <c r="P1373" i="1"/>
  <c r="Q1373" i="1"/>
  <c r="O1374" i="1"/>
  <c r="P1374" i="1"/>
  <c r="Q1374" i="1"/>
  <c r="O1375" i="1"/>
  <c r="P1375" i="1"/>
  <c r="Q1375" i="1"/>
  <c r="O1376" i="1"/>
  <c r="P1376" i="1"/>
  <c r="Q1376" i="1"/>
  <c r="O1377" i="1"/>
  <c r="P1377" i="1"/>
  <c r="Q1377" i="1"/>
  <c r="O1378" i="1"/>
  <c r="P1378" i="1"/>
  <c r="Q1378" i="1"/>
  <c r="O1379" i="1"/>
  <c r="P1379" i="1"/>
  <c r="Q1379" i="1"/>
  <c r="O1380" i="1"/>
  <c r="P1380" i="1"/>
  <c r="Q1380" i="1"/>
  <c r="O1381" i="1"/>
  <c r="P1381" i="1"/>
  <c r="Q1381" i="1"/>
  <c r="O1382" i="1"/>
  <c r="P1382" i="1"/>
  <c r="Q1382" i="1"/>
  <c r="O1383" i="1"/>
  <c r="P1383" i="1"/>
  <c r="Q1383" i="1"/>
  <c r="O1384" i="1"/>
  <c r="P1384" i="1"/>
  <c r="Q1384" i="1"/>
  <c r="O1385" i="1"/>
  <c r="P1385" i="1"/>
  <c r="Q1385" i="1"/>
  <c r="O1386" i="1"/>
  <c r="P1386" i="1"/>
  <c r="Q1386" i="1"/>
  <c r="O1387" i="1"/>
  <c r="P1387" i="1"/>
  <c r="Q1387" i="1"/>
  <c r="O1388" i="1"/>
  <c r="P1388" i="1"/>
  <c r="Q1388" i="1"/>
  <c r="O1389" i="1"/>
  <c r="P1389" i="1"/>
  <c r="Q1389" i="1"/>
  <c r="O1390" i="1"/>
  <c r="P1390" i="1"/>
  <c r="Q1390" i="1"/>
  <c r="O1391" i="1"/>
  <c r="P1391" i="1"/>
  <c r="Q1391" i="1"/>
  <c r="O1392" i="1"/>
  <c r="P1392" i="1"/>
  <c r="Q1392" i="1"/>
  <c r="O1393" i="1"/>
  <c r="P1393" i="1"/>
  <c r="Q1393" i="1"/>
  <c r="O1394" i="1"/>
  <c r="P1394" i="1"/>
  <c r="Q1394" i="1"/>
  <c r="O1395" i="1"/>
  <c r="P1395" i="1"/>
  <c r="Q1395" i="1"/>
  <c r="O1396" i="1"/>
  <c r="P1396" i="1"/>
  <c r="Q1396" i="1"/>
  <c r="O1397" i="1"/>
  <c r="P1397" i="1"/>
  <c r="Q1397" i="1"/>
  <c r="O1398" i="1"/>
  <c r="P1398" i="1"/>
  <c r="Q1398" i="1"/>
  <c r="O1399" i="1"/>
  <c r="P1399" i="1"/>
  <c r="Q1399" i="1"/>
  <c r="O1400" i="1"/>
  <c r="P1400" i="1"/>
  <c r="Q1400" i="1"/>
  <c r="O1401" i="1"/>
  <c r="P1401" i="1"/>
  <c r="Q1401" i="1"/>
  <c r="O1402" i="1"/>
  <c r="P1402" i="1"/>
  <c r="Q1402" i="1"/>
  <c r="O1403" i="1"/>
  <c r="P1403" i="1"/>
  <c r="Q1403" i="1"/>
  <c r="O1404" i="1"/>
  <c r="P1404" i="1"/>
  <c r="Q1404" i="1"/>
  <c r="O1405" i="1"/>
  <c r="P1405" i="1"/>
  <c r="Q1405" i="1"/>
  <c r="O1406" i="1"/>
  <c r="P1406" i="1"/>
  <c r="Q1406" i="1"/>
  <c r="O1407" i="1"/>
  <c r="P1407" i="1"/>
  <c r="Q1407" i="1"/>
  <c r="O1408" i="1"/>
  <c r="P1408" i="1"/>
  <c r="Q1408" i="1"/>
  <c r="O1409" i="1"/>
  <c r="P1409" i="1"/>
  <c r="Q1409" i="1"/>
  <c r="O1410" i="1"/>
  <c r="P1410" i="1"/>
  <c r="Q1410" i="1"/>
  <c r="O1411" i="1"/>
  <c r="P1411" i="1"/>
  <c r="Q1411" i="1"/>
  <c r="O1412" i="1"/>
  <c r="P1412" i="1"/>
  <c r="Q1412" i="1"/>
  <c r="O1413" i="1"/>
  <c r="P1413" i="1"/>
  <c r="Q1413" i="1"/>
  <c r="O1414" i="1"/>
  <c r="P1414" i="1"/>
  <c r="Q1414" i="1"/>
  <c r="O1415" i="1"/>
  <c r="P1415" i="1"/>
  <c r="Q1415" i="1"/>
  <c r="O1416" i="1"/>
  <c r="P1416" i="1"/>
  <c r="Q1416" i="1"/>
  <c r="O1417" i="1"/>
  <c r="P1417" i="1"/>
  <c r="Q1417" i="1"/>
  <c r="O1418" i="1"/>
  <c r="P1418" i="1"/>
  <c r="Q1418" i="1"/>
  <c r="O1419" i="1"/>
  <c r="P1419" i="1"/>
  <c r="Q1419" i="1"/>
  <c r="O1420" i="1"/>
  <c r="P1420" i="1"/>
  <c r="Q1420" i="1"/>
  <c r="O1421" i="1"/>
  <c r="P1421" i="1"/>
  <c r="Q1421" i="1"/>
  <c r="O1422" i="1"/>
  <c r="P1422" i="1"/>
  <c r="Q1422" i="1"/>
  <c r="O1423" i="1"/>
  <c r="P1423" i="1"/>
  <c r="Q1423" i="1"/>
  <c r="O1424" i="1"/>
  <c r="P1424" i="1"/>
  <c r="Q1424" i="1"/>
  <c r="O1425" i="1"/>
  <c r="P1425" i="1"/>
  <c r="Q1425" i="1"/>
  <c r="O1426" i="1"/>
  <c r="P1426" i="1"/>
  <c r="Q1426" i="1"/>
  <c r="O1427" i="1"/>
  <c r="P1427" i="1"/>
  <c r="Q1427" i="1"/>
  <c r="O1428" i="1"/>
  <c r="P1428" i="1"/>
  <c r="Q1428" i="1"/>
  <c r="O1429" i="1"/>
  <c r="P1429" i="1"/>
  <c r="Q1429" i="1"/>
  <c r="O1430" i="1"/>
  <c r="P1430" i="1"/>
  <c r="Q1430" i="1"/>
  <c r="O1431" i="1"/>
  <c r="P1431" i="1"/>
  <c r="Q1431" i="1"/>
  <c r="O1432" i="1"/>
  <c r="P1432" i="1"/>
  <c r="Q1432" i="1"/>
  <c r="O1433" i="1"/>
  <c r="P1433" i="1"/>
  <c r="Q1433" i="1"/>
  <c r="O1434" i="1"/>
  <c r="P1434" i="1"/>
  <c r="Q1434" i="1"/>
  <c r="O1435" i="1"/>
  <c r="P1435" i="1"/>
  <c r="Q1435" i="1"/>
  <c r="O1436" i="1"/>
  <c r="P1436" i="1"/>
  <c r="Q1436" i="1"/>
  <c r="O1437" i="1"/>
  <c r="P1437" i="1"/>
  <c r="Q1437" i="1"/>
  <c r="O1438" i="1"/>
  <c r="P1438" i="1"/>
  <c r="Q1438" i="1"/>
  <c r="O1439" i="1"/>
  <c r="P1439" i="1"/>
  <c r="Q1439" i="1"/>
  <c r="O1440" i="1"/>
  <c r="P1440" i="1"/>
  <c r="Q1440" i="1"/>
  <c r="O1441" i="1"/>
  <c r="P1441" i="1"/>
  <c r="Q1441" i="1"/>
  <c r="O1442" i="1"/>
  <c r="P1442" i="1"/>
  <c r="Q1442" i="1"/>
  <c r="O1443" i="1"/>
  <c r="P1443" i="1"/>
  <c r="Q1443" i="1"/>
  <c r="O1444" i="1"/>
  <c r="P1444" i="1"/>
  <c r="Q1444" i="1"/>
  <c r="O1445" i="1"/>
  <c r="P1445" i="1"/>
  <c r="Q1445" i="1"/>
  <c r="O1446" i="1"/>
  <c r="P1446" i="1"/>
  <c r="Q1446" i="1"/>
  <c r="O1447" i="1"/>
  <c r="P1447" i="1"/>
  <c r="Q1447" i="1"/>
  <c r="O1448" i="1"/>
  <c r="P1448" i="1"/>
  <c r="Q1448" i="1"/>
  <c r="O1449" i="1"/>
  <c r="P1449" i="1"/>
  <c r="Q1449" i="1"/>
  <c r="O1450" i="1"/>
  <c r="P1450" i="1"/>
  <c r="Q1450" i="1"/>
  <c r="O1451" i="1"/>
  <c r="P1451" i="1"/>
  <c r="Q1451" i="1"/>
  <c r="O1452" i="1"/>
  <c r="P1452" i="1"/>
  <c r="Q1452" i="1"/>
  <c r="O1453" i="1"/>
  <c r="P1453" i="1"/>
  <c r="Q1453" i="1"/>
  <c r="O1454" i="1"/>
  <c r="P1454" i="1"/>
  <c r="Q1454" i="1"/>
  <c r="O1455" i="1"/>
  <c r="P1455" i="1"/>
  <c r="Q1455" i="1"/>
  <c r="O1456" i="1"/>
  <c r="P1456" i="1"/>
  <c r="Q1456" i="1"/>
  <c r="O1457" i="1"/>
  <c r="P1457" i="1"/>
  <c r="Q1457" i="1"/>
  <c r="O1458" i="1"/>
  <c r="P1458" i="1"/>
  <c r="Q1458" i="1"/>
  <c r="O1459" i="1"/>
  <c r="P1459" i="1"/>
  <c r="Q1459" i="1"/>
  <c r="O1460" i="1"/>
  <c r="P1460" i="1"/>
  <c r="Q1460" i="1"/>
  <c r="O1461" i="1"/>
  <c r="P1461" i="1"/>
  <c r="Q1461" i="1"/>
  <c r="O1462" i="1"/>
  <c r="P1462" i="1"/>
  <c r="Q1462" i="1"/>
  <c r="O1463" i="1"/>
  <c r="P1463" i="1"/>
  <c r="Q1463" i="1"/>
  <c r="O1464" i="1"/>
  <c r="P1464" i="1"/>
  <c r="Q1464" i="1"/>
  <c r="O1465" i="1"/>
  <c r="P1465" i="1"/>
  <c r="Q1465" i="1"/>
  <c r="O1466" i="1"/>
  <c r="P1466" i="1"/>
  <c r="Q1466" i="1"/>
  <c r="O1467" i="1"/>
  <c r="P1467" i="1"/>
  <c r="Q1467" i="1"/>
  <c r="O1468" i="1"/>
  <c r="P1468" i="1"/>
  <c r="Q1468" i="1"/>
  <c r="O1469" i="1"/>
  <c r="P1469" i="1"/>
  <c r="Q1469" i="1"/>
  <c r="O1470" i="1"/>
  <c r="P1470" i="1"/>
  <c r="Q1470" i="1"/>
  <c r="O1471" i="1"/>
  <c r="P1471" i="1"/>
  <c r="Q1471" i="1"/>
  <c r="O1472" i="1"/>
  <c r="P1472" i="1"/>
  <c r="Q1472" i="1"/>
  <c r="O1473" i="1"/>
  <c r="P1473" i="1"/>
  <c r="Q1473" i="1"/>
  <c r="O1474" i="1"/>
  <c r="P1474" i="1"/>
  <c r="Q1474" i="1"/>
  <c r="O1475" i="1"/>
  <c r="P1475" i="1"/>
  <c r="Q1475" i="1"/>
  <c r="O1476" i="1"/>
  <c r="P1476" i="1"/>
  <c r="Q1476" i="1"/>
  <c r="O1477" i="1"/>
  <c r="P1477" i="1"/>
  <c r="Q1477" i="1"/>
  <c r="O1478" i="1"/>
  <c r="P1478" i="1"/>
  <c r="Q1478" i="1"/>
  <c r="O1479" i="1"/>
  <c r="P1479" i="1"/>
  <c r="Q1479" i="1"/>
  <c r="O1480" i="1"/>
  <c r="P1480" i="1"/>
  <c r="Q1480" i="1"/>
  <c r="O1481" i="1"/>
  <c r="P1481" i="1"/>
  <c r="Q1481" i="1"/>
  <c r="O1482" i="1"/>
  <c r="P1482" i="1"/>
  <c r="Q1482" i="1"/>
  <c r="O1483" i="1"/>
  <c r="P1483" i="1"/>
  <c r="Q1483" i="1"/>
  <c r="O1484" i="1"/>
  <c r="P1484" i="1"/>
  <c r="Q1484" i="1"/>
  <c r="O1485" i="1"/>
  <c r="P1485" i="1"/>
  <c r="Q1485" i="1"/>
  <c r="O1486" i="1"/>
  <c r="P1486" i="1"/>
  <c r="Q1486" i="1"/>
  <c r="O1487" i="1"/>
  <c r="P1487" i="1"/>
  <c r="Q1487" i="1"/>
  <c r="O1488" i="1"/>
  <c r="P1488" i="1"/>
  <c r="Q1488" i="1"/>
  <c r="O1489" i="1"/>
  <c r="P1489" i="1"/>
  <c r="Q1489" i="1"/>
  <c r="O1490" i="1"/>
  <c r="P1490" i="1"/>
  <c r="Q1490" i="1"/>
  <c r="O1491" i="1"/>
  <c r="P1491" i="1"/>
  <c r="Q1491" i="1"/>
  <c r="O1492" i="1"/>
  <c r="P1492" i="1"/>
  <c r="Q1492" i="1"/>
  <c r="O1493" i="1"/>
  <c r="P1493" i="1"/>
  <c r="Q1493" i="1"/>
  <c r="O1494" i="1"/>
  <c r="P1494" i="1"/>
  <c r="Q1494" i="1"/>
  <c r="O1495" i="1"/>
  <c r="P1495" i="1"/>
  <c r="Q1495" i="1"/>
  <c r="O1496" i="1"/>
  <c r="P1496" i="1"/>
  <c r="Q1496" i="1"/>
  <c r="O1497" i="1"/>
  <c r="P1497" i="1"/>
  <c r="Q1497" i="1"/>
  <c r="O1498" i="1"/>
  <c r="P1498" i="1"/>
  <c r="Q1498" i="1"/>
  <c r="O1499" i="1"/>
  <c r="P1499" i="1"/>
  <c r="Q1499" i="1"/>
  <c r="O1500" i="1"/>
  <c r="P1500" i="1"/>
  <c r="Q1500" i="1"/>
  <c r="O1501" i="1"/>
  <c r="P1501" i="1"/>
  <c r="Q1501" i="1"/>
  <c r="O1502" i="1"/>
  <c r="P1502" i="1"/>
  <c r="Q1502" i="1"/>
  <c r="O1503" i="1"/>
  <c r="P1503" i="1"/>
  <c r="Q1503" i="1"/>
  <c r="O1504" i="1"/>
  <c r="P1504" i="1"/>
  <c r="Q1504" i="1"/>
  <c r="O1505" i="1"/>
  <c r="P1505" i="1"/>
  <c r="Q1505" i="1"/>
  <c r="O1506" i="1"/>
  <c r="P1506" i="1"/>
  <c r="Q1506" i="1"/>
  <c r="O1507" i="1"/>
  <c r="P1507" i="1"/>
  <c r="Q1507" i="1"/>
  <c r="O1508" i="1"/>
  <c r="P1508" i="1"/>
  <c r="Q1508" i="1"/>
  <c r="O1509" i="1"/>
  <c r="P1509" i="1"/>
  <c r="Q1509" i="1"/>
  <c r="O1510" i="1"/>
  <c r="P1510" i="1"/>
  <c r="Q1510" i="1"/>
  <c r="O1511" i="1"/>
  <c r="P1511" i="1"/>
  <c r="Q1511" i="1"/>
  <c r="O1512" i="1"/>
  <c r="P1512" i="1"/>
  <c r="Q1512" i="1"/>
  <c r="O1513" i="1"/>
  <c r="P1513" i="1"/>
  <c r="Q1513" i="1"/>
  <c r="O1514" i="1"/>
  <c r="P1514" i="1"/>
  <c r="Q1514" i="1"/>
  <c r="O1515" i="1"/>
  <c r="P1515" i="1"/>
  <c r="Q1515" i="1"/>
  <c r="O1516" i="1"/>
  <c r="P1516" i="1"/>
  <c r="Q1516" i="1"/>
  <c r="O1517" i="1"/>
  <c r="P1517" i="1"/>
  <c r="Q1517" i="1"/>
  <c r="O1518" i="1"/>
  <c r="P1518" i="1"/>
  <c r="Q1518" i="1"/>
  <c r="O1519" i="1"/>
  <c r="P1519" i="1"/>
  <c r="Q1519" i="1"/>
  <c r="O1520" i="1"/>
  <c r="P1520" i="1"/>
  <c r="Q1520" i="1"/>
  <c r="O1521" i="1"/>
  <c r="P1521" i="1"/>
  <c r="Q1521" i="1"/>
  <c r="O1522" i="1"/>
  <c r="P1522" i="1"/>
  <c r="Q1522" i="1"/>
  <c r="O1523" i="1"/>
  <c r="P1523" i="1"/>
  <c r="Q1523" i="1"/>
  <c r="O1524" i="1"/>
  <c r="P1524" i="1"/>
  <c r="Q1524" i="1"/>
  <c r="O1525" i="1"/>
  <c r="P1525" i="1"/>
  <c r="Q1525" i="1"/>
  <c r="O1526" i="1"/>
  <c r="P1526" i="1"/>
  <c r="Q1526" i="1"/>
  <c r="O1527" i="1"/>
  <c r="P1527" i="1"/>
  <c r="Q1527" i="1"/>
  <c r="O1528" i="1"/>
  <c r="P1528" i="1"/>
  <c r="Q1528" i="1"/>
  <c r="O1529" i="1"/>
  <c r="P1529" i="1"/>
  <c r="Q1529" i="1"/>
  <c r="O1530" i="1"/>
  <c r="P1530" i="1"/>
  <c r="Q1530" i="1"/>
  <c r="O1531" i="1"/>
  <c r="P1531" i="1"/>
  <c r="Q1531" i="1"/>
  <c r="O1532" i="1"/>
  <c r="P1532" i="1"/>
  <c r="Q1532" i="1"/>
  <c r="O1533" i="1"/>
  <c r="P1533" i="1"/>
  <c r="Q1533" i="1"/>
  <c r="O1534" i="1"/>
  <c r="P1534" i="1"/>
  <c r="Q1534" i="1"/>
  <c r="O1535" i="1"/>
  <c r="P1535" i="1"/>
  <c r="Q1535" i="1"/>
  <c r="O1536" i="1"/>
  <c r="P1536" i="1"/>
  <c r="Q1536" i="1"/>
  <c r="O1537" i="1"/>
  <c r="P1537" i="1"/>
  <c r="Q1537" i="1"/>
  <c r="O1538" i="1"/>
  <c r="P1538" i="1"/>
  <c r="Q1538" i="1"/>
  <c r="O1539" i="1"/>
  <c r="P1539" i="1"/>
  <c r="Q1539" i="1"/>
  <c r="O1540" i="1"/>
  <c r="P1540" i="1"/>
  <c r="Q1540" i="1"/>
  <c r="O1541" i="1"/>
  <c r="P1541" i="1"/>
  <c r="Q1541" i="1"/>
  <c r="O1542" i="1"/>
  <c r="P1542" i="1"/>
  <c r="Q1542" i="1"/>
  <c r="O1543" i="1"/>
  <c r="P1543" i="1"/>
  <c r="Q1543" i="1"/>
  <c r="O1544" i="1"/>
  <c r="P1544" i="1"/>
  <c r="Q1544" i="1"/>
  <c r="O1545" i="1"/>
  <c r="P1545" i="1"/>
  <c r="Q1545" i="1"/>
  <c r="O1546" i="1"/>
  <c r="P1546" i="1"/>
  <c r="Q1546" i="1"/>
  <c r="O1547" i="1"/>
  <c r="P1547" i="1"/>
  <c r="Q1547" i="1"/>
  <c r="O1548" i="1"/>
  <c r="P1548" i="1"/>
  <c r="Q1548" i="1"/>
  <c r="O1549" i="1"/>
  <c r="P1549" i="1"/>
  <c r="Q1549" i="1"/>
  <c r="O1550" i="1"/>
  <c r="P1550" i="1"/>
  <c r="Q1550" i="1"/>
  <c r="O1551" i="1"/>
  <c r="P1551" i="1"/>
  <c r="Q1551" i="1"/>
  <c r="O1552" i="1"/>
  <c r="P1552" i="1"/>
  <c r="Q1552" i="1"/>
  <c r="O1553" i="1"/>
  <c r="P1553" i="1"/>
  <c r="Q1553" i="1"/>
  <c r="O1554" i="1"/>
  <c r="P1554" i="1"/>
  <c r="Q1554" i="1"/>
  <c r="O1555" i="1"/>
  <c r="P1555" i="1"/>
  <c r="Q1555" i="1"/>
  <c r="O1556" i="1"/>
  <c r="P1556" i="1"/>
  <c r="Q1556" i="1"/>
  <c r="O1557" i="1"/>
  <c r="P1557" i="1"/>
  <c r="Q1557" i="1"/>
  <c r="O1558" i="1"/>
  <c r="P1558" i="1"/>
  <c r="Q1558" i="1"/>
  <c r="O1559" i="1"/>
  <c r="P1559" i="1"/>
  <c r="Q1559" i="1"/>
  <c r="O1560" i="1"/>
  <c r="P1560" i="1"/>
  <c r="Q1560" i="1"/>
  <c r="O1561" i="1"/>
  <c r="P1561" i="1"/>
  <c r="Q1561" i="1"/>
  <c r="O1562" i="1"/>
  <c r="P1562" i="1"/>
  <c r="Q1562" i="1"/>
  <c r="O1563" i="1"/>
  <c r="P1563" i="1"/>
  <c r="Q1563" i="1"/>
  <c r="O1564" i="1"/>
  <c r="P1564" i="1"/>
  <c r="Q1564" i="1"/>
  <c r="O1565" i="1"/>
  <c r="P1565" i="1"/>
  <c r="Q1565" i="1"/>
  <c r="O1566" i="1"/>
  <c r="P1566" i="1"/>
  <c r="Q1566" i="1"/>
  <c r="O1567" i="1"/>
  <c r="P1567" i="1"/>
  <c r="Q1567" i="1"/>
  <c r="O1568" i="1"/>
  <c r="P1568" i="1"/>
  <c r="Q1568" i="1"/>
  <c r="O1569" i="1"/>
  <c r="P1569" i="1"/>
  <c r="Q1569" i="1"/>
  <c r="O1570" i="1"/>
  <c r="P1570" i="1"/>
  <c r="Q1570" i="1"/>
  <c r="O1571" i="1"/>
  <c r="P1571" i="1"/>
  <c r="Q1571" i="1"/>
  <c r="O1572" i="1"/>
  <c r="P1572" i="1"/>
  <c r="Q1572" i="1"/>
  <c r="O1573" i="1"/>
  <c r="P1573" i="1"/>
  <c r="Q1573" i="1"/>
  <c r="O1574" i="1"/>
  <c r="P1574" i="1"/>
  <c r="Q1574" i="1"/>
  <c r="O1575" i="1"/>
  <c r="P1575" i="1"/>
  <c r="Q1575" i="1"/>
  <c r="O1576" i="1"/>
  <c r="P1576" i="1"/>
  <c r="Q1576" i="1"/>
  <c r="O1577" i="1"/>
  <c r="P1577" i="1"/>
  <c r="Q1577" i="1"/>
  <c r="O1578" i="1"/>
  <c r="P1578" i="1"/>
  <c r="Q1578" i="1"/>
  <c r="O1579" i="1"/>
  <c r="P1579" i="1"/>
  <c r="Q1579" i="1"/>
  <c r="O1580" i="1"/>
  <c r="P1580" i="1"/>
  <c r="Q1580" i="1"/>
  <c r="O1581" i="1"/>
  <c r="P1581" i="1"/>
  <c r="Q1581" i="1"/>
  <c r="O1582" i="1"/>
  <c r="P1582" i="1"/>
  <c r="Q1582" i="1"/>
  <c r="O1583" i="1"/>
  <c r="P1583" i="1"/>
  <c r="Q1583" i="1"/>
  <c r="O1584" i="1"/>
  <c r="P1584" i="1"/>
  <c r="Q1584" i="1"/>
  <c r="O1585" i="1"/>
  <c r="P1585" i="1"/>
  <c r="Q1585" i="1"/>
  <c r="O1586" i="1"/>
  <c r="P1586" i="1"/>
  <c r="Q1586" i="1"/>
  <c r="O1587" i="1"/>
  <c r="P1587" i="1"/>
  <c r="Q1587" i="1"/>
  <c r="O1588" i="1"/>
  <c r="P1588" i="1"/>
  <c r="Q1588" i="1"/>
  <c r="O1589" i="1"/>
  <c r="P1589" i="1"/>
  <c r="Q1589" i="1"/>
  <c r="O1590" i="1"/>
  <c r="P1590" i="1"/>
  <c r="Q1590" i="1"/>
  <c r="O1591" i="1"/>
  <c r="P1591" i="1"/>
  <c r="Q1591" i="1"/>
  <c r="O1592" i="1"/>
  <c r="P1592" i="1"/>
  <c r="Q1592" i="1"/>
  <c r="O1593" i="1"/>
  <c r="P1593" i="1"/>
  <c r="Q1593" i="1"/>
  <c r="O1594" i="1"/>
  <c r="P1594" i="1"/>
  <c r="Q1594" i="1"/>
  <c r="O1595" i="1"/>
  <c r="P1595" i="1"/>
  <c r="Q1595" i="1"/>
  <c r="O1596" i="1"/>
  <c r="P1596" i="1"/>
  <c r="Q1596" i="1"/>
  <c r="O1597" i="1"/>
  <c r="P1597" i="1"/>
  <c r="Q1597" i="1"/>
  <c r="O1598" i="1"/>
  <c r="P1598" i="1"/>
  <c r="Q1598" i="1"/>
  <c r="O1599" i="1"/>
  <c r="P1599" i="1"/>
  <c r="Q1599" i="1"/>
  <c r="O1600" i="1"/>
  <c r="P1600" i="1"/>
  <c r="Q1600" i="1"/>
  <c r="O1601" i="1"/>
  <c r="P1601" i="1"/>
  <c r="Q1601" i="1"/>
  <c r="O1602" i="1"/>
  <c r="P1602" i="1"/>
  <c r="Q1602" i="1"/>
  <c r="O1603" i="1"/>
  <c r="P1603" i="1"/>
  <c r="Q1603" i="1"/>
  <c r="O1604" i="1"/>
  <c r="P1604" i="1"/>
  <c r="Q1604" i="1"/>
  <c r="O1605" i="1"/>
  <c r="P1605" i="1"/>
  <c r="Q1605" i="1"/>
  <c r="O1606" i="1"/>
  <c r="P1606" i="1"/>
  <c r="Q1606" i="1"/>
  <c r="O1607" i="1"/>
  <c r="P1607" i="1"/>
  <c r="Q1607" i="1"/>
  <c r="O1608" i="1"/>
  <c r="P1608" i="1"/>
  <c r="Q1608" i="1"/>
  <c r="O1609" i="1"/>
  <c r="P1609" i="1"/>
  <c r="Q1609" i="1"/>
  <c r="O1610" i="1"/>
  <c r="P1610" i="1"/>
  <c r="Q1610" i="1"/>
  <c r="O1611" i="1"/>
  <c r="P1611" i="1"/>
  <c r="Q1611" i="1"/>
  <c r="O1612" i="1"/>
  <c r="P1612" i="1"/>
  <c r="Q1612" i="1"/>
  <c r="O1613" i="1"/>
  <c r="P1613" i="1"/>
  <c r="Q1613" i="1"/>
  <c r="O1614" i="1"/>
  <c r="P1614" i="1"/>
  <c r="Q1614" i="1"/>
  <c r="O1615" i="1"/>
  <c r="P1615" i="1"/>
  <c r="Q1615" i="1"/>
  <c r="O1616" i="1"/>
  <c r="P1616" i="1"/>
  <c r="Q1616" i="1"/>
  <c r="O1617" i="1"/>
  <c r="P1617" i="1"/>
  <c r="Q1617" i="1"/>
  <c r="O1618" i="1"/>
  <c r="P1618" i="1"/>
  <c r="Q1618" i="1"/>
  <c r="O1619" i="1"/>
  <c r="P1619" i="1"/>
  <c r="Q1619" i="1"/>
  <c r="O1620" i="1"/>
  <c r="P1620" i="1"/>
  <c r="Q1620" i="1"/>
  <c r="O1621" i="1"/>
  <c r="P1621" i="1"/>
  <c r="Q1621" i="1"/>
  <c r="O1622" i="1"/>
  <c r="P1622" i="1"/>
  <c r="Q1622" i="1"/>
  <c r="O1623" i="1"/>
  <c r="P1623" i="1"/>
  <c r="Q1623" i="1"/>
  <c r="O1624" i="1"/>
  <c r="P1624" i="1"/>
  <c r="Q1624" i="1"/>
  <c r="O1625" i="1"/>
  <c r="P1625" i="1"/>
  <c r="Q1625" i="1"/>
  <c r="O1626" i="1"/>
  <c r="P1626" i="1"/>
  <c r="Q1626" i="1"/>
  <c r="O1627" i="1"/>
  <c r="P1627" i="1"/>
  <c r="Q1627" i="1"/>
  <c r="O1628" i="1"/>
  <c r="P1628" i="1"/>
  <c r="Q1628" i="1"/>
  <c r="O1629" i="1"/>
  <c r="P1629" i="1"/>
  <c r="Q1629" i="1"/>
  <c r="O1630" i="1"/>
  <c r="P1630" i="1"/>
  <c r="Q1630" i="1"/>
  <c r="O1631" i="1"/>
  <c r="P1631" i="1"/>
  <c r="Q1631" i="1"/>
  <c r="O1632" i="1"/>
  <c r="P1632" i="1"/>
  <c r="Q1632" i="1"/>
  <c r="O1633" i="1"/>
  <c r="P1633" i="1"/>
  <c r="Q1633" i="1"/>
  <c r="O1634" i="1"/>
  <c r="P1634" i="1"/>
  <c r="Q1634" i="1"/>
  <c r="O1635" i="1"/>
  <c r="P1635" i="1"/>
  <c r="Q1635" i="1"/>
  <c r="O1636" i="1"/>
  <c r="P1636" i="1"/>
  <c r="Q1636" i="1"/>
  <c r="O1637" i="1"/>
  <c r="P1637" i="1"/>
  <c r="Q1637" i="1"/>
  <c r="O1638" i="1"/>
  <c r="P1638" i="1"/>
  <c r="Q1638" i="1"/>
  <c r="O1639" i="1"/>
  <c r="P1639" i="1"/>
  <c r="Q1639" i="1"/>
  <c r="O1640" i="1"/>
  <c r="P1640" i="1"/>
  <c r="Q1640" i="1"/>
  <c r="O1641" i="1"/>
  <c r="P1641" i="1"/>
  <c r="Q1641" i="1"/>
  <c r="O1642" i="1"/>
  <c r="P1642" i="1"/>
  <c r="Q1642" i="1"/>
  <c r="O1643" i="1"/>
  <c r="P1643" i="1"/>
  <c r="Q1643" i="1"/>
  <c r="O1644" i="1"/>
  <c r="P1644" i="1"/>
  <c r="Q1644" i="1"/>
  <c r="O1645" i="1"/>
  <c r="P1645" i="1"/>
  <c r="Q1645" i="1"/>
  <c r="O1646" i="1"/>
  <c r="P1646" i="1"/>
  <c r="Q1646" i="1"/>
  <c r="O1647" i="1"/>
  <c r="P1647" i="1"/>
  <c r="Q1647" i="1"/>
  <c r="O1648" i="1"/>
  <c r="P1648" i="1"/>
  <c r="Q1648" i="1"/>
  <c r="O1649" i="1"/>
  <c r="P1649" i="1"/>
  <c r="Q1649" i="1"/>
  <c r="O1650" i="1"/>
  <c r="P1650" i="1"/>
  <c r="Q1650" i="1"/>
  <c r="O1651" i="1"/>
  <c r="P1651" i="1"/>
  <c r="Q1651" i="1"/>
  <c r="O1652" i="1"/>
  <c r="P1652" i="1"/>
  <c r="Q1652" i="1"/>
  <c r="O1653" i="1"/>
  <c r="P1653" i="1"/>
  <c r="Q1653" i="1"/>
  <c r="O1654" i="1"/>
  <c r="P1654" i="1"/>
  <c r="Q1654" i="1"/>
  <c r="O1655" i="1"/>
  <c r="P1655" i="1"/>
  <c r="Q1655" i="1"/>
  <c r="O1656" i="1"/>
  <c r="P1656" i="1"/>
  <c r="Q1656" i="1"/>
  <c r="O1657" i="1"/>
  <c r="P1657" i="1"/>
  <c r="Q1657" i="1"/>
  <c r="O1658" i="1"/>
  <c r="P1658" i="1"/>
  <c r="Q1658" i="1"/>
  <c r="O1659" i="1"/>
  <c r="P1659" i="1"/>
  <c r="Q1659" i="1"/>
  <c r="O1660" i="1"/>
  <c r="P1660" i="1"/>
  <c r="Q1660" i="1"/>
  <c r="O1661" i="1"/>
  <c r="P1661" i="1"/>
  <c r="Q1661" i="1"/>
  <c r="O1662" i="1"/>
  <c r="P1662" i="1"/>
  <c r="Q1662" i="1"/>
  <c r="O1663" i="1"/>
  <c r="P1663" i="1"/>
  <c r="Q1663" i="1"/>
  <c r="O1664" i="1"/>
  <c r="P1664" i="1"/>
  <c r="Q1664" i="1"/>
  <c r="O1665" i="1"/>
  <c r="P1665" i="1"/>
  <c r="Q1665" i="1"/>
  <c r="O1666" i="1"/>
  <c r="P1666" i="1"/>
  <c r="Q1666" i="1"/>
  <c r="O1667" i="1"/>
  <c r="P1667" i="1"/>
  <c r="Q1667" i="1"/>
  <c r="O1668" i="1"/>
  <c r="P1668" i="1"/>
  <c r="Q1668" i="1"/>
  <c r="O1669" i="1"/>
  <c r="P1669" i="1"/>
  <c r="Q1669" i="1"/>
  <c r="O1670" i="1"/>
  <c r="P1670" i="1"/>
  <c r="Q1670" i="1"/>
  <c r="O1671" i="1"/>
  <c r="P1671" i="1"/>
  <c r="Q1671" i="1"/>
  <c r="O1672" i="1"/>
  <c r="P1672" i="1"/>
  <c r="Q1672" i="1"/>
  <c r="O1673" i="1"/>
  <c r="P1673" i="1"/>
  <c r="Q1673" i="1"/>
  <c r="O1674" i="1"/>
  <c r="P1674" i="1"/>
  <c r="Q1674" i="1"/>
  <c r="O1675" i="1"/>
  <c r="P1675" i="1"/>
  <c r="Q1675" i="1"/>
  <c r="O1676" i="1"/>
  <c r="P1676" i="1"/>
  <c r="Q1676" i="1"/>
  <c r="O1677" i="1"/>
  <c r="P1677" i="1"/>
  <c r="Q1677" i="1"/>
  <c r="O1678" i="1"/>
  <c r="P1678" i="1"/>
  <c r="Q1678" i="1"/>
  <c r="O1679" i="1"/>
  <c r="P1679" i="1"/>
  <c r="Q1679" i="1"/>
  <c r="O1680" i="1"/>
  <c r="P1680" i="1"/>
  <c r="Q1680" i="1"/>
  <c r="O1681" i="1"/>
  <c r="P1681" i="1"/>
  <c r="Q1681" i="1"/>
  <c r="O1682" i="1"/>
  <c r="P1682" i="1"/>
  <c r="Q1682" i="1"/>
  <c r="O1683" i="1"/>
  <c r="P1683" i="1"/>
  <c r="Q1683" i="1"/>
  <c r="O1684" i="1"/>
  <c r="P1684" i="1"/>
  <c r="Q1684" i="1"/>
  <c r="O1685" i="1"/>
  <c r="P1685" i="1"/>
  <c r="Q1685" i="1"/>
  <c r="O1686" i="1"/>
  <c r="P1686" i="1"/>
  <c r="Q1686" i="1"/>
  <c r="O1687" i="1"/>
  <c r="P1687" i="1"/>
  <c r="Q1687" i="1"/>
  <c r="O1688" i="1"/>
  <c r="P1688" i="1"/>
  <c r="Q1688" i="1"/>
  <c r="O1689" i="1"/>
  <c r="P1689" i="1"/>
  <c r="Q1689" i="1"/>
  <c r="O1690" i="1"/>
  <c r="P1690" i="1"/>
  <c r="Q1690" i="1"/>
  <c r="O1691" i="1"/>
  <c r="P1691" i="1"/>
  <c r="Q1691" i="1"/>
  <c r="O1692" i="1"/>
  <c r="P1692" i="1"/>
  <c r="Q1692" i="1"/>
  <c r="O1693" i="1"/>
  <c r="P1693" i="1"/>
  <c r="Q1693" i="1"/>
  <c r="O1694" i="1"/>
  <c r="P1694" i="1"/>
  <c r="Q1694" i="1"/>
  <c r="O1695" i="1"/>
  <c r="P1695" i="1"/>
  <c r="Q1695" i="1"/>
  <c r="O1696" i="1"/>
  <c r="P1696" i="1"/>
  <c r="Q1696" i="1"/>
  <c r="O1697" i="1"/>
  <c r="P1697" i="1"/>
  <c r="Q1697" i="1"/>
  <c r="O1698" i="1"/>
  <c r="P1698" i="1"/>
  <c r="Q1698" i="1"/>
  <c r="O1699" i="1"/>
  <c r="P1699" i="1"/>
  <c r="Q1699" i="1"/>
  <c r="O1700" i="1"/>
  <c r="P1700" i="1"/>
  <c r="Q1700" i="1"/>
  <c r="O1701" i="1"/>
  <c r="P1701" i="1"/>
  <c r="Q1701" i="1"/>
  <c r="O1702" i="1"/>
  <c r="P1702" i="1"/>
  <c r="Q1702" i="1"/>
  <c r="O1703" i="1"/>
  <c r="P1703" i="1"/>
  <c r="Q1703" i="1"/>
  <c r="O1704" i="1"/>
  <c r="P1704" i="1"/>
  <c r="Q1704" i="1"/>
  <c r="O1705" i="1"/>
  <c r="P1705" i="1"/>
  <c r="Q1705" i="1"/>
  <c r="O1706" i="1"/>
  <c r="P1706" i="1"/>
  <c r="Q1706" i="1"/>
  <c r="O1707" i="1"/>
  <c r="P1707" i="1"/>
  <c r="Q1707" i="1"/>
  <c r="O1708" i="1"/>
  <c r="P1708" i="1"/>
  <c r="Q1708" i="1"/>
  <c r="O1709" i="1"/>
  <c r="P1709" i="1"/>
  <c r="Q1709" i="1"/>
  <c r="O1710" i="1"/>
  <c r="P1710" i="1"/>
  <c r="Q1710" i="1"/>
  <c r="O1711" i="1"/>
  <c r="P1711" i="1"/>
  <c r="Q1711" i="1"/>
  <c r="O1712" i="1"/>
  <c r="P1712" i="1"/>
  <c r="Q1712" i="1"/>
  <c r="O1713" i="1"/>
  <c r="P1713" i="1"/>
  <c r="Q1713" i="1"/>
  <c r="O1714" i="1"/>
  <c r="P1714" i="1"/>
  <c r="Q1714" i="1"/>
  <c r="O1715" i="1"/>
  <c r="P1715" i="1"/>
  <c r="Q1715" i="1"/>
  <c r="O1716" i="1"/>
  <c r="P1716" i="1"/>
  <c r="Q1716" i="1"/>
  <c r="O1717" i="1"/>
  <c r="P1717" i="1"/>
  <c r="Q1717" i="1"/>
  <c r="O1718" i="1"/>
  <c r="P1718" i="1"/>
  <c r="Q1718" i="1"/>
  <c r="O1719" i="1"/>
  <c r="P1719" i="1"/>
  <c r="Q1719" i="1"/>
  <c r="O1720" i="1"/>
  <c r="P1720" i="1"/>
  <c r="Q1720" i="1"/>
  <c r="O1721" i="1"/>
  <c r="P1721" i="1"/>
  <c r="Q1721" i="1"/>
  <c r="O1722" i="1"/>
  <c r="P1722" i="1"/>
  <c r="Q1722" i="1"/>
  <c r="O1723" i="1"/>
  <c r="P1723" i="1"/>
  <c r="Q1723" i="1"/>
  <c r="O1724" i="1"/>
  <c r="P1724" i="1"/>
  <c r="Q1724" i="1"/>
  <c r="O1725" i="1"/>
  <c r="P1725" i="1"/>
  <c r="Q1725" i="1"/>
  <c r="O1726" i="1"/>
  <c r="P1726" i="1"/>
  <c r="Q1726" i="1"/>
  <c r="O1727" i="1"/>
  <c r="P1727" i="1"/>
  <c r="Q1727" i="1"/>
  <c r="O1728" i="1"/>
  <c r="P1728" i="1"/>
  <c r="Q1728" i="1"/>
  <c r="O1729" i="1"/>
  <c r="P1729" i="1"/>
  <c r="Q1729" i="1"/>
  <c r="O1730" i="1"/>
  <c r="P1730" i="1"/>
  <c r="Q1730" i="1"/>
  <c r="O1731" i="1"/>
  <c r="P1731" i="1"/>
  <c r="Q1731" i="1"/>
  <c r="O1732" i="1"/>
  <c r="P1732" i="1"/>
  <c r="Q1732" i="1"/>
  <c r="O1733" i="1"/>
  <c r="P1733" i="1"/>
  <c r="Q1733" i="1"/>
  <c r="O1734" i="1"/>
  <c r="P1734" i="1"/>
  <c r="Q1734" i="1"/>
  <c r="O1735" i="1"/>
  <c r="P1735" i="1"/>
  <c r="Q1735" i="1"/>
  <c r="O1736" i="1"/>
  <c r="P1736" i="1"/>
  <c r="Q1736" i="1"/>
  <c r="O1737" i="1"/>
  <c r="P1737" i="1"/>
  <c r="Q1737" i="1"/>
  <c r="O1738" i="1"/>
  <c r="P1738" i="1"/>
  <c r="Q1738" i="1"/>
  <c r="O1739" i="1"/>
  <c r="P1739" i="1"/>
  <c r="Q1739" i="1"/>
  <c r="O1740" i="1"/>
  <c r="P1740" i="1"/>
  <c r="Q1740" i="1"/>
  <c r="O1741" i="1"/>
  <c r="P1741" i="1"/>
  <c r="Q1741" i="1"/>
  <c r="O1742" i="1"/>
  <c r="P1742" i="1"/>
  <c r="Q1742" i="1"/>
  <c r="O1743" i="1"/>
  <c r="P1743" i="1"/>
  <c r="Q1743" i="1"/>
  <c r="O1744" i="1"/>
  <c r="P1744" i="1"/>
  <c r="Q1744" i="1"/>
  <c r="O1745" i="1"/>
  <c r="P1745" i="1"/>
  <c r="Q1745" i="1"/>
  <c r="O1746" i="1"/>
  <c r="P1746" i="1"/>
  <c r="Q1746" i="1"/>
  <c r="O1747" i="1"/>
  <c r="P1747" i="1"/>
  <c r="Q1747" i="1"/>
  <c r="O1748" i="1"/>
  <c r="P1748" i="1"/>
  <c r="Q1748" i="1"/>
  <c r="O1749" i="1"/>
  <c r="P1749" i="1"/>
  <c r="Q1749" i="1"/>
  <c r="O1750" i="1"/>
  <c r="P1750" i="1"/>
  <c r="Q1750" i="1"/>
  <c r="O1751" i="1"/>
  <c r="P1751" i="1"/>
  <c r="Q1751" i="1"/>
  <c r="O1752" i="1"/>
  <c r="P1752" i="1"/>
  <c r="Q1752" i="1"/>
  <c r="O1753" i="1"/>
  <c r="P1753" i="1"/>
  <c r="Q1753" i="1"/>
  <c r="O1754" i="1"/>
  <c r="P1754" i="1"/>
  <c r="Q1754" i="1"/>
  <c r="O1755" i="1"/>
  <c r="P1755" i="1"/>
  <c r="Q1755" i="1"/>
  <c r="O1756" i="1"/>
  <c r="P1756" i="1"/>
  <c r="Q1756" i="1"/>
  <c r="O1757" i="1"/>
  <c r="P1757" i="1"/>
  <c r="Q1757" i="1"/>
  <c r="O1758" i="1"/>
  <c r="P1758" i="1"/>
  <c r="Q1758" i="1"/>
  <c r="O1759" i="1"/>
  <c r="P1759" i="1"/>
  <c r="Q1759" i="1"/>
  <c r="O1760" i="1"/>
  <c r="P1760" i="1"/>
  <c r="Q1760" i="1"/>
  <c r="O1761" i="1"/>
  <c r="P1761" i="1"/>
  <c r="Q1761" i="1"/>
  <c r="O1762" i="1"/>
  <c r="P1762" i="1"/>
  <c r="Q1762" i="1"/>
  <c r="O1763" i="1"/>
  <c r="P1763" i="1"/>
  <c r="Q1763" i="1"/>
  <c r="O1764" i="1"/>
  <c r="P1764" i="1"/>
  <c r="Q1764" i="1"/>
  <c r="O1765" i="1"/>
  <c r="P1765" i="1"/>
  <c r="Q1765" i="1"/>
  <c r="O1766" i="1"/>
  <c r="P1766" i="1"/>
  <c r="Q1766" i="1"/>
  <c r="O1767" i="1"/>
  <c r="P1767" i="1"/>
  <c r="Q1767" i="1"/>
  <c r="O1768" i="1"/>
  <c r="P1768" i="1"/>
  <c r="Q1768" i="1"/>
  <c r="O1769" i="1"/>
  <c r="P1769" i="1"/>
  <c r="Q1769" i="1"/>
  <c r="O1770" i="1"/>
  <c r="P1770" i="1"/>
  <c r="Q1770" i="1"/>
  <c r="O1771" i="1"/>
  <c r="P1771" i="1"/>
  <c r="Q1771" i="1"/>
  <c r="O1772" i="1"/>
  <c r="P1772" i="1"/>
  <c r="Q1772" i="1"/>
  <c r="O1773" i="1"/>
  <c r="P1773" i="1"/>
  <c r="Q1773" i="1"/>
  <c r="O1774" i="1"/>
  <c r="P1774" i="1"/>
  <c r="Q1774" i="1"/>
  <c r="O1775" i="1"/>
  <c r="P1775" i="1"/>
  <c r="Q1775" i="1"/>
  <c r="O1776" i="1"/>
  <c r="P1776" i="1"/>
  <c r="Q1776" i="1"/>
  <c r="O1777" i="1"/>
  <c r="P1777" i="1"/>
  <c r="Q1777" i="1"/>
  <c r="O1778" i="1"/>
  <c r="P1778" i="1"/>
  <c r="Q1778" i="1"/>
  <c r="O1779" i="1"/>
  <c r="P1779" i="1"/>
  <c r="Q1779" i="1"/>
  <c r="O1780" i="1"/>
  <c r="P1780" i="1"/>
  <c r="Q1780" i="1"/>
  <c r="O1781" i="1"/>
  <c r="P1781" i="1"/>
  <c r="Q1781" i="1"/>
  <c r="O1782" i="1"/>
  <c r="P1782" i="1"/>
  <c r="Q1782" i="1"/>
  <c r="O1783" i="1"/>
  <c r="P1783" i="1"/>
  <c r="Q1783" i="1"/>
  <c r="O1784" i="1"/>
  <c r="P1784" i="1"/>
  <c r="Q1784" i="1"/>
  <c r="O1785" i="1"/>
  <c r="P1785" i="1"/>
  <c r="Q1785" i="1"/>
  <c r="O1786" i="1"/>
  <c r="P1786" i="1"/>
  <c r="Q1786" i="1"/>
  <c r="O1787" i="1"/>
  <c r="P1787" i="1"/>
  <c r="Q1787" i="1"/>
  <c r="O1788" i="1"/>
  <c r="P1788" i="1"/>
  <c r="Q1788" i="1"/>
  <c r="O1789" i="1"/>
  <c r="P1789" i="1"/>
  <c r="Q1789" i="1"/>
  <c r="O1790" i="1"/>
  <c r="P1790" i="1"/>
  <c r="Q1790" i="1"/>
  <c r="O1791" i="1"/>
  <c r="P1791" i="1"/>
  <c r="Q1791" i="1"/>
  <c r="O1792" i="1"/>
  <c r="P1792" i="1"/>
  <c r="Q1792" i="1"/>
  <c r="O1793" i="1"/>
  <c r="P1793" i="1"/>
  <c r="Q1793" i="1"/>
  <c r="O1794" i="1"/>
  <c r="P1794" i="1"/>
  <c r="Q1794" i="1"/>
  <c r="O1795" i="1"/>
  <c r="P1795" i="1"/>
  <c r="Q1795" i="1"/>
  <c r="O1796" i="1"/>
  <c r="P1796" i="1"/>
  <c r="Q1796" i="1"/>
  <c r="O1797" i="1"/>
  <c r="P1797" i="1"/>
  <c r="Q1797" i="1"/>
  <c r="O1798" i="1"/>
  <c r="P1798" i="1"/>
  <c r="Q1798" i="1"/>
  <c r="O1799" i="1"/>
  <c r="P1799" i="1"/>
  <c r="Q1799" i="1"/>
  <c r="O1800" i="1"/>
  <c r="P1800" i="1"/>
  <c r="Q1800" i="1"/>
  <c r="O1801" i="1"/>
  <c r="P1801" i="1"/>
  <c r="Q1801" i="1"/>
  <c r="O1802" i="1"/>
  <c r="P1802" i="1"/>
  <c r="Q1802" i="1"/>
  <c r="O1803" i="1"/>
  <c r="P1803" i="1"/>
  <c r="Q1803" i="1"/>
  <c r="O1804" i="1"/>
  <c r="P1804" i="1"/>
  <c r="Q1804" i="1"/>
  <c r="O1805" i="1"/>
  <c r="P1805" i="1"/>
  <c r="Q1805" i="1"/>
  <c r="O1806" i="1"/>
  <c r="P1806" i="1"/>
  <c r="Q1806" i="1"/>
  <c r="O1807" i="1"/>
  <c r="P1807" i="1"/>
  <c r="Q1807" i="1"/>
  <c r="O1808" i="1"/>
  <c r="P1808" i="1"/>
  <c r="Q1808" i="1"/>
  <c r="O1809" i="1"/>
  <c r="P1809" i="1"/>
  <c r="Q1809" i="1"/>
  <c r="O1810" i="1"/>
  <c r="P1810" i="1"/>
  <c r="Q1810" i="1"/>
  <c r="O1811" i="1"/>
  <c r="P1811" i="1"/>
  <c r="Q1811" i="1"/>
  <c r="O1812" i="1"/>
  <c r="P1812" i="1"/>
  <c r="Q1812" i="1"/>
  <c r="O1813" i="1"/>
  <c r="P1813" i="1"/>
  <c r="Q1813" i="1"/>
  <c r="O1814" i="1"/>
  <c r="P1814" i="1"/>
  <c r="Q1814" i="1"/>
  <c r="O1815" i="1"/>
  <c r="P1815" i="1"/>
  <c r="Q1815" i="1"/>
  <c r="O1816" i="1"/>
  <c r="P1816" i="1"/>
  <c r="Q1816" i="1"/>
  <c r="O1817" i="1"/>
  <c r="P1817" i="1"/>
  <c r="Q1817" i="1"/>
  <c r="O1818" i="1"/>
  <c r="P1818" i="1"/>
  <c r="Q1818" i="1"/>
  <c r="O1819" i="1"/>
  <c r="P1819" i="1"/>
  <c r="Q1819" i="1"/>
  <c r="O1820" i="1"/>
  <c r="P1820" i="1"/>
  <c r="Q1820" i="1"/>
  <c r="O1821" i="1"/>
  <c r="P1821" i="1"/>
  <c r="Q1821" i="1"/>
  <c r="O1822" i="1"/>
  <c r="P1822" i="1"/>
  <c r="Q1822" i="1"/>
  <c r="O1823" i="1"/>
  <c r="P1823" i="1"/>
  <c r="Q1823" i="1"/>
  <c r="O1824" i="1"/>
  <c r="P1824" i="1"/>
  <c r="Q1824" i="1"/>
  <c r="O1825" i="1"/>
  <c r="P1825" i="1"/>
  <c r="Q1825" i="1"/>
  <c r="O1826" i="1"/>
  <c r="P1826" i="1"/>
  <c r="Q1826" i="1"/>
  <c r="O1827" i="1"/>
  <c r="P1827" i="1"/>
  <c r="Q1827" i="1"/>
  <c r="O1828" i="1"/>
  <c r="P1828" i="1"/>
  <c r="Q1828" i="1"/>
  <c r="O1829" i="1"/>
  <c r="P1829" i="1"/>
  <c r="Q1829" i="1"/>
  <c r="O1830" i="1"/>
  <c r="P1830" i="1"/>
  <c r="Q1830" i="1"/>
  <c r="O1831" i="1"/>
  <c r="P1831" i="1"/>
  <c r="Q1831" i="1"/>
  <c r="O1832" i="1"/>
  <c r="P1832" i="1"/>
  <c r="Q1832" i="1"/>
  <c r="O1833" i="1"/>
  <c r="P1833" i="1"/>
  <c r="Q1833" i="1"/>
  <c r="O1834" i="1"/>
  <c r="P1834" i="1"/>
  <c r="Q1834" i="1"/>
  <c r="O1835" i="1"/>
  <c r="P1835" i="1"/>
  <c r="Q1835" i="1"/>
  <c r="O1836" i="1"/>
  <c r="P1836" i="1"/>
  <c r="Q1836" i="1"/>
  <c r="O1837" i="1"/>
  <c r="P1837" i="1"/>
  <c r="Q1837" i="1"/>
  <c r="O1838" i="1"/>
  <c r="P1838" i="1"/>
  <c r="Q1838" i="1"/>
  <c r="O1839" i="1"/>
  <c r="P1839" i="1"/>
  <c r="Q1839" i="1"/>
  <c r="O1840" i="1"/>
  <c r="P1840" i="1"/>
  <c r="Q1840" i="1"/>
  <c r="O1841" i="1"/>
  <c r="P1841" i="1"/>
  <c r="Q1841" i="1"/>
  <c r="O1842" i="1"/>
  <c r="P1842" i="1"/>
  <c r="Q1842" i="1"/>
  <c r="O1843" i="1"/>
  <c r="P1843" i="1"/>
  <c r="Q1843" i="1"/>
  <c r="O1844" i="1"/>
  <c r="P1844" i="1"/>
  <c r="Q1844" i="1"/>
  <c r="O1845" i="1"/>
  <c r="P1845" i="1"/>
  <c r="Q1845" i="1"/>
  <c r="O1846" i="1"/>
  <c r="P1846" i="1"/>
  <c r="Q1846" i="1"/>
  <c r="O1847" i="1"/>
  <c r="P1847" i="1"/>
  <c r="Q1847" i="1"/>
  <c r="O1848" i="1"/>
  <c r="P1848" i="1"/>
  <c r="Q1848" i="1"/>
  <c r="O1849" i="1"/>
  <c r="P1849" i="1"/>
  <c r="Q1849" i="1"/>
  <c r="O1850" i="1"/>
  <c r="P1850" i="1"/>
  <c r="Q1850" i="1"/>
  <c r="O1851" i="1"/>
  <c r="P1851" i="1"/>
  <c r="Q1851" i="1"/>
  <c r="O1852" i="1"/>
  <c r="P1852" i="1"/>
  <c r="Q1852" i="1"/>
  <c r="O1853" i="1"/>
  <c r="P1853" i="1"/>
  <c r="Q1853" i="1"/>
  <c r="O1854" i="1"/>
  <c r="P1854" i="1"/>
  <c r="Q1854" i="1"/>
  <c r="O1855" i="1"/>
  <c r="P1855" i="1"/>
  <c r="Q1855" i="1"/>
  <c r="O1856" i="1"/>
  <c r="P1856" i="1"/>
  <c r="Q1856" i="1"/>
  <c r="O1857" i="1"/>
  <c r="P1857" i="1"/>
  <c r="Q1857" i="1"/>
  <c r="O1858" i="1"/>
  <c r="P1858" i="1"/>
  <c r="Q1858" i="1"/>
  <c r="O1859" i="1"/>
  <c r="P1859" i="1"/>
  <c r="Q1859" i="1"/>
  <c r="O1860" i="1"/>
  <c r="P1860" i="1"/>
  <c r="Q1860" i="1"/>
  <c r="O1861" i="1"/>
  <c r="P1861" i="1"/>
  <c r="Q1861" i="1"/>
  <c r="O1862" i="1"/>
  <c r="P1862" i="1"/>
  <c r="Q1862" i="1"/>
  <c r="O1863" i="1"/>
  <c r="P1863" i="1"/>
  <c r="Q1863" i="1"/>
  <c r="O1864" i="1"/>
  <c r="P1864" i="1"/>
  <c r="Q1864" i="1"/>
  <c r="O1865" i="1"/>
  <c r="P1865" i="1"/>
  <c r="Q1865" i="1"/>
  <c r="O1866" i="1"/>
  <c r="P1866" i="1"/>
  <c r="Q1866" i="1"/>
  <c r="O1867" i="1"/>
  <c r="P1867" i="1"/>
  <c r="Q1867" i="1"/>
  <c r="O1868" i="1"/>
  <c r="P1868" i="1"/>
  <c r="Q1868" i="1"/>
  <c r="O1869" i="1"/>
  <c r="P1869" i="1"/>
  <c r="Q1869" i="1"/>
  <c r="O1870" i="1"/>
  <c r="P1870" i="1"/>
  <c r="Q1870" i="1"/>
  <c r="O1871" i="1"/>
  <c r="P1871" i="1"/>
  <c r="Q1871" i="1"/>
  <c r="O1872" i="1"/>
  <c r="P1872" i="1"/>
  <c r="Q1872" i="1"/>
  <c r="O1873" i="1"/>
  <c r="P1873" i="1"/>
  <c r="Q1873" i="1"/>
  <c r="O1874" i="1"/>
  <c r="P1874" i="1"/>
  <c r="Q1874" i="1"/>
  <c r="O1875" i="1"/>
  <c r="P1875" i="1"/>
  <c r="Q1875" i="1"/>
  <c r="O1876" i="1"/>
  <c r="P1876" i="1"/>
  <c r="Q1876" i="1"/>
  <c r="O1877" i="1"/>
  <c r="P1877" i="1"/>
  <c r="Q1877" i="1"/>
  <c r="O1878" i="1"/>
  <c r="P1878" i="1"/>
  <c r="Q1878" i="1"/>
  <c r="O1879" i="1"/>
  <c r="P1879" i="1"/>
  <c r="Q1879" i="1"/>
  <c r="O1880" i="1"/>
  <c r="P1880" i="1"/>
  <c r="Q1880" i="1"/>
  <c r="O1881" i="1"/>
  <c r="P1881" i="1"/>
  <c r="Q1881" i="1"/>
  <c r="O1882" i="1"/>
  <c r="P1882" i="1"/>
  <c r="Q1882" i="1"/>
  <c r="O1883" i="1"/>
  <c r="P1883" i="1"/>
  <c r="Q1883" i="1"/>
  <c r="O1884" i="1"/>
  <c r="P1884" i="1"/>
  <c r="Q1884" i="1"/>
  <c r="O1885" i="1"/>
  <c r="P1885" i="1"/>
  <c r="Q1885" i="1"/>
  <c r="O1886" i="1"/>
  <c r="P1886" i="1"/>
  <c r="Q1886" i="1"/>
  <c r="O1887" i="1"/>
  <c r="P1887" i="1"/>
  <c r="Q1887" i="1"/>
  <c r="O1888" i="1"/>
  <c r="P1888" i="1"/>
  <c r="Q1888" i="1"/>
  <c r="O1889" i="1"/>
  <c r="P1889" i="1"/>
  <c r="Q1889" i="1"/>
  <c r="O1890" i="1"/>
  <c r="P1890" i="1"/>
  <c r="Q1890" i="1"/>
  <c r="O1891" i="1"/>
  <c r="P1891" i="1"/>
  <c r="Q1891" i="1"/>
  <c r="O1892" i="1"/>
  <c r="P1892" i="1"/>
  <c r="Q1892" i="1"/>
  <c r="O1893" i="1"/>
  <c r="P1893" i="1"/>
  <c r="Q1893" i="1"/>
  <c r="O1894" i="1"/>
  <c r="P1894" i="1"/>
  <c r="Q1894" i="1"/>
  <c r="O1895" i="1"/>
  <c r="P1895" i="1"/>
  <c r="Q1895" i="1"/>
  <c r="O1896" i="1"/>
  <c r="P1896" i="1"/>
  <c r="Q1896" i="1"/>
  <c r="O1897" i="1"/>
  <c r="P1897" i="1"/>
  <c r="Q1897" i="1"/>
  <c r="O1898" i="1"/>
  <c r="P1898" i="1"/>
  <c r="Q1898" i="1"/>
  <c r="O1899" i="1"/>
  <c r="P1899" i="1"/>
  <c r="Q1899" i="1"/>
  <c r="O1900" i="1"/>
  <c r="P1900" i="1"/>
  <c r="Q1900" i="1"/>
  <c r="O1901" i="1"/>
  <c r="P1901" i="1"/>
  <c r="Q1901" i="1"/>
  <c r="O1902" i="1"/>
  <c r="P1902" i="1"/>
  <c r="Q1902" i="1"/>
  <c r="O1903" i="1"/>
  <c r="P1903" i="1"/>
  <c r="Q1903" i="1"/>
  <c r="O1904" i="1"/>
  <c r="P1904" i="1"/>
  <c r="Q1904" i="1"/>
  <c r="O1905" i="1"/>
  <c r="P1905" i="1"/>
  <c r="Q1905" i="1"/>
  <c r="O1906" i="1"/>
  <c r="P1906" i="1"/>
  <c r="Q1906" i="1"/>
  <c r="O1907" i="1"/>
  <c r="P1907" i="1"/>
  <c r="Q1907" i="1"/>
  <c r="O1908" i="1"/>
  <c r="P1908" i="1"/>
  <c r="Q1908" i="1"/>
  <c r="O1909" i="1"/>
  <c r="P1909" i="1"/>
  <c r="Q1909" i="1"/>
  <c r="O1910" i="1"/>
  <c r="P1910" i="1"/>
  <c r="Q1910" i="1"/>
  <c r="O1911" i="1"/>
  <c r="P1911" i="1"/>
  <c r="Q1911" i="1"/>
  <c r="O1912" i="1"/>
  <c r="P1912" i="1"/>
  <c r="Q1912" i="1"/>
  <c r="O1913" i="1"/>
  <c r="P1913" i="1"/>
  <c r="Q1913" i="1"/>
  <c r="O1914" i="1"/>
  <c r="P1914" i="1"/>
  <c r="Q1914" i="1"/>
  <c r="O1915" i="1"/>
  <c r="P1915" i="1"/>
  <c r="Q1915" i="1"/>
  <c r="O1916" i="1"/>
  <c r="P1916" i="1"/>
  <c r="Q1916" i="1"/>
  <c r="O1917" i="1"/>
  <c r="P1917" i="1"/>
  <c r="Q1917" i="1"/>
  <c r="O1918" i="1"/>
  <c r="P1918" i="1"/>
  <c r="Q1918" i="1"/>
  <c r="O1919" i="1"/>
  <c r="P1919" i="1"/>
  <c r="Q1919" i="1"/>
  <c r="O1920" i="1"/>
  <c r="P1920" i="1"/>
  <c r="Q1920" i="1"/>
  <c r="O1921" i="1"/>
  <c r="P1921" i="1"/>
  <c r="Q1921" i="1"/>
  <c r="O1922" i="1"/>
  <c r="P1922" i="1"/>
  <c r="Q1922" i="1"/>
  <c r="O1923" i="1"/>
  <c r="P1923" i="1"/>
  <c r="Q1923" i="1"/>
  <c r="O1924" i="1"/>
  <c r="P1924" i="1"/>
  <c r="Q1924" i="1"/>
  <c r="O1925" i="1"/>
  <c r="P1925" i="1"/>
  <c r="Q1925" i="1"/>
  <c r="O1926" i="1"/>
  <c r="P1926" i="1"/>
  <c r="Q1926" i="1"/>
  <c r="O1927" i="1"/>
  <c r="P1927" i="1"/>
  <c r="Q1927" i="1"/>
  <c r="O1928" i="1"/>
  <c r="P1928" i="1"/>
  <c r="Q1928" i="1"/>
  <c r="O1929" i="1"/>
  <c r="P1929" i="1"/>
  <c r="Q1929" i="1"/>
  <c r="O1930" i="1"/>
  <c r="P1930" i="1"/>
  <c r="Q1930" i="1"/>
  <c r="O1931" i="1"/>
  <c r="P1931" i="1"/>
  <c r="Q1931" i="1"/>
  <c r="O1932" i="1"/>
  <c r="P1932" i="1"/>
  <c r="Q1932" i="1"/>
  <c r="O1933" i="1"/>
  <c r="P1933" i="1"/>
  <c r="Q1933" i="1"/>
  <c r="O1934" i="1"/>
  <c r="P1934" i="1"/>
  <c r="Q1934" i="1"/>
  <c r="O1935" i="1"/>
  <c r="P1935" i="1"/>
  <c r="Q1935" i="1"/>
  <c r="O1936" i="1"/>
  <c r="P1936" i="1"/>
  <c r="Q1936" i="1"/>
  <c r="O1937" i="1"/>
  <c r="P1937" i="1"/>
  <c r="Q1937" i="1"/>
  <c r="O1938" i="1"/>
  <c r="P1938" i="1"/>
  <c r="Q1938" i="1"/>
  <c r="O1939" i="1"/>
  <c r="P1939" i="1"/>
  <c r="Q1939" i="1"/>
  <c r="O1940" i="1"/>
  <c r="P1940" i="1"/>
  <c r="Q1940" i="1"/>
  <c r="O1941" i="1"/>
  <c r="P1941" i="1"/>
  <c r="Q1941" i="1"/>
  <c r="O1942" i="1"/>
  <c r="P1942" i="1"/>
  <c r="Q1942" i="1"/>
  <c r="O1943" i="1"/>
  <c r="P1943" i="1"/>
  <c r="Q1943" i="1"/>
  <c r="O1944" i="1"/>
  <c r="P1944" i="1"/>
  <c r="Q1944" i="1"/>
  <c r="O1945" i="1"/>
  <c r="P1945" i="1"/>
  <c r="Q1945" i="1"/>
  <c r="O1946" i="1"/>
  <c r="P1946" i="1"/>
  <c r="Q1946" i="1"/>
  <c r="O1947" i="1"/>
  <c r="P1947" i="1"/>
  <c r="Q1947" i="1"/>
  <c r="O1948" i="1"/>
  <c r="P1948" i="1"/>
  <c r="Q1948" i="1"/>
  <c r="O1949" i="1"/>
  <c r="P1949" i="1"/>
  <c r="Q1949" i="1"/>
  <c r="O1950" i="1"/>
  <c r="P1950" i="1"/>
  <c r="Q1950" i="1"/>
  <c r="O1951" i="1"/>
  <c r="P1951" i="1"/>
  <c r="Q1951" i="1"/>
  <c r="O1952" i="1"/>
  <c r="P1952" i="1"/>
  <c r="Q1952" i="1"/>
  <c r="O1953" i="1"/>
  <c r="P1953" i="1"/>
  <c r="Q1953" i="1"/>
  <c r="O1954" i="1"/>
  <c r="P1954" i="1"/>
  <c r="Q1954" i="1"/>
  <c r="O1955" i="1"/>
  <c r="P1955" i="1"/>
  <c r="Q1955" i="1"/>
  <c r="O1956" i="1"/>
  <c r="P1956" i="1"/>
  <c r="Q1956" i="1"/>
  <c r="O1957" i="1"/>
  <c r="P1957" i="1"/>
  <c r="Q1957" i="1"/>
  <c r="O1958" i="1"/>
  <c r="P1958" i="1"/>
  <c r="Q1958" i="1"/>
  <c r="O1959" i="1"/>
  <c r="P1959" i="1"/>
  <c r="Q1959" i="1"/>
  <c r="O1960" i="1"/>
  <c r="P1960" i="1"/>
  <c r="Q1960" i="1"/>
  <c r="O1961" i="1"/>
  <c r="P1961" i="1"/>
  <c r="Q1961" i="1"/>
  <c r="O1962" i="1"/>
  <c r="P1962" i="1"/>
  <c r="Q1962" i="1"/>
  <c r="O1963" i="1"/>
  <c r="P1963" i="1"/>
  <c r="Q1963" i="1"/>
  <c r="O1964" i="1"/>
  <c r="P1964" i="1"/>
  <c r="Q1964" i="1"/>
  <c r="O1965" i="1"/>
  <c r="P1965" i="1"/>
  <c r="Q1965" i="1"/>
  <c r="O1966" i="1"/>
  <c r="P1966" i="1"/>
  <c r="Q1966" i="1"/>
  <c r="O1967" i="1"/>
  <c r="P1967" i="1"/>
  <c r="Q1967" i="1"/>
  <c r="O1968" i="1"/>
  <c r="P1968" i="1"/>
  <c r="Q1968" i="1"/>
  <c r="O1969" i="1"/>
  <c r="P1969" i="1"/>
  <c r="Q1969" i="1"/>
  <c r="O1970" i="1"/>
  <c r="P1970" i="1"/>
  <c r="Q1970" i="1"/>
  <c r="O1971" i="1"/>
  <c r="P1971" i="1"/>
  <c r="Q1971" i="1"/>
  <c r="O1972" i="1"/>
  <c r="P1972" i="1"/>
  <c r="Q1972" i="1"/>
  <c r="O1973" i="1"/>
  <c r="P1973" i="1"/>
  <c r="Q1973" i="1"/>
  <c r="O1974" i="1"/>
  <c r="P1974" i="1"/>
  <c r="Q1974" i="1"/>
  <c r="O1975" i="1"/>
  <c r="P1975" i="1"/>
  <c r="Q1975" i="1"/>
  <c r="O1976" i="1"/>
  <c r="P1976" i="1"/>
  <c r="Q1976" i="1"/>
  <c r="O1977" i="1"/>
  <c r="P1977" i="1"/>
  <c r="Q1977" i="1"/>
  <c r="O1978" i="1"/>
  <c r="P1978" i="1"/>
  <c r="Q1978" i="1"/>
  <c r="O1979" i="1"/>
  <c r="P1979" i="1"/>
  <c r="Q1979" i="1"/>
  <c r="O1980" i="1"/>
  <c r="P1980" i="1"/>
  <c r="Q1980" i="1"/>
  <c r="O1981" i="1"/>
  <c r="P1981" i="1"/>
  <c r="Q1981" i="1"/>
  <c r="O1982" i="1"/>
  <c r="P1982" i="1"/>
  <c r="Q1982" i="1"/>
  <c r="O1983" i="1"/>
  <c r="P1983" i="1"/>
  <c r="Q1983" i="1"/>
  <c r="O1984" i="1"/>
  <c r="P1984" i="1"/>
  <c r="Q1984" i="1"/>
  <c r="O1985" i="1"/>
  <c r="P1985" i="1"/>
  <c r="Q1985" i="1"/>
  <c r="O1986" i="1"/>
  <c r="P1986" i="1"/>
  <c r="Q1986" i="1"/>
  <c r="O1987" i="1"/>
  <c r="P1987" i="1"/>
  <c r="Q1987" i="1"/>
  <c r="O1988" i="1"/>
  <c r="P1988" i="1"/>
  <c r="Q1988" i="1"/>
  <c r="O1989" i="1"/>
  <c r="P1989" i="1"/>
  <c r="Q1989" i="1"/>
  <c r="O1990" i="1"/>
  <c r="P1990" i="1"/>
  <c r="Q1990" i="1"/>
  <c r="O1991" i="1"/>
  <c r="P1991" i="1"/>
  <c r="Q1991" i="1"/>
  <c r="O1992" i="1"/>
  <c r="P1992" i="1"/>
  <c r="Q1992" i="1"/>
  <c r="O1993" i="1"/>
  <c r="P1993" i="1"/>
  <c r="Q1993" i="1"/>
  <c r="O1994" i="1"/>
  <c r="P1994" i="1"/>
  <c r="Q1994" i="1"/>
  <c r="O1995" i="1"/>
  <c r="P1995" i="1"/>
  <c r="Q1995" i="1"/>
  <c r="O1996" i="1"/>
  <c r="P1996" i="1"/>
  <c r="Q1996" i="1"/>
  <c r="O1997" i="1"/>
  <c r="P1997" i="1"/>
  <c r="Q1997" i="1"/>
  <c r="O1998" i="1"/>
  <c r="P1998" i="1"/>
  <c r="Q1998" i="1"/>
  <c r="O1999" i="1"/>
  <c r="P1999" i="1"/>
  <c r="Q1999" i="1"/>
  <c r="O2000" i="1"/>
  <c r="P2000" i="1"/>
  <c r="Q2000" i="1"/>
  <c r="O2001" i="1"/>
  <c r="P2001" i="1"/>
  <c r="Q2001" i="1"/>
  <c r="O2002" i="1"/>
  <c r="P2002" i="1"/>
  <c r="Q2002" i="1"/>
  <c r="O2003" i="1"/>
  <c r="P2003" i="1"/>
  <c r="Q2003" i="1"/>
  <c r="O2004" i="1"/>
  <c r="P2004" i="1"/>
  <c r="Q2004" i="1"/>
  <c r="O2005" i="1"/>
  <c r="P2005" i="1"/>
  <c r="Q2005" i="1"/>
  <c r="O2006" i="1"/>
  <c r="P2006" i="1"/>
  <c r="Q2006" i="1"/>
  <c r="O2007" i="1"/>
  <c r="P2007" i="1"/>
  <c r="Q2007" i="1"/>
  <c r="O2008" i="1"/>
  <c r="P2008" i="1"/>
  <c r="Q2008" i="1"/>
  <c r="O2009" i="1"/>
  <c r="P2009" i="1"/>
  <c r="Q2009" i="1"/>
  <c r="O2010" i="1"/>
  <c r="P2010" i="1"/>
  <c r="Q2010" i="1"/>
  <c r="O2011" i="1"/>
  <c r="P2011" i="1"/>
  <c r="Q2011" i="1"/>
  <c r="O2012" i="1"/>
  <c r="P2012" i="1"/>
  <c r="Q2012" i="1"/>
  <c r="O2013" i="1"/>
  <c r="P2013" i="1"/>
  <c r="Q2013" i="1"/>
  <c r="O2014" i="1"/>
  <c r="P2014" i="1"/>
  <c r="Q2014" i="1"/>
  <c r="O2015" i="1"/>
  <c r="P2015" i="1"/>
  <c r="Q2015" i="1"/>
  <c r="O2016" i="1"/>
  <c r="P2016" i="1"/>
  <c r="Q2016" i="1"/>
  <c r="O2017" i="1"/>
  <c r="P2017" i="1"/>
  <c r="Q2017" i="1"/>
  <c r="O2018" i="1"/>
  <c r="P2018" i="1"/>
  <c r="Q2018" i="1"/>
  <c r="O2019" i="1"/>
  <c r="P2019" i="1"/>
  <c r="Q2019" i="1"/>
  <c r="O2020" i="1"/>
  <c r="P2020" i="1"/>
  <c r="Q2020" i="1"/>
  <c r="O2021" i="1"/>
  <c r="P2021" i="1"/>
  <c r="Q2021" i="1"/>
  <c r="O2022" i="1"/>
  <c r="P2022" i="1"/>
  <c r="Q2022" i="1"/>
  <c r="O2023" i="1"/>
  <c r="P2023" i="1"/>
  <c r="Q2023" i="1"/>
  <c r="O2024" i="1"/>
  <c r="P2024" i="1"/>
  <c r="Q2024" i="1"/>
  <c r="O2025" i="1"/>
  <c r="P2025" i="1"/>
  <c r="Q2025" i="1"/>
  <c r="O2026" i="1"/>
  <c r="P2026" i="1"/>
  <c r="Q2026" i="1"/>
  <c r="O2027" i="1"/>
  <c r="P2027" i="1"/>
  <c r="Q2027" i="1"/>
  <c r="O2028" i="1"/>
  <c r="P2028" i="1"/>
  <c r="Q2028" i="1"/>
  <c r="O2029" i="1"/>
  <c r="P2029" i="1"/>
  <c r="Q2029" i="1"/>
  <c r="O2030" i="1"/>
  <c r="P2030" i="1"/>
  <c r="Q2030" i="1"/>
  <c r="O2031" i="1"/>
  <c r="P2031" i="1"/>
  <c r="Q2031" i="1"/>
  <c r="O2032" i="1"/>
  <c r="P2032" i="1"/>
  <c r="Q2032" i="1"/>
  <c r="O2033" i="1"/>
  <c r="P2033" i="1"/>
  <c r="Q2033" i="1"/>
  <c r="O2034" i="1"/>
  <c r="P2034" i="1"/>
  <c r="Q2034" i="1"/>
  <c r="O2035" i="1"/>
  <c r="P2035" i="1"/>
  <c r="Q2035" i="1"/>
  <c r="O2036" i="1"/>
  <c r="P2036" i="1"/>
  <c r="Q2036" i="1"/>
  <c r="O2037" i="1"/>
  <c r="P2037" i="1"/>
  <c r="Q2037" i="1"/>
  <c r="O2038" i="1"/>
  <c r="P2038" i="1"/>
  <c r="Q2038" i="1"/>
  <c r="O2039" i="1"/>
  <c r="P2039" i="1"/>
  <c r="Q2039" i="1"/>
  <c r="O2040" i="1"/>
  <c r="P2040" i="1"/>
  <c r="Q2040" i="1"/>
  <c r="O2041" i="1"/>
  <c r="P2041" i="1"/>
  <c r="Q2041" i="1"/>
  <c r="O2042" i="1"/>
  <c r="P2042" i="1"/>
  <c r="Q2042" i="1"/>
  <c r="O2043" i="1"/>
  <c r="P2043" i="1"/>
  <c r="Q2043" i="1"/>
  <c r="O2044" i="1"/>
  <c r="P2044" i="1"/>
  <c r="Q2044" i="1"/>
  <c r="O2045" i="1"/>
  <c r="P2045" i="1"/>
  <c r="Q2045" i="1"/>
  <c r="O2046" i="1"/>
  <c r="P2046" i="1"/>
  <c r="Q2046" i="1"/>
  <c r="O2047" i="1"/>
  <c r="P2047" i="1"/>
  <c r="Q2047" i="1"/>
  <c r="O2048" i="1"/>
  <c r="P2048" i="1"/>
  <c r="Q2048" i="1"/>
  <c r="O2049" i="1"/>
  <c r="P2049" i="1"/>
  <c r="Q2049" i="1"/>
  <c r="O2050" i="1"/>
  <c r="P2050" i="1"/>
  <c r="Q2050" i="1"/>
  <c r="O2051" i="1"/>
  <c r="P2051" i="1"/>
  <c r="Q2051" i="1"/>
  <c r="O2052" i="1"/>
  <c r="P2052" i="1"/>
  <c r="Q2052" i="1"/>
  <c r="O2053" i="1"/>
  <c r="P2053" i="1"/>
  <c r="Q2053" i="1"/>
  <c r="O2054" i="1"/>
  <c r="P2054" i="1"/>
  <c r="Q2054" i="1"/>
  <c r="O2055" i="1"/>
  <c r="P2055" i="1"/>
  <c r="Q2055" i="1"/>
  <c r="O2056" i="1"/>
  <c r="P2056" i="1"/>
  <c r="Q2056" i="1"/>
  <c r="O2057" i="1"/>
  <c r="P2057" i="1"/>
  <c r="Q2057" i="1"/>
  <c r="O2058" i="1"/>
  <c r="P2058" i="1"/>
  <c r="Q2058" i="1"/>
  <c r="O2059" i="1"/>
  <c r="P2059" i="1"/>
  <c r="Q2059" i="1"/>
  <c r="O2060" i="1"/>
  <c r="P2060" i="1"/>
  <c r="Q2060" i="1"/>
  <c r="O2061" i="1"/>
  <c r="P2061" i="1"/>
  <c r="Q2061" i="1"/>
  <c r="O2062" i="1"/>
  <c r="P2062" i="1"/>
  <c r="Q2062" i="1"/>
  <c r="O2063" i="1"/>
  <c r="P2063" i="1"/>
  <c r="Q2063" i="1"/>
  <c r="O2064" i="1"/>
  <c r="P2064" i="1"/>
  <c r="Q2064" i="1"/>
  <c r="O2065" i="1"/>
  <c r="P2065" i="1"/>
  <c r="Q2065" i="1"/>
  <c r="O2066" i="1"/>
  <c r="P2066" i="1"/>
  <c r="Q2066" i="1"/>
  <c r="O2067" i="1"/>
  <c r="P2067" i="1"/>
  <c r="Q2067" i="1"/>
  <c r="O2068" i="1"/>
  <c r="P2068" i="1"/>
  <c r="Q2068" i="1"/>
  <c r="O2069" i="1"/>
  <c r="P2069" i="1"/>
  <c r="Q2069" i="1"/>
  <c r="O2070" i="1"/>
  <c r="P2070" i="1"/>
  <c r="Q2070" i="1"/>
  <c r="O2071" i="1"/>
  <c r="P2071" i="1"/>
  <c r="Q2071" i="1"/>
  <c r="O2072" i="1"/>
  <c r="P2072" i="1"/>
  <c r="Q2072" i="1"/>
  <c r="O2073" i="1"/>
  <c r="P2073" i="1"/>
  <c r="Q2073" i="1"/>
  <c r="O2074" i="1"/>
  <c r="P2074" i="1"/>
  <c r="Q2074" i="1"/>
  <c r="O2075" i="1"/>
  <c r="P2075" i="1"/>
  <c r="Q2075" i="1"/>
  <c r="O2076" i="1"/>
  <c r="P2076" i="1"/>
  <c r="Q2076" i="1"/>
  <c r="O2077" i="1"/>
  <c r="P2077" i="1"/>
  <c r="Q2077" i="1"/>
  <c r="O2078" i="1"/>
  <c r="P2078" i="1"/>
  <c r="Q2078" i="1"/>
  <c r="O2079" i="1"/>
  <c r="P2079" i="1"/>
  <c r="Q2079" i="1"/>
  <c r="O2080" i="1"/>
  <c r="P2080" i="1"/>
  <c r="Q2080" i="1"/>
  <c r="O2081" i="1"/>
  <c r="P2081" i="1"/>
  <c r="Q2081" i="1"/>
  <c r="O2082" i="1"/>
  <c r="P2082" i="1"/>
  <c r="Q2082" i="1"/>
  <c r="O2083" i="1"/>
  <c r="P2083" i="1"/>
  <c r="Q2083" i="1"/>
  <c r="O2084" i="1"/>
  <c r="P2084" i="1"/>
  <c r="Q2084" i="1"/>
  <c r="O2085" i="1"/>
  <c r="P2085" i="1"/>
  <c r="Q2085" i="1"/>
  <c r="O2086" i="1"/>
  <c r="P2086" i="1"/>
  <c r="Q2086" i="1"/>
  <c r="O2087" i="1"/>
  <c r="P2087" i="1"/>
  <c r="Q2087" i="1"/>
  <c r="O2088" i="1"/>
  <c r="P2088" i="1"/>
  <c r="Q2088" i="1"/>
  <c r="O2089" i="1"/>
  <c r="P2089" i="1"/>
  <c r="Q2089" i="1"/>
  <c r="O2090" i="1"/>
  <c r="P2090" i="1"/>
  <c r="Q2090" i="1"/>
  <c r="O2091" i="1"/>
  <c r="P2091" i="1"/>
  <c r="Q2091" i="1"/>
  <c r="O2092" i="1"/>
  <c r="P2092" i="1"/>
  <c r="Q2092" i="1"/>
  <c r="O2093" i="1"/>
  <c r="P2093" i="1"/>
  <c r="Q2093" i="1"/>
  <c r="O2094" i="1"/>
  <c r="P2094" i="1"/>
  <c r="Q2094" i="1"/>
  <c r="O2095" i="1"/>
  <c r="P2095" i="1"/>
  <c r="Q2095" i="1"/>
  <c r="O2096" i="1"/>
  <c r="P2096" i="1"/>
  <c r="Q2096" i="1"/>
  <c r="O2097" i="1"/>
  <c r="P2097" i="1"/>
  <c r="Q2097" i="1"/>
  <c r="O2098" i="1"/>
  <c r="P2098" i="1"/>
  <c r="Q2098" i="1"/>
  <c r="O2099" i="1"/>
  <c r="P2099" i="1"/>
  <c r="Q2099" i="1"/>
  <c r="O2100" i="1"/>
  <c r="P2100" i="1"/>
  <c r="Q2100" i="1"/>
  <c r="O2101" i="1"/>
  <c r="P2101" i="1"/>
  <c r="Q2101" i="1"/>
  <c r="O2102" i="1"/>
  <c r="P2102" i="1"/>
  <c r="Q2102" i="1"/>
  <c r="O2103" i="1"/>
  <c r="P2103" i="1"/>
  <c r="Q2103" i="1"/>
  <c r="O2104" i="1"/>
  <c r="P2104" i="1"/>
  <c r="Q2104" i="1"/>
  <c r="O2105" i="1"/>
  <c r="P2105" i="1"/>
  <c r="Q2105" i="1"/>
  <c r="O2106" i="1"/>
  <c r="P2106" i="1"/>
  <c r="Q2106" i="1"/>
  <c r="O2107" i="1"/>
  <c r="P2107" i="1"/>
  <c r="Q2107" i="1"/>
  <c r="O2108" i="1"/>
  <c r="P2108" i="1"/>
  <c r="Q2108" i="1"/>
  <c r="O2109" i="1"/>
  <c r="P2109" i="1"/>
  <c r="Q2109" i="1"/>
  <c r="O2110" i="1"/>
  <c r="P2110" i="1"/>
  <c r="Q2110" i="1"/>
  <c r="O2111" i="1"/>
  <c r="P2111" i="1"/>
  <c r="Q2111" i="1"/>
  <c r="O2112" i="1"/>
  <c r="P2112" i="1"/>
  <c r="Q2112" i="1"/>
  <c r="O2113" i="1"/>
  <c r="P2113" i="1"/>
  <c r="Q2113" i="1"/>
  <c r="O2114" i="1"/>
  <c r="P2114" i="1"/>
  <c r="Q2114" i="1"/>
  <c r="O2115" i="1"/>
  <c r="P2115" i="1"/>
  <c r="Q2115" i="1"/>
  <c r="O2116" i="1"/>
  <c r="P2116" i="1"/>
  <c r="Q2116" i="1"/>
  <c r="O2117" i="1"/>
  <c r="P2117" i="1"/>
  <c r="Q2117" i="1"/>
  <c r="O2118" i="1"/>
  <c r="P2118" i="1"/>
  <c r="Q2118" i="1"/>
  <c r="O2119" i="1"/>
  <c r="P2119" i="1"/>
  <c r="Q2119" i="1"/>
  <c r="O2120" i="1"/>
  <c r="P2120" i="1"/>
  <c r="Q2120" i="1"/>
  <c r="O2121" i="1"/>
  <c r="P2121" i="1"/>
  <c r="Q2121" i="1"/>
  <c r="O2122" i="1"/>
  <c r="P2122" i="1"/>
  <c r="Q2122" i="1"/>
  <c r="O2123" i="1"/>
  <c r="P2123" i="1"/>
  <c r="Q2123" i="1"/>
  <c r="O2124" i="1"/>
  <c r="P2124" i="1"/>
  <c r="Q2124" i="1"/>
  <c r="O2125" i="1"/>
  <c r="P2125" i="1"/>
  <c r="Q2125" i="1"/>
  <c r="O2126" i="1"/>
  <c r="P2126" i="1"/>
  <c r="Q2126" i="1"/>
  <c r="O2127" i="1"/>
  <c r="P2127" i="1"/>
  <c r="Q2127" i="1"/>
  <c r="O2128" i="1"/>
  <c r="P2128" i="1"/>
  <c r="Q2128" i="1"/>
  <c r="O2129" i="1"/>
  <c r="P2129" i="1"/>
  <c r="Q2129" i="1"/>
  <c r="O2130" i="1"/>
  <c r="P2130" i="1"/>
  <c r="Q2130" i="1"/>
  <c r="O2131" i="1"/>
  <c r="P2131" i="1"/>
  <c r="Q2131" i="1"/>
  <c r="O2132" i="1"/>
  <c r="P2132" i="1"/>
  <c r="Q2132" i="1"/>
  <c r="O2133" i="1"/>
  <c r="P2133" i="1"/>
  <c r="Q2133" i="1"/>
  <c r="O2134" i="1"/>
  <c r="P2134" i="1"/>
  <c r="Q2134" i="1"/>
  <c r="O2135" i="1"/>
  <c r="P2135" i="1"/>
  <c r="Q2135" i="1"/>
  <c r="O2136" i="1"/>
  <c r="P2136" i="1"/>
  <c r="Q2136" i="1"/>
  <c r="O2137" i="1"/>
  <c r="P2137" i="1"/>
  <c r="Q2137" i="1"/>
  <c r="O2138" i="1"/>
  <c r="P2138" i="1"/>
  <c r="Q2138" i="1"/>
  <c r="O2139" i="1"/>
  <c r="P2139" i="1"/>
  <c r="Q2139" i="1"/>
  <c r="O2140" i="1"/>
  <c r="P2140" i="1"/>
  <c r="Q2140" i="1"/>
  <c r="O2141" i="1"/>
  <c r="P2141" i="1"/>
  <c r="Q2141" i="1"/>
  <c r="O2142" i="1"/>
  <c r="P2142" i="1"/>
  <c r="Q2142" i="1"/>
  <c r="O2143" i="1"/>
  <c r="P2143" i="1"/>
  <c r="Q2143" i="1"/>
  <c r="O2144" i="1"/>
  <c r="P2144" i="1"/>
  <c r="Q2144" i="1"/>
  <c r="O2145" i="1"/>
  <c r="P2145" i="1"/>
  <c r="Q2145" i="1"/>
  <c r="O2146" i="1"/>
  <c r="P2146" i="1"/>
  <c r="Q2146" i="1"/>
  <c r="O2147" i="1"/>
  <c r="P2147" i="1"/>
  <c r="Q2147" i="1"/>
  <c r="O2148" i="1"/>
  <c r="P2148" i="1"/>
  <c r="Q2148" i="1"/>
  <c r="O2149" i="1"/>
  <c r="P2149" i="1"/>
  <c r="Q2149" i="1"/>
  <c r="O2150" i="1"/>
  <c r="P2150" i="1"/>
  <c r="Q2150" i="1"/>
  <c r="O2151" i="1"/>
  <c r="P2151" i="1"/>
  <c r="Q2151" i="1"/>
  <c r="O2152" i="1"/>
  <c r="P2152" i="1"/>
  <c r="Q2152" i="1"/>
  <c r="O2153" i="1"/>
  <c r="P2153" i="1"/>
  <c r="Q2153" i="1"/>
  <c r="O2154" i="1"/>
  <c r="P2154" i="1"/>
  <c r="Q2154" i="1"/>
  <c r="O2155" i="1"/>
  <c r="P2155" i="1"/>
  <c r="Q2155" i="1"/>
  <c r="O2156" i="1"/>
  <c r="P2156" i="1"/>
  <c r="Q2156" i="1"/>
  <c r="O2157" i="1"/>
  <c r="P2157" i="1"/>
  <c r="Q2157" i="1"/>
  <c r="O2158" i="1"/>
  <c r="P2158" i="1"/>
  <c r="Q2158" i="1"/>
  <c r="O2159" i="1"/>
  <c r="P2159" i="1"/>
  <c r="Q2159" i="1"/>
  <c r="O2160" i="1"/>
  <c r="P2160" i="1"/>
  <c r="Q2160" i="1"/>
  <c r="O2161" i="1"/>
  <c r="P2161" i="1"/>
  <c r="Q2161" i="1"/>
  <c r="O2162" i="1"/>
  <c r="P2162" i="1"/>
  <c r="Q2162" i="1"/>
  <c r="O2163" i="1"/>
  <c r="P2163" i="1"/>
  <c r="Q2163" i="1"/>
  <c r="O2164" i="1"/>
  <c r="P2164" i="1"/>
  <c r="Q2164" i="1"/>
  <c r="O2165" i="1"/>
  <c r="P2165" i="1"/>
  <c r="Q2165" i="1"/>
  <c r="O2166" i="1"/>
  <c r="P2166" i="1"/>
  <c r="Q2166" i="1"/>
  <c r="O2167" i="1"/>
  <c r="P2167" i="1"/>
  <c r="Q2167" i="1"/>
  <c r="O2168" i="1"/>
  <c r="P2168" i="1"/>
  <c r="Q2168" i="1"/>
  <c r="O2169" i="1"/>
  <c r="P2169" i="1"/>
  <c r="Q2169" i="1"/>
  <c r="O2170" i="1"/>
  <c r="P2170" i="1"/>
  <c r="Q2170" i="1"/>
  <c r="O2171" i="1"/>
  <c r="P2171" i="1"/>
  <c r="Q2171" i="1"/>
  <c r="O2172" i="1"/>
  <c r="P2172" i="1"/>
  <c r="Q2172" i="1"/>
  <c r="O2173" i="1"/>
  <c r="P2173" i="1"/>
  <c r="Q2173" i="1"/>
  <c r="O2174" i="1"/>
  <c r="P2174" i="1"/>
  <c r="Q2174" i="1"/>
  <c r="O2175" i="1"/>
  <c r="P2175" i="1"/>
  <c r="Q2175" i="1"/>
  <c r="O2176" i="1"/>
  <c r="P2176" i="1"/>
  <c r="Q2176" i="1"/>
  <c r="O2177" i="1"/>
  <c r="P2177" i="1"/>
  <c r="Q2177" i="1"/>
  <c r="O2178" i="1"/>
  <c r="P2178" i="1"/>
  <c r="Q2178" i="1"/>
  <c r="O2179" i="1"/>
  <c r="P2179" i="1"/>
  <c r="Q2179" i="1"/>
  <c r="O2180" i="1"/>
  <c r="P2180" i="1"/>
  <c r="Q2180" i="1"/>
  <c r="O2181" i="1"/>
  <c r="P2181" i="1"/>
  <c r="Q2181" i="1"/>
  <c r="O2182" i="1"/>
  <c r="P2182" i="1"/>
  <c r="Q2182" i="1"/>
  <c r="O2183" i="1"/>
  <c r="P2183" i="1"/>
  <c r="Q2183" i="1"/>
  <c r="O2184" i="1"/>
  <c r="P2184" i="1"/>
  <c r="Q2184" i="1"/>
  <c r="O2185" i="1"/>
  <c r="P2185" i="1"/>
  <c r="Q2185" i="1"/>
  <c r="O2186" i="1"/>
  <c r="P2186" i="1"/>
  <c r="Q2186" i="1"/>
  <c r="O2187" i="1"/>
  <c r="P2187" i="1"/>
  <c r="Q2187" i="1"/>
  <c r="O2188" i="1"/>
  <c r="P2188" i="1"/>
  <c r="Q2188" i="1"/>
  <c r="O2189" i="1"/>
  <c r="P2189" i="1"/>
  <c r="Q2189" i="1"/>
  <c r="O2190" i="1"/>
  <c r="P2190" i="1"/>
  <c r="Q2190" i="1"/>
  <c r="O2191" i="1"/>
  <c r="P2191" i="1"/>
  <c r="Q2191" i="1"/>
  <c r="O2192" i="1"/>
  <c r="P2192" i="1"/>
  <c r="Q2192" i="1"/>
  <c r="O2193" i="1"/>
  <c r="P2193" i="1"/>
  <c r="Q2193" i="1"/>
  <c r="O2194" i="1"/>
  <c r="P2194" i="1"/>
  <c r="Q2194" i="1"/>
  <c r="O2195" i="1"/>
  <c r="P2195" i="1"/>
  <c r="Q2195" i="1"/>
  <c r="O2196" i="1"/>
  <c r="P2196" i="1"/>
  <c r="Q2196" i="1"/>
  <c r="O2197" i="1"/>
  <c r="P2197" i="1"/>
  <c r="Q2197" i="1"/>
  <c r="O2198" i="1"/>
  <c r="P2198" i="1"/>
  <c r="Q2198" i="1"/>
  <c r="O2199" i="1"/>
  <c r="P2199" i="1"/>
  <c r="Q2199" i="1"/>
  <c r="O2200" i="1"/>
  <c r="P2200" i="1"/>
  <c r="Q2200" i="1"/>
  <c r="O2201" i="1"/>
  <c r="P2201" i="1"/>
  <c r="Q2201" i="1"/>
  <c r="O2202" i="1"/>
  <c r="P2202" i="1"/>
  <c r="Q2202" i="1"/>
  <c r="O2203" i="1"/>
  <c r="P2203" i="1"/>
  <c r="Q2203" i="1"/>
  <c r="O2204" i="1"/>
  <c r="P2204" i="1"/>
  <c r="Q2204" i="1"/>
  <c r="O2205" i="1"/>
  <c r="P2205" i="1"/>
  <c r="Q2205" i="1"/>
  <c r="O2206" i="1"/>
  <c r="P2206" i="1"/>
  <c r="Q2206" i="1"/>
  <c r="O2207" i="1"/>
  <c r="P2207" i="1"/>
  <c r="Q2207" i="1"/>
  <c r="O2208" i="1"/>
  <c r="P2208" i="1"/>
  <c r="Q2208" i="1"/>
  <c r="O2209" i="1"/>
  <c r="P2209" i="1"/>
  <c r="Q2209" i="1"/>
  <c r="O2210" i="1"/>
  <c r="P2210" i="1"/>
  <c r="Q2210" i="1"/>
  <c r="O2211" i="1"/>
  <c r="P2211" i="1"/>
  <c r="Q2211" i="1"/>
  <c r="O2212" i="1"/>
  <c r="P2212" i="1"/>
  <c r="Q2212" i="1"/>
  <c r="O2213" i="1"/>
  <c r="P2213" i="1"/>
  <c r="Q2213" i="1"/>
  <c r="O2214" i="1"/>
  <c r="P2214" i="1"/>
  <c r="Q2214" i="1"/>
  <c r="O2215" i="1"/>
  <c r="P2215" i="1"/>
  <c r="Q2215" i="1"/>
  <c r="O2216" i="1"/>
  <c r="P2216" i="1"/>
  <c r="Q2216" i="1"/>
  <c r="O2217" i="1"/>
  <c r="P2217" i="1"/>
  <c r="Q2217" i="1"/>
  <c r="O2218" i="1"/>
  <c r="P2218" i="1"/>
  <c r="Q2218" i="1"/>
  <c r="O2219" i="1"/>
  <c r="P2219" i="1"/>
  <c r="Q2219" i="1"/>
  <c r="O2220" i="1"/>
  <c r="P2220" i="1"/>
  <c r="Q2220" i="1"/>
  <c r="O2221" i="1"/>
  <c r="P2221" i="1"/>
  <c r="Q2221" i="1"/>
  <c r="O2222" i="1"/>
  <c r="P2222" i="1"/>
  <c r="Q2222" i="1"/>
  <c r="O2223" i="1"/>
  <c r="P2223" i="1"/>
  <c r="Q2223" i="1"/>
  <c r="O2224" i="1"/>
  <c r="P2224" i="1"/>
  <c r="Q2224" i="1"/>
  <c r="O2225" i="1"/>
  <c r="P2225" i="1"/>
  <c r="Q2225" i="1"/>
  <c r="O2226" i="1"/>
  <c r="P2226" i="1"/>
  <c r="Q2226" i="1"/>
  <c r="O2227" i="1"/>
  <c r="P2227" i="1"/>
  <c r="Q2227" i="1"/>
  <c r="O2228" i="1"/>
  <c r="P2228" i="1"/>
  <c r="Q2228" i="1"/>
  <c r="O2229" i="1"/>
  <c r="P2229" i="1"/>
  <c r="Q2229" i="1"/>
  <c r="O2230" i="1"/>
  <c r="P2230" i="1"/>
  <c r="Q2230" i="1"/>
  <c r="O2231" i="1"/>
  <c r="P2231" i="1"/>
  <c r="Q2231" i="1"/>
  <c r="O2232" i="1"/>
  <c r="P2232" i="1"/>
  <c r="Q2232" i="1"/>
  <c r="O2233" i="1"/>
  <c r="P2233" i="1"/>
  <c r="Q2233" i="1"/>
  <c r="O2234" i="1"/>
  <c r="P2234" i="1"/>
  <c r="Q2234" i="1"/>
  <c r="O2235" i="1"/>
  <c r="P2235" i="1"/>
  <c r="Q2235" i="1"/>
  <c r="O2236" i="1"/>
  <c r="P2236" i="1"/>
  <c r="Q2236" i="1"/>
  <c r="O2237" i="1"/>
  <c r="P2237" i="1"/>
  <c r="Q2237" i="1"/>
  <c r="O2238" i="1"/>
  <c r="P2238" i="1"/>
  <c r="Q2238" i="1"/>
  <c r="O2239" i="1"/>
  <c r="P2239" i="1"/>
  <c r="Q2239" i="1"/>
  <c r="O2240" i="1"/>
  <c r="P2240" i="1"/>
  <c r="Q2240" i="1"/>
  <c r="O2241" i="1"/>
  <c r="P2241" i="1"/>
  <c r="Q2241" i="1"/>
  <c r="O2242" i="1"/>
  <c r="P2242" i="1"/>
  <c r="Q2242" i="1"/>
  <c r="O2243" i="1"/>
  <c r="P2243" i="1"/>
  <c r="Q2243" i="1"/>
  <c r="O2244" i="1"/>
  <c r="P2244" i="1"/>
  <c r="Q2244" i="1"/>
  <c r="O2245" i="1"/>
  <c r="P2245" i="1"/>
  <c r="Q2245" i="1"/>
  <c r="O2246" i="1"/>
  <c r="P2246" i="1"/>
  <c r="Q2246" i="1"/>
  <c r="O2247" i="1"/>
  <c r="P2247" i="1"/>
  <c r="Q2247" i="1"/>
  <c r="O2248" i="1"/>
  <c r="P2248" i="1"/>
  <c r="Q2248" i="1"/>
  <c r="O2249" i="1"/>
  <c r="P2249" i="1"/>
  <c r="Q2249" i="1"/>
  <c r="O2250" i="1"/>
  <c r="P2250" i="1"/>
  <c r="Q2250" i="1"/>
  <c r="O2251" i="1"/>
  <c r="P2251" i="1"/>
  <c r="Q2251" i="1"/>
  <c r="O2252" i="1"/>
  <c r="P2252" i="1"/>
  <c r="Q2252" i="1"/>
  <c r="O2253" i="1"/>
  <c r="P2253" i="1"/>
  <c r="Q2253" i="1"/>
  <c r="O2254" i="1"/>
  <c r="P2254" i="1"/>
  <c r="Q2254" i="1"/>
  <c r="O2255" i="1"/>
  <c r="P2255" i="1"/>
  <c r="Q2255" i="1"/>
  <c r="O2256" i="1"/>
  <c r="P2256" i="1"/>
  <c r="Q2256" i="1"/>
  <c r="O2257" i="1"/>
  <c r="P2257" i="1"/>
  <c r="Q2257" i="1"/>
  <c r="O2258" i="1"/>
  <c r="P2258" i="1"/>
  <c r="Q2258" i="1"/>
  <c r="O2259" i="1"/>
  <c r="P2259" i="1"/>
  <c r="Q2259" i="1"/>
  <c r="O2260" i="1"/>
  <c r="P2260" i="1"/>
  <c r="Q2260" i="1"/>
  <c r="O2261" i="1"/>
  <c r="P2261" i="1"/>
  <c r="Q2261" i="1"/>
  <c r="O2262" i="1"/>
  <c r="P2262" i="1"/>
  <c r="Q2262" i="1"/>
  <c r="O2263" i="1"/>
  <c r="P2263" i="1"/>
  <c r="Q2263" i="1"/>
  <c r="O2264" i="1"/>
  <c r="P2264" i="1"/>
  <c r="Q2264" i="1"/>
  <c r="O2265" i="1"/>
  <c r="P2265" i="1"/>
  <c r="Q2265" i="1"/>
  <c r="O2266" i="1"/>
  <c r="P2266" i="1"/>
  <c r="Q2266" i="1"/>
  <c r="O2267" i="1"/>
  <c r="P2267" i="1"/>
  <c r="Q2267" i="1"/>
  <c r="O2268" i="1"/>
  <c r="P2268" i="1"/>
  <c r="Q2268" i="1"/>
  <c r="O2269" i="1"/>
  <c r="P2269" i="1"/>
  <c r="Q2269" i="1"/>
  <c r="O2270" i="1"/>
  <c r="P2270" i="1"/>
  <c r="Q2270" i="1"/>
  <c r="O2271" i="1"/>
  <c r="P2271" i="1"/>
  <c r="Q2271" i="1"/>
  <c r="O2272" i="1"/>
  <c r="P2272" i="1"/>
  <c r="Q2272" i="1"/>
  <c r="O2273" i="1"/>
  <c r="P2273" i="1"/>
  <c r="Q2273" i="1"/>
  <c r="O2274" i="1"/>
  <c r="P2274" i="1"/>
  <c r="Q2274" i="1"/>
  <c r="O2275" i="1"/>
  <c r="P2275" i="1"/>
  <c r="Q2275" i="1"/>
  <c r="O2276" i="1"/>
  <c r="P2276" i="1"/>
  <c r="Q2276" i="1"/>
  <c r="O2277" i="1"/>
  <c r="P2277" i="1"/>
  <c r="Q2277" i="1"/>
  <c r="O2278" i="1"/>
  <c r="P2278" i="1"/>
  <c r="Q2278" i="1"/>
  <c r="O2279" i="1"/>
  <c r="P2279" i="1"/>
  <c r="Q2279" i="1"/>
  <c r="O2280" i="1"/>
  <c r="P2280" i="1"/>
  <c r="Q2280" i="1"/>
  <c r="O2281" i="1"/>
  <c r="P2281" i="1"/>
  <c r="Q2281" i="1"/>
  <c r="O2282" i="1"/>
  <c r="P2282" i="1"/>
  <c r="Q2282" i="1"/>
  <c r="O2283" i="1"/>
  <c r="P2283" i="1"/>
  <c r="Q2283" i="1"/>
  <c r="O2284" i="1"/>
  <c r="P2284" i="1"/>
  <c r="Q2284" i="1"/>
  <c r="O2285" i="1"/>
  <c r="P2285" i="1"/>
  <c r="Q2285" i="1"/>
  <c r="O2286" i="1"/>
  <c r="P2286" i="1"/>
  <c r="Q2286" i="1"/>
  <c r="O2287" i="1"/>
  <c r="P2287" i="1"/>
  <c r="Q2287" i="1"/>
  <c r="O2288" i="1"/>
  <c r="P2288" i="1"/>
  <c r="Q2288" i="1"/>
  <c r="O2289" i="1"/>
  <c r="P2289" i="1"/>
  <c r="Q2289" i="1"/>
  <c r="O2290" i="1"/>
  <c r="P2290" i="1"/>
  <c r="Q2290" i="1"/>
  <c r="O2291" i="1"/>
  <c r="P2291" i="1"/>
  <c r="Q2291" i="1"/>
  <c r="O2292" i="1"/>
  <c r="P2292" i="1"/>
  <c r="Q2292" i="1"/>
  <c r="O2293" i="1"/>
  <c r="P2293" i="1"/>
  <c r="Q2293" i="1"/>
  <c r="O2294" i="1"/>
  <c r="P2294" i="1"/>
  <c r="Q2294" i="1"/>
  <c r="O2295" i="1"/>
  <c r="P2295" i="1"/>
  <c r="Q2295" i="1"/>
  <c r="O2296" i="1"/>
  <c r="P2296" i="1"/>
  <c r="Q2296" i="1"/>
  <c r="O2297" i="1"/>
  <c r="P2297" i="1"/>
  <c r="Q2297" i="1"/>
  <c r="O2298" i="1"/>
  <c r="P2298" i="1"/>
  <c r="Q2298" i="1"/>
  <c r="O2299" i="1"/>
  <c r="P2299" i="1"/>
  <c r="Q2299" i="1"/>
  <c r="O2300" i="1"/>
  <c r="P2300" i="1"/>
  <c r="Q2300" i="1"/>
  <c r="O2301" i="1"/>
  <c r="P2301" i="1"/>
  <c r="Q2301" i="1"/>
  <c r="O2302" i="1"/>
  <c r="P2302" i="1"/>
  <c r="Q2302" i="1"/>
  <c r="O2303" i="1"/>
  <c r="P2303" i="1"/>
  <c r="Q2303" i="1"/>
  <c r="O2304" i="1"/>
  <c r="P2304" i="1"/>
  <c r="Q2304" i="1"/>
  <c r="O2305" i="1"/>
  <c r="P2305" i="1"/>
  <c r="Q2305" i="1"/>
  <c r="O2306" i="1"/>
  <c r="P2306" i="1"/>
  <c r="Q2306" i="1"/>
  <c r="O2307" i="1"/>
  <c r="P2307" i="1"/>
  <c r="Q2307" i="1"/>
  <c r="O2308" i="1"/>
  <c r="P2308" i="1"/>
  <c r="Q2308" i="1"/>
  <c r="O2309" i="1"/>
  <c r="P2309" i="1"/>
  <c r="Q2309" i="1"/>
  <c r="O2310" i="1"/>
  <c r="P2310" i="1"/>
  <c r="Q2310" i="1"/>
  <c r="O2311" i="1"/>
  <c r="P2311" i="1"/>
  <c r="Q2311" i="1"/>
  <c r="O2312" i="1"/>
  <c r="P2312" i="1"/>
  <c r="Q2312" i="1"/>
  <c r="O2313" i="1"/>
  <c r="P2313" i="1"/>
  <c r="Q2313" i="1"/>
  <c r="O2314" i="1"/>
  <c r="P2314" i="1"/>
  <c r="Q2314" i="1"/>
  <c r="O2315" i="1"/>
  <c r="P2315" i="1"/>
  <c r="Q2315" i="1"/>
  <c r="O2316" i="1"/>
  <c r="P2316" i="1"/>
  <c r="Q2316" i="1"/>
  <c r="O2317" i="1"/>
  <c r="P2317" i="1"/>
  <c r="Q2317" i="1"/>
  <c r="O2318" i="1"/>
  <c r="P2318" i="1"/>
  <c r="Q2318" i="1"/>
  <c r="O2319" i="1"/>
  <c r="P2319" i="1"/>
  <c r="Q2319" i="1"/>
  <c r="O2320" i="1"/>
  <c r="P2320" i="1"/>
  <c r="Q2320" i="1"/>
  <c r="O2321" i="1"/>
  <c r="P2321" i="1"/>
  <c r="Q2321" i="1"/>
  <c r="O2322" i="1"/>
  <c r="P2322" i="1"/>
  <c r="Q2322" i="1"/>
  <c r="O2323" i="1"/>
  <c r="P2323" i="1"/>
  <c r="Q2323" i="1"/>
  <c r="O2324" i="1"/>
  <c r="P2324" i="1"/>
  <c r="Q2324" i="1"/>
  <c r="O2325" i="1"/>
  <c r="P2325" i="1"/>
  <c r="Q2325" i="1"/>
  <c r="O2326" i="1"/>
  <c r="P2326" i="1"/>
  <c r="Q2326" i="1"/>
  <c r="O2327" i="1"/>
  <c r="P2327" i="1"/>
  <c r="Q2327" i="1"/>
  <c r="O2328" i="1"/>
  <c r="P2328" i="1"/>
  <c r="Q2328" i="1"/>
  <c r="O2329" i="1"/>
  <c r="P2329" i="1"/>
  <c r="Q2329" i="1"/>
  <c r="O2330" i="1"/>
  <c r="P2330" i="1"/>
  <c r="Q2330" i="1"/>
  <c r="O2331" i="1"/>
  <c r="P2331" i="1"/>
  <c r="Q2331" i="1"/>
  <c r="O2332" i="1"/>
  <c r="P2332" i="1"/>
  <c r="Q2332" i="1"/>
  <c r="O2333" i="1"/>
  <c r="P2333" i="1"/>
  <c r="Q2333" i="1"/>
  <c r="O2334" i="1"/>
  <c r="P2334" i="1"/>
  <c r="Q2334" i="1"/>
  <c r="O2335" i="1"/>
  <c r="P2335" i="1"/>
  <c r="Q2335" i="1"/>
  <c r="O2336" i="1"/>
  <c r="P2336" i="1"/>
  <c r="Q2336" i="1"/>
  <c r="O2337" i="1"/>
  <c r="P2337" i="1"/>
  <c r="Q2337" i="1"/>
  <c r="O2338" i="1"/>
  <c r="P2338" i="1"/>
  <c r="Q2338" i="1"/>
  <c r="O2339" i="1"/>
  <c r="P2339" i="1"/>
  <c r="Q2339" i="1"/>
  <c r="O2340" i="1"/>
  <c r="P2340" i="1"/>
  <c r="Q2340" i="1"/>
  <c r="O2341" i="1"/>
  <c r="P2341" i="1"/>
  <c r="Q2341" i="1"/>
  <c r="O2342" i="1"/>
  <c r="P2342" i="1"/>
  <c r="Q2342" i="1"/>
  <c r="O2343" i="1"/>
  <c r="P2343" i="1"/>
  <c r="Q2343" i="1"/>
  <c r="O2344" i="1"/>
  <c r="P2344" i="1"/>
  <c r="Q2344" i="1"/>
  <c r="O2345" i="1"/>
  <c r="P2345" i="1"/>
  <c r="Q2345" i="1"/>
  <c r="O2346" i="1"/>
  <c r="P2346" i="1"/>
  <c r="Q2346" i="1"/>
  <c r="O2347" i="1"/>
  <c r="P2347" i="1"/>
  <c r="Q2347" i="1"/>
  <c r="O2348" i="1"/>
  <c r="P2348" i="1"/>
  <c r="Q2348" i="1"/>
  <c r="O2349" i="1"/>
  <c r="P2349" i="1"/>
  <c r="Q2349" i="1"/>
  <c r="O2350" i="1"/>
  <c r="P2350" i="1"/>
  <c r="Q2350" i="1"/>
  <c r="O2351" i="1"/>
  <c r="P2351" i="1"/>
  <c r="Q2351" i="1"/>
  <c r="O2352" i="1"/>
  <c r="P2352" i="1"/>
  <c r="Q2352" i="1"/>
  <c r="O2353" i="1"/>
  <c r="P2353" i="1"/>
  <c r="Q2353" i="1"/>
  <c r="O2354" i="1"/>
  <c r="P2354" i="1"/>
  <c r="Q2354" i="1"/>
  <c r="O2355" i="1"/>
  <c r="P2355" i="1"/>
  <c r="Q2355" i="1"/>
  <c r="O2356" i="1"/>
  <c r="P2356" i="1"/>
  <c r="Q2356" i="1"/>
  <c r="O2357" i="1"/>
  <c r="P2357" i="1"/>
  <c r="Q2357" i="1"/>
  <c r="O2358" i="1"/>
  <c r="P2358" i="1"/>
  <c r="Q2358" i="1"/>
  <c r="O2359" i="1"/>
  <c r="P2359" i="1"/>
  <c r="Q2359" i="1"/>
  <c r="O2360" i="1"/>
  <c r="P2360" i="1"/>
  <c r="Q2360" i="1"/>
  <c r="O2361" i="1"/>
  <c r="P2361" i="1"/>
  <c r="Q2361" i="1"/>
  <c r="O2362" i="1"/>
  <c r="P2362" i="1"/>
  <c r="Q2362" i="1"/>
  <c r="O2363" i="1"/>
  <c r="P2363" i="1"/>
  <c r="Q2363" i="1"/>
  <c r="O2364" i="1"/>
  <c r="P2364" i="1"/>
  <c r="Q2364" i="1"/>
  <c r="O2365" i="1"/>
  <c r="P2365" i="1"/>
  <c r="Q2365" i="1"/>
  <c r="O2366" i="1"/>
  <c r="P2366" i="1"/>
  <c r="Q2366" i="1"/>
  <c r="O2367" i="1"/>
  <c r="P2367" i="1"/>
  <c r="Q2367" i="1"/>
  <c r="O2368" i="1"/>
  <c r="P2368" i="1"/>
  <c r="Q2368" i="1"/>
  <c r="O2369" i="1"/>
  <c r="P2369" i="1"/>
  <c r="Q2369" i="1"/>
  <c r="O2370" i="1"/>
  <c r="P2370" i="1"/>
  <c r="Q2370" i="1"/>
  <c r="O2371" i="1"/>
  <c r="P2371" i="1"/>
  <c r="Q2371" i="1"/>
  <c r="O2372" i="1"/>
  <c r="P2372" i="1"/>
  <c r="Q2372" i="1"/>
  <c r="O2373" i="1"/>
  <c r="P2373" i="1"/>
  <c r="Q2373" i="1"/>
  <c r="O2374" i="1"/>
  <c r="P2374" i="1"/>
  <c r="Q2374" i="1"/>
  <c r="O2375" i="1"/>
  <c r="P2375" i="1"/>
  <c r="Q2375" i="1"/>
  <c r="O2376" i="1"/>
  <c r="P2376" i="1"/>
  <c r="Q2376" i="1"/>
  <c r="O2377" i="1"/>
  <c r="P2377" i="1"/>
  <c r="Q2377" i="1"/>
  <c r="O2378" i="1"/>
  <c r="P2378" i="1"/>
  <c r="Q2378" i="1"/>
  <c r="O2379" i="1"/>
  <c r="P2379" i="1"/>
  <c r="Q2379" i="1"/>
  <c r="O2380" i="1"/>
  <c r="P2380" i="1"/>
  <c r="Q2380" i="1"/>
  <c r="O2381" i="1"/>
  <c r="P2381" i="1"/>
  <c r="Q2381" i="1"/>
  <c r="O2382" i="1"/>
  <c r="P2382" i="1"/>
  <c r="Q2382" i="1"/>
  <c r="O2383" i="1"/>
  <c r="P2383" i="1"/>
  <c r="Q2383" i="1"/>
  <c r="O2384" i="1"/>
  <c r="P2384" i="1"/>
  <c r="Q2384" i="1"/>
  <c r="O2385" i="1"/>
  <c r="P2385" i="1"/>
  <c r="Q2385" i="1"/>
  <c r="O2386" i="1"/>
  <c r="P2386" i="1"/>
  <c r="Q2386" i="1"/>
  <c r="O2387" i="1"/>
  <c r="P2387" i="1"/>
  <c r="Q2387" i="1"/>
  <c r="O2388" i="1"/>
  <c r="P2388" i="1"/>
  <c r="Q2388" i="1"/>
  <c r="O2389" i="1"/>
  <c r="P2389" i="1"/>
  <c r="Q2389" i="1"/>
  <c r="O2390" i="1"/>
  <c r="P2390" i="1"/>
  <c r="Q2390" i="1"/>
  <c r="O2391" i="1"/>
  <c r="P2391" i="1"/>
  <c r="Q2391" i="1"/>
  <c r="O2392" i="1"/>
  <c r="P2392" i="1"/>
  <c r="Q2392" i="1"/>
  <c r="O2393" i="1"/>
  <c r="P2393" i="1"/>
  <c r="Q2393" i="1"/>
  <c r="O2394" i="1"/>
  <c r="P2394" i="1"/>
  <c r="Q2394" i="1"/>
  <c r="O2395" i="1"/>
  <c r="P2395" i="1"/>
  <c r="Q2395" i="1"/>
  <c r="O2396" i="1"/>
  <c r="P2396" i="1"/>
  <c r="Q2396" i="1"/>
  <c r="O2397" i="1"/>
  <c r="P2397" i="1"/>
  <c r="Q2397" i="1"/>
  <c r="O2398" i="1"/>
  <c r="P2398" i="1"/>
  <c r="Q2398" i="1"/>
  <c r="O2399" i="1"/>
  <c r="P2399" i="1"/>
  <c r="Q2399" i="1"/>
  <c r="O2400" i="1"/>
  <c r="P2400" i="1"/>
  <c r="Q2400" i="1"/>
  <c r="O2401" i="1"/>
  <c r="P2401" i="1"/>
  <c r="Q2401" i="1"/>
  <c r="O2402" i="1"/>
  <c r="P2402" i="1"/>
  <c r="Q2402" i="1"/>
  <c r="O2403" i="1"/>
  <c r="P2403" i="1"/>
  <c r="Q2403" i="1"/>
  <c r="O2404" i="1"/>
  <c r="P2404" i="1"/>
  <c r="Q2404" i="1"/>
  <c r="O2405" i="1"/>
  <c r="P2405" i="1"/>
  <c r="Q2405" i="1"/>
  <c r="O2406" i="1"/>
  <c r="P2406" i="1"/>
  <c r="Q2406" i="1"/>
  <c r="O2407" i="1"/>
  <c r="P2407" i="1"/>
  <c r="Q2407" i="1"/>
  <c r="O2408" i="1"/>
  <c r="P2408" i="1"/>
  <c r="Q2408" i="1"/>
  <c r="O2409" i="1"/>
  <c r="P2409" i="1"/>
  <c r="Q2409" i="1"/>
  <c r="O2410" i="1"/>
  <c r="P2410" i="1"/>
  <c r="Q2410" i="1"/>
  <c r="O2411" i="1"/>
  <c r="P2411" i="1"/>
  <c r="Q2411" i="1"/>
  <c r="O2412" i="1"/>
  <c r="P2412" i="1"/>
  <c r="Q2412" i="1"/>
  <c r="O2413" i="1"/>
  <c r="P2413" i="1"/>
  <c r="Q2413" i="1"/>
  <c r="O2414" i="1"/>
  <c r="P2414" i="1"/>
  <c r="Q2414" i="1"/>
  <c r="O2415" i="1"/>
  <c r="P2415" i="1"/>
  <c r="Q2415" i="1"/>
  <c r="O2416" i="1"/>
  <c r="P2416" i="1"/>
  <c r="Q2416" i="1"/>
  <c r="O2417" i="1"/>
  <c r="P2417" i="1"/>
  <c r="Q2417" i="1"/>
  <c r="O2418" i="1"/>
  <c r="P2418" i="1"/>
  <c r="Q2418" i="1"/>
  <c r="O2419" i="1"/>
  <c r="P2419" i="1"/>
  <c r="Q2419" i="1"/>
  <c r="O2420" i="1"/>
  <c r="P2420" i="1"/>
  <c r="Q2420" i="1"/>
  <c r="O2421" i="1"/>
  <c r="P2421" i="1"/>
  <c r="Q2421" i="1"/>
  <c r="O2422" i="1"/>
  <c r="P2422" i="1"/>
  <c r="Q2422" i="1"/>
  <c r="O2423" i="1"/>
  <c r="P2423" i="1"/>
  <c r="Q2423" i="1"/>
  <c r="O2424" i="1"/>
  <c r="P2424" i="1"/>
  <c r="Q2424" i="1"/>
  <c r="O2425" i="1"/>
  <c r="P2425" i="1"/>
  <c r="Q2425" i="1"/>
  <c r="O2426" i="1"/>
  <c r="P2426" i="1"/>
  <c r="Q2426" i="1"/>
  <c r="O2427" i="1"/>
  <c r="P2427" i="1"/>
  <c r="Q2427" i="1"/>
  <c r="O2428" i="1"/>
  <c r="P2428" i="1"/>
  <c r="Q2428" i="1"/>
  <c r="O2429" i="1"/>
  <c r="P2429" i="1"/>
  <c r="Q2429" i="1"/>
  <c r="O2430" i="1"/>
  <c r="P2430" i="1"/>
  <c r="Q2430" i="1"/>
  <c r="O2431" i="1"/>
  <c r="P2431" i="1"/>
  <c r="Q2431" i="1"/>
  <c r="O2432" i="1"/>
  <c r="P2432" i="1"/>
  <c r="Q2432" i="1"/>
  <c r="O2433" i="1"/>
  <c r="P2433" i="1"/>
  <c r="Q2433" i="1"/>
  <c r="O2434" i="1"/>
  <c r="P2434" i="1"/>
  <c r="Q2434" i="1"/>
  <c r="O2435" i="1"/>
  <c r="P2435" i="1"/>
  <c r="Q2435" i="1"/>
  <c r="O2436" i="1"/>
  <c r="P2436" i="1"/>
  <c r="Q2436" i="1"/>
  <c r="O2437" i="1"/>
  <c r="P2437" i="1"/>
  <c r="Q2437" i="1"/>
  <c r="O2438" i="1"/>
  <c r="P2438" i="1"/>
  <c r="Q2438" i="1"/>
  <c r="O2439" i="1"/>
  <c r="P2439" i="1"/>
  <c r="Q2439" i="1"/>
  <c r="O2440" i="1"/>
  <c r="P2440" i="1"/>
  <c r="Q2440" i="1"/>
  <c r="O2441" i="1"/>
  <c r="P2441" i="1"/>
  <c r="Q2441" i="1"/>
  <c r="O2442" i="1"/>
  <c r="P2442" i="1"/>
  <c r="Q2442" i="1"/>
  <c r="O2443" i="1"/>
  <c r="P2443" i="1"/>
  <c r="Q2443" i="1"/>
  <c r="O2444" i="1"/>
  <c r="P2444" i="1"/>
  <c r="Q2444" i="1"/>
  <c r="O2445" i="1"/>
  <c r="P2445" i="1"/>
  <c r="Q2445" i="1"/>
  <c r="O2446" i="1"/>
  <c r="P2446" i="1"/>
  <c r="Q2446" i="1"/>
  <c r="O2447" i="1"/>
  <c r="P2447" i="1"/>
  <c r="Q2447" i="1"/>
  <c r="O2448" i="1"/>
  <c r="P2448" i="1"/>
  <c r="Q2448" i="1"/>
  <c r="O2449" i="1"/>
  <c r="P2449" i="1"/>
  <c r="Q2449" i="1"/>
  <c r="O2450" i="1"/>
  <c r="P2450" i="1"/>
  <c r="Q2450" i="1"/>
  <c r="O2451" i="1"/>
  <c r="P2451" i="1"/>
  <c r="Q2451" i="1"/>
  <c r="O2452" i="1"/>
  <c r="P2452" i="1"/>
  <c r="Q2452" i="1"/>
  <c r="O2453" i="1"/>
  <c r="P2453" i="1"/>
  <c r="Q2453" i="1"/>
  <c r="O2454" i="1"/>
  <c r="P2454" i="1"/>
  <c r="Q2454" i="1"/>
  <c r="O2455" i="1"/>
  <c r="P2455" i="1"/>
  <c r="Q2455" i="1"/>
  <c r="O2456" i="1"/>
  <c r="P2456" i="1"/>
  <c r="Q2456" i="1"/>
  <c r="O2457" i="1"/>
  <c r="P2457" i="1"/>
  <c r="Q2457" i="1"/>
  <c r="O2458" i="1"/>
  <c r="P2458" i="1"/>
  <c r="Q2458" i="1"/>
  <c r="O2459" i="1"/>
  <c r="P2459" i="1"/>
  <c r="Q2459" i="1"/>
  <c r="O2460" i="1"/>
  <c r="P2460" i="1"/>
  <c r="Q2460" i="1"/>
  <c r="O2461" i="1"/>
  <c r="P2461" i="1"/>
  <c r="Q2461" i="1"/>
  <c r="O2462" i="1"/>
  <c r="P2462" i="1"/>
  <c r="Q2462" i="1"/>
  <c r="O2463" i="1"/>
  <c r="P2463" i="1"/>
  <c r="Q2463" i="1"/>
  <c r="O2464" i="1"/>
  <c r="P2464" i="1"/>
  <c r="Q2464" i="1"/>
  <c r="O2465" i="1"/>
  <c r="P2465" i="1"/>
  <c r="Q2465" i="1"/>
  <c r="O2466" i="1"/>
  <c r="P2466" i="1"/>
  <c r="Q2466" i="1"/>
  <c r="O2467" i="1"/>
  <c r="P2467" i="1"/>
  <c r="Q2467" i="1"/>
  <c r="O2468" i="1"/>
  <c r="P2468" i="1"/>
  <c r="Q2468" i="1"/>
  <c r="O2469" i="1"/>
  <c r="P2469" i="1"/>
  <c r="Q2469" i="1"/>
  <c r="O2470" i="1"/>
  <c r="P2470" i="1"/>
  <c r="Q2470" i="1"/>
  <c r="O2471" i="1"/>
  <c r="P2471" i="1"/>
  <c r="Q2471" i="1"/>
  <c r="O2472" i="1"/>
  <c r="P2472" i="1"/>
  <c r="Q2472" i="1"/>
  <c r="O2473" i="1"/>
  <c r="P2473" i="1"/>
  <c r="Q2473" i="1"/>
  <c r="O2474" i="1"/>
  <c r="P2474" i="1"/>
  <c r="Q2474" i="1"/>
  <c r="O2475" i="1"/>
  <c r="P2475" i="1"/>
  <c r="Q2475" i="1"/>
  <c r="O2476" i="1"/>
  <c r="P2476" i="1"/>
  <c r="Q2476" i="1"/>
  <c r="O2477" i="1"/>
  <c r="P2477" i="1"/>
  <c r="Q2477" i="1"/>
  <c r="O2478" i="1"/>
  <c r="P2478" i="1"/>
  <c r="Q2478" i="1"/>
  <c r="O2479" i="1"/>
  <c r="P2479" i="1"/>
  <c r="Q2479" i="1"/>
  <c r="O2480" i="1"/>
  <c r="P2480" i="1"/>
  <c r="Q2480" i="1"/>
  <c r="O2481" i="1"/>
  <c r="P2481" i="1"/>
  <c r="Q2481" i="1"/>
  <c r="O2482" i="1"/>
  <c r="P2482" i="1"/>
  <c r="Q2482" i="1"/>
  <c r="O2483" i="1"/>
  <c r="P2483" i="1"/>
  <c r="Q2483" i="1"/>
  <c r="O2484" i="1"/>
  <c r="P2484" i="1"/>
  <c r="Q2484" i="1"/>
  <c r="O2485" i="1"/>
  <c r="P2485" i="1"/>
  <c r="Q2485" i="1"/>
  <c r="O2486" i="1"/>
  <c r="P2486" i="1"/>
  <c r="Q2486" i="1"/>
  <c r="O2487" i="1"/>
  <c r="P2487" i="1"/>
  <c r="Q2487" i="1"/>
  <c r="O2488" i="1"/>
  <c r="P2488" i="1"/>
  <c r="Q2488" i="1"/>
  <c r="O2489" i="1"/>
  <c r="P2489" i="1"/>
  <c r="Q2489" i="1"/>
  <c r="O2490" i="1"/>
  <c r="P2490" i="1"/>
  <c r="Q2490" i="1"/>
  <c r="O2491" i="1"/>
  <c r="P2491" i="1"/>
  <c r="Q2491" i="1"/>
  <c r="O2492" i="1"/>
  <c r="P2492" i="1"/>
  <c r="Q2492" i="1"/>
  <c r="O2493" i="1"/>
  <c r="P2493" i="1"/>
  <c r="Q2493" i="1"/>
  <c r="O2494" i="1"/>
  <c r="P2494" i="1"/>
  <c r="Q2494" i="1"/>
  <c r="O2495" i="1"/>
  <c r="P2495" i="1"/>
  <c r="Q2495" i="1"/>
  <c r="O2496" i="1"/>
  <c r="P2496" i="1"/>
  <c r="Q2496" i="1"/>
  <c r="O2497" i="1"/>
  <c r="P2497" i="1"/>
  <c r="Q2497" i="1"/>
  <c r="O2498" i="1"/>
  <c r="P2498" i="1"/>
  <c r="Q2498" i="1"/>
  <c r="O2499" i="1"/>
  <c r="P2499" i="1"/>
  <c r="Q2499" i="1"/>
  <c r="O2500" i="1"/>
  <c r="P2500" i="1"/>
  <c r="Q2500" i="1"/>
  <c r="O2501" i="1"/>
  <c r="P2501" i="1"/>
  <c r="Q2501" i="1"/>
  <c r="O2502" i="1"/>
  <c r="P2502" i="1"/>
  <c r="Q2502" i="1"/>
  <c r="O2503" i="1"/>
  <c r="P2503" i="1"/>
  <c r="Q2503" i="1"/>
  <c r="O2504" i="1"/>
  <c r="P2504" i="1"/>
  <c r="Q2504" i="1"/>
  <c r="O2505" i="1"/>
  <c r="P2505" i="1"/>
  <c r="Q2505" i="1"/>
  <c r="O2506" i="1"/>
  <c r="P2506" i="1"/>
  <c r="Q2506" i="1"/>
  <c r="O2507" i="1"/>
  <c r="P2507" i="1"/>
  <c r="Q2507" i="1"/>
  <c r="O2508" i="1"/>
  <c r="P2508" i="1"/>
  <c r="Q2508" i="1"/>
  <c r="O2509" i="1"/>
  <c r="P2509" i="1"/>
  <c r="Q2509" i="1"/>
  <c r="O2510" i="1"/>
  <c r="P2510" i="1"/>
  <c r="Q2510" i="1"/>
  <c r="O2511" i="1"/>
  <c r="P2511" i="1"/>
  <c r="Q2511" i="1"/>
  <c r="O2512" i="1"/>
  <c r="P2512" i="1"/>
  <c r="Q2512" i="1"/>
  <c r="O2513" i="1"/>
  <c r="P2513" i="1"/>
  <c r="Q2513" i="1"/>
  <c r="O2514" i="1"/>
  <c r="P2514" i="1"/>
  <c r="Q2514" i="1"/>
  <c r="O2515" i="1"/>
  <c r="P2515" i="1"/>
  <c r="Q2515" i="1"/>
  <c r="O2516" i="1"/>
  <c r="P2516" i="1"/>
  <c r="Q2516" i="1"/>
  <c r="O2517" i="1"/>
  <c r="P2517" i="1"/>
  <c r="Q2517" i="1"/>
  <c r="O2518" i="1"/>
  <c r="P2518" i="1"/>
  <c r="Q2518" i="1"/>
  <c r="O2519" i="1"/>
  <c r="P2519" i="1"/>
  <c r="Q2519" i="1"/>
  <c r="O2520" i="1"/>
  <c r="P2520" i="1"/>
  <c r="Q2520" i="1"/>
  <c r="O2521" i="1"/>
  <c r="P2521" i="1"/>
  <c r="Q2521" i="1"/>
  <c r="O2522" i="1"/>
  <c r="P2522" i="1"/>
  <c r="Q2522" i="1"/>
  <c r="O2523" i="1"/>
  <c r="P2523" i="1"/>
  <c r="Q2523" i="1"/>
  <c r="O2524" i="1"/>
  <c r="P2524" i="1"/>
  <c r="Q2524" i="1"/>
  <c r="O2525" i="1"/>
  <c r="P2525" i="1"/>
  <c r="Q2525" i="1"/>
  <c r="O2526" i="1"/>
  <c r="P2526" i="1"/>
  <c r="Q2526" i="1"/>
  <c r="O2527" i="1"/>
  <c r="P2527" i="1"/>
  <c r="Q2527" i="1"/>
  <c r="O2528" i="1"/>
  <c r="P2528" i="1"/>
  <c r="Q2528" i="1"/>
  <c r="O2529" i="1"/>
  <c r="P2529" i="1"/>
  <c r="Q2529" i="1"/>
  <c r="O2530" i="1"/>
  <c r="P2530" i="1"/>
  <c r="Q2530" i="1"/>
  <c r="O2531" i="1"/>
  <c r="P2531" i="1"/>
  <c r="Q2531" i="1"/>
  <c r="O2532" i="1"/>
  <c r="P2532" i="1"/>
  <c r="Q2532" i="1"/>
  <c r="O2533" i="1"/>
  <c r="P2533" i="1"/>
  <c r="Q2533" i="1"/>
  <c r="O2534" i="1"/>
  <c r="P2534" i="1"/>
  <c r="Q2534" i="1"/>
  <c r="O2535" i="1"/>
  <c r="P2535" i="1"/>
  <c r="Q2535" i="1"/>
  <c r="O2536" i="1"/>
  <c r="P2536" i="1"/>
  <c r="Q2536" i="1"/>
  <c r="O2537" i="1"/>
  <c r="P2537" i="1"/>
  <c r="Q2537" i="1"/>
  <c r="O2538" i="1"/>
  <c r="P2538" i="1"/>
  <c r="Q2538" i="1"/>
  <c r="O2539" i="1"/>
  <c r="P2539" i="1"/>
  <c r="Q2539" i="1"/>
  <c r="O2540" i="1"/>
  <c r="P2540" i="1"/>
  <c r="Q2540" i="1"/>
  <c r="O2541" i="1"/>
  <c r="P2541" i="1"/>
  <c r="Q2541" i="1"/>
  <c r="O2542" i="1"/>
  <c r="P2542" i="1"/>
  <c r="Q2542" i="1"/>
  <c r="O2543" i="1"/>
  <c r="P2543" i="1"/>
  <c r="Q2543" i="1"/>
  <c r="O2544" i="1"/>
  <c r="P2544" i="1"/>
  <c r="Q2544" i="1"/>
  <c r="O2545" i="1"/>
  <c r="P2545" i="1"/>
  <c r="Q2545" i="1"/>
  <c r="O2546" i="1"/>
  <c r="P2546" i="1"/>
  <c r="Q2546" i="1"/>
  <c r="O2547" i="1"/>
  <c r="P2547" i="1"/>
  <c r="Q2547" i="1"/>
  <c r="O2548" i="1"/>
  <c r="P2548" i="1"/>
  <c r="Q2548" i="1"/>
  <c r="O2549" i="1"/>
  <c r="P2549" i="1"/>
  <c r="Q2549" i="1"/>
  <c r="O2550" i="1"/>
  <c r="P2550" i="1"/>
  <c r="Q2550" i="1"/>
  <c r="O2551" i="1"/>
  <c r="P2551" i="1"/>
  <c r="Q2551" i="1"/>
  <c r="O2552" i="1"/>
  <c r="P2552" i="1"/>
  <c r="Q2552" i="1"/>
  <c r="O2553" i="1"/>
  <c r="P2553" i="1"/>
  <c r="Q2553" i="1"/>
  <c r="O2554" i="1"/>
  <c r="P2554" i="1"/>
  <c r="Q2554" i="1"/>
  <c r="O2555" i="1"/>
  <c r="P2555" i="1"/>
  <c r="Q2555" i="1"/>
  <c r="O2556" i="1"/>
  <c r="P2556" i="1"/>
  <c r="Q2556" i="1"/>
  <c r="O2557" i="1"/>
  <c r="P2557" i="1"/>
  <c r="Q2557" i="1"/>
  <c r="O2558" i="1"/>
  <c r="P2558" i="1"/>
  <c r="Q2558" i="1"/>
  <c r="O2559" i="1"/>
  <c r="P2559" i="1"/>
  <c r="Q2559" i="1"/>
  <c r="O2560" i="1"/>
  <c r="P2560" i="1"/>
  <c r="Q2560" i="1"/>
  <c r="O2561" i="1"/>
  <c r="P2561" i="1"/>
  <c r="Q2561" i="1"/>
  <c r="O2562" i="1"/>
  <c r="P2562" i="1"/>
  <c r="Q2562" i="1"/>
  <c r="O2563" i="1"/>
  <c r="P2563" i="1"/>
  <c r="Q2563" i="1"/>
  <c r="O2564" i="1"/>
  <c r="P2564" i="1"/>
  <c r="Q2564" i="1"/>
  <c r="O2565" i="1"/>
  <c r="P2565" i="1"/>
  <c r="Q2565" i="1"/>
  <c r="O2566" i="1"/>
  <c r="P2566" i="1"/>
  <c r="Q2566" i="1"/>
  <c r="O2567" i="1"/>
  <c r="P2567" i="1"/>
  <c r="Q2567" i="1"/>
  <c r="O2568" i="1"/>
  <c r="P2568" i="1"/>
  <c r="Q2568" i="1"/>
  <c r="O2569" i="1"/>
  <c r="P2569" i="1"/>
  <c r="Q2569" i="1"/>
  <c r="O2570" i="1"/>
  <c r="P2570" i="1"/>
  <c r="Q2570" i="1"/>
  <c r="O2571" i="1"/>
  <c r="P2571" i="1"/>
  <c r="Q2571" i="1"/>
  <c r="O2572" i="1"/>
  <c r="P2572" i="1"/>
  <c r="Q2572" i="1"/>
  <c r="O2573" i="1"/>
  <c r="P2573" i="1"/>
  <c r="Q2573" i="1"/>
  <c r="O2574" i="1"/>
  <c r="P2574" i="1"/>
  <c r="Q2574" i="1"/>
  <c r="O2575" i="1"/>
  <c r="P2575" i="1"/>
  <c r="Q2575" i="1"/>
  <c r="O2576" i="1"/>
  <c r="P2576" i="1"/>
  <c r="Q2576" i="1"/>
  <c r="O2577" i="1"/>
  <c r="P2577" i="1"/>
  <c r="Q2577" i="1"/>
  <c r="O2578" i="1"/>
  <c r="P2578" i="1"/>
  <c r="Q2578" i="1"/>
  <c r="O2579" i="1"/>
  <c r="P2579" i="1"/>
  <c r="Q2579" i="1"/>
  <c r="O2580" i="1"/>
  <c r="P2580" i="1"/>
  <c r="Q2580" i="1"/>
  <c r="O2581" i="1"/>
  <c r="P2581" i="1"/>
  <c r="Q2581" i="1"/>
  <c r="O2582" i="1"/>
  <c r="P2582" i="1"/>
  <c r="Q2582" i="1"/>
  <c r="O2583" i="1"/>
  <c r="P2583" i="1"/>
  <c r="Q2583" i="1"/>
  <c r="O2584" i="1"/>
  <c r="P2584" i="1"/>
  <c r="Q2584" i="1"/>
  <c r="O2585" i="1"/>
  <c r="P2585" i="1"/>
  <c r="Q2585" i="1"/>
  <c r="O2586" i="1"/>
  <c r="P2586" i="1"/>
  <c r="Q2586" i="1"/>
  <c r="O2587" i="1"/>
  <c r="P2587" i="1"/>
  <c r="Q2587" i="1"/>
  <c r="O2588" i="1"/>
  <c r="P2588" i="1"/>
  <c r="Q2588" i="1"/>
  <c r="O2589" i="1"/>
  <c r="P2589" i="1"/>
  <c r="Q2589" i="1"/>
  <c r="O2590" i="1"/>
  <c r="P2590" i="1"/>
  <c r="Q2590" i="1"/>
  <c r="O2591" i="1"/>
  <c r="P2591" i="1"/>
  <c r="Q2591" i="1"/>
  <c r="O2592" i="1"/>
  <c r="P2592" i="1"/>
  <c r="Q2592" i="1"/>
  <c r="O2593" i="1"/>
  <c r="P2593" i="1"/>
  <c r="Q2593" i="1"/>
  <c r="O2594" i="1"/>
  <c r="P2594" i="1"/>
  <c r="Q2594" i="1"/>
  <c r="O2595" i="1"/>
  <c r="P2595" i="1"/>
  <c r="Q2595" i="1"/>
  <c r="O2596" i="1"/>
  <c r="P2596" i="1"/>
  <c r="Q2596" i="1"/>
  <c r="O2597" i="1"/>
  <c r="P2597" i="1"/>
  <c r="Q2597" i="1"/>
  <c r="O2598" i="1"/>
  <c r="P2598" i="1"/>
  <c r="Q2598" i="1"/>
  <c r="O2599" i="1"/>
  <c r="P2599" i="1"/>
  <c r="Q2599" i="1"/>
  <c r="O2600" i="1"/>
  <c r="P2600" i="1"/>
  <c r="Q2600" i="1"/>
  <c r="O2601" i="1"/>
  <c r="P2601" i="1"/>
  <c r="Q2601" i="1"/>
  <c r="O2602" i="1"/>
  <c r="P2602" i="1"/>
  <c r="Q2602" i="1"/>
  <c r="O2603" i="1"/>
  <c r="P2603" i="1"/>
  <c r="Q2603" i="1"/>
  <c r="O2604" i="1"/>
  <c r="P2604" i="1"/>
  <c r="Q2604" i="1"/>
  <c r="O2605" i="1"/>
  <c r="P2605" i="1"/>
  <c r="Q2605" i="1"/>
  <c r="O2606" i="1"/>
  <c r="P2606" i="1"/>
  <c r="Q2606" i="1"/>
  <c r="O2607" i="1"/>
  <c r="P2607" i="1"/>
  <c r="Q2607" i="1"/>
  <c r="O2608" i="1"/>
  <c r="P2608" i="1"/>
  <c r="Q2608" i="1"/>
  <c r="O2609" i="1"/>
  <c r="P2609" i="1"/>
  <c r="Q2609" i="1"/>
  <c r="O2610" i="1"/>
  <c r="P2610" i="1"/>
  <c r="Q2610" i="1"/>
  <c r="O2611" i="1"/>
  <c r="P2611" i="1"/>
  <c r="Q2611" i="1"/>
  <c r="O2612" i="1"/>
  <c r="P2612" i="1"/>
  <c r="Q2612" i="1"/>
  <c r="O2613" i="1"/>
  <c r="P2613" i="1"/>
  <c r="Q2613" i="1"/>
  <c r="O2614" i="1"/>
  <c r="P2614" i="1"/>
  <c r="Q2614" i="1"/>
  <c r="O2615" i="1"/>
  <c r="P2615" i="1"/>
  <c r="Q2615" i="1"/>
  <c r="O2616" i="1"/>
  <c r="P2616" i="1"/>
  <c r="Q2616" i="1"/>
  <c r="O2617" i="1"/>
  <c r="P2617" i="1"/>
  <c r="Q2617" i="1"/>
  <c r="O2618" i="1"/>
  <c r="P2618" i="1"/>
  <c r="Q2618" i="1"/>
  <c r="O2619" i="1"/>
  <c r="P2619" i="1"/>
  <c r="Q2619" i="1"/>
  <c r="O2620" i="1"/>
  <c r="P2620" i="1"/>
  <c r="Q2620" i="1"/>
  <c r="O2621" i="1"/>
  <c r="P2621" i="1"/>
  <c r="Q2621" i="1"/>
  <c r="O2622" i="1"/>
  <c r="P2622" i="1"/>
  <c r="Q2622" i="1"/>
  <c r="O2623" i="1"/>
  <c r="P2623" i="1"/>
  <c r="Q2623" i="1"/>
  <c r="O2624" i="1"/>
  <c r="P2624" i="1"/>
  <c r="Q2624" i="1"/>
  <c r="O2625" i="1"/>
  <c r="P2625" i="1"/>
  <c r="Q2625" i="1"/>
  <c r="O2626" i="1"/>
  <c r="P2626" i="1"/>
  <c r="Q2626" i="1"/>
  <c r="O2627" i="1"/>
  <c r="P2627" i="1"/>
  <c r="Q2627" i="1"/>
  <c r="O2628" i="1"/>
  <c r="P2628" i="1"/>
  <c r="Q2628" i="1"/>
  <c r="O2629" i="1"/>
  <c r="P2629" i="1"/>
  <c r="Q2629" i="1"/>
  <c r="O2630" i="1"/>
  <c r="P2630" i="1"/>
  <c r="Q2630" i="1"/>
  <c r="O2631" i="1"/>
  <c r="P2631" i="1"/>
  <c r="Q2631" i="1"/>
  <c r="O2632" i="1"/>
  <c r="P2632" i="1"/>
  <c r="Q2632" i="1"/>
  <c r="O2633" i="1"/>
  <c r="P2633" i="1"/>
  <c r="Q2633" i="1"/>
  <c r="O2634" i="1"/>
  <c r="P2634" i="1"/>
  <c r="Q2634" i="1"/>
  <c r="O2635" i="1"/>
  <c r="P2635" i="1"/>
  <c r="Q2635" i="1"/>
  <c r="O2636" i="1"/>
  <c r="P2636" i="1"/>
  <c r="Q2636" i="1"/>
  <c r="O2637" i="1"/>
  <c r="P2637" i="1"/>
  <c r="Q2637" i="1"/>
  <c r="O2638" i="1"/>
  <c r="P2638" i="1"/>
  <c r="Q2638" i="1"/>
  <c r="O2639" i="1"/>
  <c r="P2639" i="1"/>
  <c r="Q2639" i="1"/>
  <c r="O2640" i="1"/>
  <c r="P2640" i="1"/>
  <c r="Q2640" i="1"/>
  <c r="O2641" i="1"/>
  <c r="P2641" i="1"/>
  <c r="Q2641" i="1"/>
  <c r="O2642" i="1"/>
  <c r="P2642" i="1"/>
  <c r="Q2642" i="1"/>
  <c r="O2643" i="1"/>
  <c r="P2643" i="1"/>
  <c r="Q2643" i="1"/>
  <c r="O2644" i="1"/>
  <c r="P2644" i="1"/>
  <c r="Q2644" i="1"/>
  <c r="O2645" i="1"/>
  <c r="P2645" i="1"/>
  <c r="Q2645" i="1"/>
  <c r="O2646" i="1"/>
  <c r="P2646" i="1"/>
  <c r="Q2646" i="1"/>
  <c r="O2647" i="1"/>
  <c r="P2647" i="1"/>
  <c r="Q2647" i="1"/>
  <c r="O2648" i="1"/>
  <c r="P2648" i="1"/>
  <c r="Q2648" i="1"/>
  <c r="O2649" i="1"/>
  <c r="P2649" i="1"/>
  <c r="Q2649" i="1"/>
  <c r="O2650" i="1"/>
  <c r="P2650" i="1"/>
  <c r="Q2650" i="1"/>
  <c r="O2651" i="1"/>
  <c r="P2651" i="1"/>
  <c r="Q2651" i="1"/>
  <c r="O2652" i="1"/>
  <c r="P2652" i="1"/>
  <c r="Q2652" i="1"/>
  <c r="O2653" i="1"/>
  <c r="P2653" i="1"/>
  <c r="Q2653" i="1"/>
  <c r="O2654" i="1"/>
  <c r="P2654" i="1"/>
  <c r="Q2654" i="1"/>
  <c r="O2655" i="1"/>
  <c r="P2655" i="1"/>
  <c r="Q2655" i="1"/>
  <c r="O2656" i="1"/>
  <c r="P2656" i="1"/>
  <c r="Q2656" i="1"/>
  <c r="O2657" i="1"/>
  <c r="P2657" i="1"/>
  <c r="Q2657" i="1"/>
  <c r="O2658" i="1"/>
  <c r="P2658" i="1"/>
  <c r="Q2658" i="1"/>
  <c r="O2659" i="1"/>
  <c r="P2659" i="1"/>
  <c r="Q2659" i="1"/>
  <c r="O2660" i="1"/>
  <c r="P2660" i="1"/>
  <c r="Q2660" i="1"/>
  <c r="O2661" i="1"/>
  <c r="P2661" i="1"/>
  <c r="Q2661" i="1"/>
  <c r="O2662" i="1"/>
  <c r="P2662" i="1"/>
  <c r="Q2662" i="1"/>
  <c r="O2663" i="1"/>
  <c r="P2663" i="1"/>
  <c r="Q2663" i="1"/>
  <c r="O2664" i="1"/>
  <c r="P2664" i="1"/>
  <c r="Q2664" i="1"/>
  <c r="O2665" i="1"/>
  <c r="P2665" i="1"/>
  <c r="Q2665" i="1"/>
  <c r="O2666" i="1"/>
  <c r="P2666" i="1"/>
  <c r="Q2666" i="1"/>
  <c r="O2667" i="1"/>
  <c r="P2667" i="1"/>
  <c r="Q2667" i="1"/>
  <c r="O2668" i="1"/>
  <c r="P2668" i="1"/>
  <c r="Q2668" i="1"/>
  <c r="O2669" i="1"/>
  <c r="P2669" i="1"/>
  <c r="Q2669" i="1"/>
  <c r="O2670" i="1"/>
  <c r="P2670" i="1"/>
  <c r="Q2670" i="1"/>
  <c r="O2671" i="1"/>
  <c r="P2671" i="1"/>
  <c r="Q2671" i="1"/>
  <c r="O2672" i="1"/>
  <c r="P2672" i="1"/>
  <c r="Q2672" i="1"/>
  <c r="O2673" i="1"/>
  <c r="P2673" i="1"/>
  <c r="Q2673" i="1"/>
  <c r="O2674" i="1"/>
  <c r="P2674" i="1"/>
  <c r="Q2674" i="1"/>
  <c r="O2675" i="1"/>
  <c r="P2675" i="1"/>
  <c r="Q2675" i="1"/>
  <c r="O2676" i="1"/>
  <c r="P2676" i="1"/>
  <c r="Q2676" i="1"/>
  <c r="O2677" i="1"/>
  <c r="P2677" i="1"/>
  <c r="Q2677" i="1"/>
  <c r="O2678" i="1"/>
  <c r="P2678" i="1"/>
  <c r="Q2678" i="1"/>
  <c r="O2679" i="1"/>
  <c r="P2679" i="1"/>
  <c r="Q2679" i="1"/>
  <c r="O2680" i="1"/>
  <c r="P2680" i="1"/>
  <c r="Q2680" i="1"/>
  <c r="O2681" i="1"/>
  <c r="P2681" i="1"/>
  <c r="Q2681" i="1"/>
  <c r="O2682" i="1"/>
  <c r="P2682" i="1"/>
  <c r="Q2682" i="1"/>
  <c r="O2683" i="1"/>
  <c r="P2683" i="1"/>
  <c r="Q2683" i="1"/>
  <c r="O2684" i="1"/>
  <c r="P2684" i="1"/>
  <c r="Q2684" i="1"/>
  <c r="O2685" i="1"/>
  <c r="P2685" i="1"/>
  <c r="Q2685" i="1"/>
  <c r="O2686" i="1"/>
  <c r="P2686" i="1"/>
  <c r="Q2686" i="1"/>
  <c r="O2687" i="1"/>
  <c r="P2687" i="1"/>
  <c r="Q2687" i="1"/>
  <c r="O2688" i="1"/>
  <c r="P2688" i="1"/>
  <c r="Q2688" i="1"/>
  <c r="O2689" i="1"/>
  <c r="P2689" i="1"/>
  <c r="Q2689" i="1"/>
  <c r="O2690" i="1"/>
  <c r="P2690" i="1"/>
  <c r="Q2690" i="1"/>
  <c r="O2691" i="1"/>
  <c r="P2691" i="1"/>
  <c r="Q2691" i="1"/>
  <c r="O2692" i="1"/>
  <c r="P2692" i="1"/>
  <c r="Q2692" i="1"/>
  <c r="O2693" i="1"/>
  <c r="P2693" i="1"/>
  <c r="Q2693" i="1"/>
  <c r="O2694" i="1"/>
  <c r="P2694" i="1"/>
  <c r="Q2694" i="1"/>
  <c r="O2695" i="1"/>
  <c r="P2695" i="1"/>
  <c r="Q2695" i="1"/>
  <c r="O2696" i="1"/>
  <c r="P2696" i="1"/>
  <c r="Q2696" i="1"/>
  <c r="O2697" i="1"/>
  <c r="P2697" i="1"/>
  <c r="Q2697" i="1"/>
  <c r="O2698" i="1"/>
  <c r="P2698" i="1"/>
  <c r="Q2698" i="1"/>
  <c r="O2699" i="1"/>
  <c r="P2699" i="1"/>
  <c r="Q2699" i="1"/>
  <c r="O2700" i="1"/>
  <c r="P2700" i="1"/>
  <c r="Q2700" i="1"/>
  <c r="O2701" i="1"/>
  <c r="P2701" i="1"/>
  <c r="Q2701" i="1"/>
  <c r="O2702" i="1"/>
  <c r="P2702" i="1"/>
  <c r="Q2702" i="1"/>
  <c r="O2703" i="1"/>
  <c r="P2703" i="1"/>
  <c r="Q2703" i="1"/>
  <c r="O2704" i="1"/>
  <c r="P2704" i="1"/>
  <c r="Q2704" i="1"/>
  <c r="O2705" i="1"/>
  <c r="P2705" i="1"/>
  <c r="Q2705" i="1"/>
  <c r="O2706" i="1"/>
  <c r="P2706" i="1"/>
  <c r="Q2706" i="1"/>
  <c r="O2707" i="1"/>
  <c r="P2707" i="1"/>
  <c r="Q2707" i="1"/>
  <c r="O2708" i="1"/>
  <c r="P2708" i="1"/>
  <c r="Q2708" i="1"/>
  <c r="O2709" i="1"/>
  <c r="P2709" i="1"/>
  <c r="Q2709" i="1"/>
  <c r="O2710" i="1"/>
  <c r="P2710" i="1"/>
  <c r="Q2710" i="1"/>
  <c r="O2711" i="1"/>
  <c r="P2711" i="1"/>
  <c r="Q2711" i="1"/>
  <c r="O2712" i="1"/>
  <c r="P2712" i="1"/>
  <c r="Q2712" i="1"/>
  <c r="O2713" i="1"/>
  <c r="P2713" i="1"/>
  <c r="Q2713" i="1"/>
  <c r="O2714" i="1"/>
  <c r="P2714" i="1"/>
  <c r="Q2714" i="1"/>
  <c r="O2715" i="1"/>
  <c r="P2715" i="1"/>
  <c r="Q2715" i="1"/>
  <c r="O2716" i="1"/>
  <c r="P2716" i="1"/>
  <c r="Q2716" i="1"/>
  <c r="O2717" i="1"/>
  <c r="P2717" i="1"/>
  <c r="Q2717" i="1"/>
  <c r="O2718" i="1"/>
  <c r="P2718" i="1"/>
  <c r="Q2718" i="1"/>
  <c r="O2719" i="1"/>
  <c r="P2719" i="1"/>
  <c r="Q2719" i="1"/>
  <c r="O2720" i="1"/>
  <c r="P2720" i="1"/>
  <c r="Q2720" i="1"/>
  <c r="O2721" i="1"/>
  <c r="P2721" i="1"/>
  <c r="Q2721" i="1"/>
  <c r="O2722" i="1"/>
  <c r="P2722" i="1"/>
  <c r="Q2722" i="1"/>
  <c r="O2723" i="1"/>
  <c r="P2723" i="1"/>
  <c r="Q2723" i="1"/>
  <c r="O2724" i="1"/>
  <c r="P2724" i="1"/>
  <c r="Q2724" i="1"/>
  <c r="O2725" i="1"/>
  <c r="P2725" i="1"/>
  <c r="Q2725" i="1"/>
  <c r="O2726" i="1"/>
  <c r="P2726" i="1"/>
  <c r="Q2726" i="1"/>
  <c r="O2727" i="1"/>
  <c r="P2727" i="1"/>
  <c r="Q2727" i="1"/>
  <c r="O2728" i="1"/>
  <c r="P2728" i="1"/>
  <c r="Q2728" i="1"/>
  <c r="O2729" i="1"/>
  <c r="P2729" i="1"/>
  <c r="Q2729" i="1"/>
  <c r="O2730" i="1"/>
  <c r="P2730" i="1"/>
  <c r="Q2730" i="1"/>
  <c r="O2731" i="1"/>
  <c r="P2731" i="1"/>
  <c r="Q2731" i="1"/>
  <c r="O2732" i="1"/>
  <c r="P2732" i="1"/>
  <c r="Q2732" i="1"/>
  <c r="O2733" i="1"/>
  <c r="P2733" i="1"/>
  <c r="Q2733" i="1"/>
  <c r="O2734" i="1"/>
  <c r="P2734" i="1"/>
  <c r="Q2734" i="1"/>
  <c r="O2735" i="1"/>
  <c r="P2735" i="1"/>
  <c r="Q2735" i="1"/>
  <c r="O2736" i="1"/>
  <c r="P2736" i="1"/>
  <c r="Q2736" i="1"/>
  <c r="O2737" i="1"/>
  <c r="P2737" i="1"/>
  <c r="Q2737" i="1"/>
  <c r="O2738" i="1"/>
  <c r="P2738" i="1"/>
  <c r="Q2738" i="1"/>
  <c r="O2739" i="1"/>
  <c r="P2739" i="1"/>
  <c r="Q2739" i="1"/>
  <c r="O2740" i="1"/>
  <c r="P2740" i="1"/>
  <c r="Q2740" i="1"/>
  <c r="O2741" i="1"/>
  <c r="P2741" i="1"/>
  <c r="Q2741" i="1"/>
  <c r="O2742" i="1"/>
  <c r="P2742" i="1"/>
  <c r="Q2742" i="1"/>
  <c r="O2743" i="1"/>
  <c r="P2743" i="1"/>
  <c r="Q2743" i="1"/>
  <c r="O2744" i="1"/>
  <c r="P2744" i="1"/>
  <c r="Q2744" i="1"/>
  <c r="O2745" i="1"/>
  <c r="P2745" i="1"/>
  <c r="Q2745" i="1"/>
  <c r="O2746" i="1"/>
  <c r="P2746" i="1"/>
  <c r="Q2746" i="1"/>
  <c r="O2747" i="1"/>
  <c r="P2747" i="1"/>
  <c r="Q2747" i="1"/>
  <c r="O2748" i="1"/>
  <c r="P2748" i="1"/>
  <c r="Q2748" i="1"/>
  <c r="O2749" i="1"/>
  <c r="P2749" i="1"/>
  <c r="Q2749" i="1"/>
  <c r="O2750" i="1"/>
  <c r="P2750" i="1"/>
  <c r="Q2750" i="1"/>
  <c r="O2751" i="1"/>
  <c r="P2751" i="1"/>
  <c r="Q2751" i="1"/>
  <c r="O2752" i="1"/>
  <c r="P2752" i="1"/>
  <c r="Q2752" i="1"/>
  <c r="O2753" i="1"/>
  <c r="P2753" i="1"/>
  <c r="Q2753" i="1"/>
  <c r="O2754" i="1"/>
  <c r="P2754" i="1"/>
  <c r="Q2754" i="1"/>
  <c r="O2755" i="1"/>
  <c r="P2755" i="1"/>
  <c r="Q2755" i="1"/>
  <c r="O2756" i="1"/>
  <c r="P2756" i="1"/>
  <c r="Q2756" i="1"/>
  <c r="O2757" i="1"/>
  <c r="P2757" i="1"/>
  <c r="Q2757" i="1"/>
  <c r="O2758" i="1"/>
  <c r="P2758" i="1"/>
  <c r="Q2758" i="1"/>
  <c r="O2759" i="1"/>
  <c r="P2759" i="1"/>
  <c r="Q2759" i="1"/>
  <c r="O2760" i="1"/>
  <c r="P2760" i="1"/>
  <c r="Q2760" i="1"/>
  <c r="O2761" i="1"/>
  <c r="P2761" i="1"/>
  <c r="Q2761" i="1"/>
  <c r="O2762" i="1"/>
  <c r="P2762" i="1"/>
  <c r="Q2762" i="1"/>
  <c r="O2763" i="1"/>
  <c r="P2763" i="1"/>
  <c r="Q2763" i="1"/>
  <c r="O2764" i="1"/>
  <c r="P2764" i="1"/>
  <c r="Q2764" i="1"/>
  <c r="O2765" i="1"/>
  <c r="P2765" i="1"/>
  <c r="Q2765" i="1"/>
  <c r="O2766" i="1"/>
  <c r="P2766" i="1"/>
  <c r="Q2766" i="1"/>
  <c r="O2767" i="1"/>
  <c r="P2767" i="1"/>
  <c r="Q2767" i="1"/>
  <c r="O2768" i="1"/>
  <c r="P2768" i="1"/>
  <c r="Q2768" i="1"/>
  <c r="O2769" i="1"/>
  <c r="P2769" i="1"/>
  <c r="Q2769" i="1"/>
  <c r="O2770" i="1"/>
  <c r="P2770" i="1"/>
  <c r="Q2770" i="1"/>
  <c r="O2771" i="1"/>
  <c r="P2771" i="1"/>
  <c r="Q2771" i="1"/>
  <c r="O2772" i="1"/>
  <c r="P2772" i="1"/>
  <c r="Q2772" i="1"/>
  <c r="O2773" i="1"/>
  <c r="P2773" i="1"/>
  <c r="Q2773" i="1"/>
  <c r="O2774" i="1"/>
  <c r="P2774" i="1"/>
  <c r="Q2774" i="1"/>
  <c r="O2775" i="1"/>
  <c r="P2775" i="1"/>
  <c r="Q2775" i="1"/>
  <c r="O2776" i="1"/>
  <c r="P2776" i="1"/>
  <c r="Q2776" i="1"/>
  <c r="O2777" i="1"/>
  <c r="P2777" i="1"/>
  <c r="Q2777" i="1"/>
  <c r="O2778" i="1"/>
  <c r="P2778" i="1"/>
  <c r="Q2778" i="1"/>
  <c r="O2779" i="1"/>
  <c r="P2779" i="1"/>
  <c r="Q2779" i="1"/>
  <c r="O2780" i="1"/>
  <c r="P2780" i="1"/>
  <c r="Q2780" i="1"/>
  <c r="O2781" i="1"/>
  <c r="P2781" i="1"/>
  <c r="Q2781" i="1"/>
  <c r="O2782" i="1"/>
  <c r="P2782" i="1"/>
  <c r="Q2782" i="1"/>
  <c r="O2783" i="1"/>
  <c r="P2783" i="1"/>
  <c r="Q2783" i="1"/>
  <c r="O2784" i="1"/>
  <c r="P2784" i="1"/>
  <c r="Q2784" i="1"/>
  <c r="O2785" i="1"/>
  <c r="P2785" i="1"/>
  <c r="Q2785" i="1"/>
  <c r="O2786" i="1"/>
  <c r="P2786" i="1"/>
  <c r="Q2786" i="1"/>
  <c r="O2787" i="1"/>
  <c r="P2787" i="1"/>
  <c r="Q2787" i="1"/>
  <c r="O2788" i="1"/>
  <c r="P2788" i="1"/>
  <c r="Q2788" i="1"/>
  <c r="O2789" i="1"/>
  <c r="P2789" i="1"/>
  <c r="Q2789" i="1"/>
  <c r="O2790" i="1"/>
  <c r="P2790" i="1"/>
  <c r="Q2790" i="1"/>
  <c r="O2791" i="1"/>
  <c r="P2791" i="1"/>
  <c r="Q2791" i="1"/>
  <c r="O2792" i="1"/>
  <c r="P2792" i="1"/>
  <c r="Q2792" i="1"/>
  <c r="O2793" i="1"/>
  <c r="P2793" i="1"/>
  <c r="Q2793" i="1"/>
  <c r="O2794" i="1"/>
  <c r="P2794" i="1"/>
  <c r="Q2794" i="1"/>
  <c r="O2795" i="1"/>
  <c r="P2795" i="1"/>
  <c r="Q2795" i="1"/>
  <c r="O2796" i="1"/>
  <c r="P2796" i="1"/>
  <c r="Q2796" i="1"/>
  <c r="O2797" i="1"/>
  <c r="P2797" i="1"/>
  <c r="Q2797" i="1"/>
  <c r="O2798" i="1"/>
  <c r="P2798" i="1"/>
  <c r="Q2798" i="1"/>
  <c r="O2799" i="1"/>
  <c r="P2799" i="1"/>
  <c r="Q2799" i="1"/>
  <c r="O2800" i="1"/>
  <c r="P2800" i="1"/>
  <c r="Q2800" i="1"/>
  <c r="O2801" i="1"/>
  <c r="P2801" i="1"/>
  <c r="Q2801" i="1"/>
  <c r="O2802" i="1"/>
  <c r="P2802" i="1"/>
  <c r="Q2802" i="1"/>
  <c r="O2803" i="1"/>
  <c r="P2803" i="1"/>
  <c r="Q2803" i="1"/>
  <c r="O2804" i="1"/>
  <c r="P2804" i="1"/>
  <c r="Q2804" i="1"/>
  <c r="O2805" i="1"/>
  <c r="P2805" i="1"/>
  <c r="Q2805" i="1"/>
  <c r="O2806" i="1"/>
  <c r="P2806" i="1"/>
  <c r="Q2806" i="1"/>
  <c r="O2807" i="1"/>
  <c r="P2807" i="1"/>
  <c r="Q2807" i="1"/>
  <c r="O2808" i="1"/>
  <c r="P2808" i="1"/>
  <c r="Q2808" i="1"/>
  <c r="O2809" i="1"/>
  <c r="P2809" i="1"/>
  <c r="Q2809" i="1"/>
  <c r="O2810" i="1"/>
  <c r="P2810" i="1"/>
  <c r="Q2810" i="1"/>
  <c r="O2811" i="1"/>
  <c r="P2811" i="1"/>
  <c r="Q2811" i="1"/>
  <c r="O2812" i="1"/>
  <c r="P2812" i="1"/>
  <c r="Q2812" i="1"/>
  <c r="O2813" i="1"/>
  <c r="P2813" i="1"/>
  <c r="Q2813" i="1"/>
  <c r="O2814" i="1"/>
  <c r="P2814" i="1"/>
  <c r="Q2814" i="1"/>
  <c r="O2815" i="1"/>
  <c r="P2815" i="1"/>
  <c r="Q2815" i="1"/>
  <c r="O2816" i="1"/>
  <c r="P2816" i="1"/>
  <c r="Q2816" i="1"/>
  <c r="O2817" i="1"/>
  <c r="P2817" i="1"/>
  <c r="Q2817" i="1"/>
  <c r="O2818" i="1"/>
  <c r="P2818" i="1"/>
  <c r="Q2818" i="1"/>
  <c r="O2819" i="1"/>
  <c r="P2819" i="1"/>
  <c r="Q2819" i="1"/>
  <c r="O2820" i="1"/>
  <c r="P2820" i="1"/>
  <c r="Q2820" i="1"/>
  <c r="O2821" i="1"/>
  <c r="P2821" i="1"/>
  <c r="Q2821" i="1"/>
  <c r="O2822" i="1"/>
  <c r="P2822" i="1"/>
  <c r="Q2822" i="1"/>
  <c r="O2823" i="1"/>
  <c r="P2823" i="1"/>
  <c r="Q2823" i="1"/>
  <c r="O2824" i="1"/>
  <c r="P2824" i="1"/>
  <c r="Q2824" i="1"/>
  <c r="O2825" i="1"/>
  <c r="P2825" i="1"/>
  <c r="Q2825" i="1"/>
  <c r="O2826" i="1"/>
  <c r="P2826" i="1"/>
  <c r="Q2826" i="1"/>
  <c r="O2827" i="1"/>
  <c r="P2827" i="1"/>
  <c r="Q2827" i="1"/>
  <c r="O2828" i="1"/>
  <c r="P2828" i="1"/>
  <c r="Q2828" i="1"/>
  <c r="O2829" i="1"/>
  <c r="P2829" i="1"/>
  <c r="Q2829" i="1"/>
  <c r="O2830" i="1"/>
  <c r="P2830" i="1"/>
  <c r="Q2830" i="1"/>
  <c r="O2831" i="1"/>
  <c r="P2831" i="1"/>
  <c r="Q2831" i="1"/>
  <c r="O2832" i="1"/>
  <c r="P2832" i="1"/>
  <c r="Q2832" i="1"/>
  <c r="O2833" i="1"/>
  <c r="P2833" i="1"/>
  <c r="Q2833" i="1"/>
  <c r="O2834" i="1"/>
  <c r="P2834" i="1"/>
  <c r="Q2834" i="1"/>
  <c r="O2835" i="1"/>
  <c r="P2835" i="1"/>
  <c r="Q2835" i="1"/>
  <c r="O2836" i="1"/>
  <c r="P2836" i="1"/>
  <c r="Q2836" i="1"/>
  <c r="O2837" i="1"/>
  <c r="P2837" i="1"/>
  <c r="Q2837" i="1"/>
  <c r="O2838" i="1"/>
  <c r="P2838" i="1"/>
  <c r="Q2838" i="1"/>
  <c r="O2839" i="1"/>
  <c r="P2839" i="1"/>
  <c r="Q2839" i="1"/>
  <c r="O2840" i="1"/>
  <c r="P2840" i="1"/>
  <c r="Q2840" i="1"/>
  <c r="O2841" i="1"/>
  <c r="P2841" i="1"/>
  <c r="Q2841" i="1"/>
  <c r="O2842" i="1"/>
  <c r="P2842" i="1"/>
  <c r="Q2842" i="1"/>
  <c r="O2843" i="1"/>
  <c r="P2843" i="1"/>
  <c r="Q2843" i="1"/>
  <c r="O2844" i="1"/>
  <c r="P2844" i="1"/>
  <c r="Q2844" i="1"/>
  <c r="O2845" i="1"/>
  <c r="P2845" i="1"/>
  <c r="Q2845" i="1"/>
  <c r="O2846" i="1"/>
  <c r="P2846" i="1"/>
  <c r="Q2846" i="1"/>
  <c r="O2847" i="1"/>
  <c r="P2847" i="1"/>
  <c r="Q2847" i="1"/>
  <c r="O2848" i="1"/>
  <c r="P2848" i="1"/>
  <c r="Q2848" i="1"/>
  <c r="O2849" i="1"/>
  <c r="P2849" i="1"/>
  <c r="Q2849" i="1"/>
  <c r="O2850" i="1"/>
  <c r="P2850" i="1"/>
  <c r="Q2850" i="1"/>
  <c r="O2851" i="1"/>
  <c r="P2851" i="1"/>
  <c r="Q2851" i="1"/>
  <c r="O2852" i="1"/>
  <c r="P2852" i="1"/>
  <c r="Q2852" i="1"/>
  <c r="O2853" i="1"/>
  <c r="P2853" i="1"/>
  <c r="Q2853" i="1"/>
  <c r="O2854" i="1"/>
  <c r="P2854" i="1"/>
  <c r="Q2854" i="1"/>
  <c r="O2855" i="1"/>
  <c r="P2855" i="1"/>
  <c r="Q2855" i="1"/>
  <c r="O2856" i="1"/>
  <c r="P2856" i="1"/>
  <c r="Q2856" i="1"/>
  <c r="O2857" i="1"/>
  <c r="P2857" i="1"/>
  <c r="Q2857" i="1"/>
  <c r="O2858" i="1"/>
  <c r="P2858" i="1"/>
  <c r="Q2858" i="1"/>
  <c r="O2859" i="1"/>
  <c r="P2859" i="1"/>
  <c r="Q2859" i="1"/>
  <c r="O2860" i="1"/>
  <c r="P2860" i="1"/>
  <c r="Q2860" i="1"/>
  <c r="O2861" i="1"/>
  <c r="P2861" i="1"/>
  <c r="Q2861" i="1"/>
  <c r="O2862" i="1"/>
  <c r="P2862" i="1"/>
  <c r="Q2862" i="1"/>
  <c r="O2863" i="1"/>
  <c r="P2863" i="1"/>
  <c r="Q2863" i="1"/>
  <c r="O2864" i="1"/>
  <c r="P2864" i="1"/>
  <c r="Q2864" i="1"/>
  <c r="O2865" i="1"/>
  <c r="P2865" i="1"/>
  <c r="Q2865" i="1"/>
  <c r="O2866" i="1"/>
  <c r="P2866" i="1"/>
  <c r="Q2866" i="1"/>
  <c r="O2867" i="1"/>
  <c r="P2867" i="1"/>
  <c r="Q2867" i="1"/>
  <c r="O2868" i="1"/>
  <c r="P2868" i="1"/>
  <c r="Q2868" i="1"/>
  <c r="O2869" i="1"/>
  <c r="P2869" i="1"/>
  <c r="Q2869" i="1"/>
  <c r="O2870" i="1"/>
  <c r="P2870" i="1"/>
  <c r="Q2870" i="1"/>
  <c r="O2871" i="1"/>
  <c r="P2871" i="1"/>
  <c r="Q2871" i="1"/>
  <c r="O2872" i="1"/>
  <c r="P2872" i="1"/>
  <c r="Q2872" i="1"/>
  <c r="O2873" i="1"/>
  <c r="P2873" i="1"/>
  <c r="Q2873" i="1"/>
  <c r="O2874" i="1"/>
  <c r="P2874" i="1"/>
  <c r="Q2874" i="1"/>
  <c r="O2875" i="1"/>
  <c r="P2875" i="1"/>
  <c r="Q2875" i="1"/>
  <c r="O2876" i="1"/>
  <c r="P2876" i="1"/>
  <c r="Q2876" i="1"/>
  <c r="O2877" i="1"/>
  <c r="P2877" i="1"/>
  <c r="Q2877" i="1"/>
  <c r="O2878" i="1"/>
  <c r="P2878" i="1"/>
  <c r="Q2878" i="1"/>
  <c r="O2879" i="1"/>
  <c r="P2879" i="1"/>
  <c r="Q2879" i="1"/>
  <c r="O2880" i="1"/>
  <c r="P2880" i="1"/>
  <c r="Q2880" i="1"/>
  <c r="O2881" i="1"/>
  <c r="P2881" i="1"/>
  <c r="Q2881" i="1"/>
  <c r="O2882" i="1"/>
  <c r="P2882" i="1"/>
  <c r="Q2882" i="1"/>
  <c r="O2883" i="1"/>
  <c r="P2883" i="1"/>
  <c r="Q2883" i="1"/>
  <c r="O2884" i="1"/>
  <c r="P2884" i="1"/>
  <c r="Q2884" i="1"/>
  <c r="O2885" i="1"/>
  <c r="P2885" i="1"/>
  <c r="Q2885" i="1"/>
  <c r="O2886" i="1"/>
  <c r="P2886" i="1"/>
  <c r="Q2886" i="1"/>
  <c r="O2887" i="1"/>
  <c r="P2887" i="1"/>
  <c r="Q2887" i="1"/>
  <c r="O2888" i="1"/>
  <c r="P2888" i="1"/>
  <c r="Q2888" i="1"/>
  <c r="O2889" i="1"/>
  <c r="P2889" i="1"/>
  <c r="Q2889" i="1"/>
  <c r="O2890" i="1"/>
  <c r="P2890" i="1"/>
  <c r="Q2890" i="1"/>
  <c r="O2891" i="1"/>
  <c r="P2891" i="1"/>
  <c r="Q2891" i="1"/>
  <c r="O2892" i="1"/>
  <c r="P2892" i="1"/>
  <c r="Q2892" i="1"/>
  <c r="O2893" i="1"/>
  <c r="P2893" i="1"/>
  <c r="Q2893" i="1"/>
  <c r="O2894" i="1"/>
  <c r="P2894" i="1"/>
  <c r="Q2894" i="1"/>
  <c r="O2895" i="1"/>
  <c r="P2895" i="1"/>
  <c r="Q2895" i="1"/>
  <c r="O2896" i="1"/>
  <c r="P2896" i="1"/>
  <c r="Q2896" i="1"/>
  <c r="O2897" i="1"/>
  <c r="P2897" i="1"/>
  <c r="Q2897" i="1"/>
  <c r="O2898" i="1"/>
  <c r="P2898" i="1"/>
  <c r="Q2898" i="1"/>
  <c r="O2899" i="1"/>
  <c r="P2899" i="1"/>
  <c r="Q2899" i="1"/>
  <c r="O2900" i="1"/>
  <c r="P2900" i="1"/>
  <c r="Q2900" i="1"/>
  <c r="O2901" i="1"/>
  <c r="P2901" i="1"/>
  <c r="Q2901" i="1"/>
  <c r="O2902" i="1"/>
  <c r="P2902" i="1"/>
  <c r="Q2902" i="1"/>
  <c r="O2903" i="1"/>
  <c r="P2903" i="1"/>
  <c r="Q2903" i="1"/>
  <c r="O2904" i="1"/>
  <c r="P2904" i="1"/>
  <c r="Q2904" i="1"/>
  <c r="O2905" i="1"/>
  <c r="P2905" i="1"/>
  <c r="Q2905" i="1"/>
  <c r="O2906" i="1"/>
  <c r="P2906" i="1"/>
  <c r="Q2906" i="1"/>
  <c r="O2907" i="1"/>
  <c r="P2907" i="1"/>
  <c r="Q2907" i="1"/>
  <c r="O2908" i="1"/>
  <c r="P2908" i="1"/>
  <c r="Q2908" i="1"/>
  <c r="O2909" i="1"/>
  <c r="P2909" i="1"/>
  <c r="Q2909" i="1"/>
  <c r="O2910" i="1"/>
  <c r="P2910" i="1"/>
  <c r="Q2910" i="1"/>
  <c r="O2911" i="1"/>
  <c r="P2911" i="1"/>
  <c r="Q2911" i="1"/>
  <c r="O2912" i="1"/>
  <c r="P2912" i="1"/>
  <c r="Q2912" i="1"/>
  <c r="O2913" i="1"/>
  <c r="P2913" i="1"/>
  <c r="Q2913" i="1"/>
  <c r="O2914" i="1"/>
  <c r="P2914" i="1"/>
  <c r="Q2914" i="1"/>
  <c r="O2915" i="1"/>
  <c r="P2915" i="1"/>
  <c r="Q2915" i="1"/>
  <c r="O2916" i="1"/>
  <c r="P2916" i="1"/>
  <c r="Q2916" i="1"/>
  <c r="O2917" i="1"/>
  <c r="P2917" i="1"/>
  <c r="Q2917" i="1"/>
  <c r="O2918" i="1"/>
  <c r="P2918" i="1"/>
  <c r="Q2918" i="1"/>
  <c r="O2919" i="1"/>
  <c r="P2919" i="1"/>
  <c r="Q2919" i="1"/>
  <c r="O2920" i="1"/>
  <c r="P2920" i="1"/>
  <c r="Q2920" i="1"/>
  <c r="O2921" i="1"/>
  <c r="P2921" i="1"/>
  <c r="Q2921" i="1"/>
  <c r="O2922" i="1"/>
  <c r="P2922" i="1"/>
  <c r="Q2922" i="1"/>
  <c r="O2923" i="1"/>
  <c r="P2923" i="1"/>
  <c r="Q2923" i="1"/>
  <c r="O2924" i="1"/>
  <c r="P2924" i="1"/>
  <c r="Q2924" i="1"/>
  <c r="O2925" i="1"/>
  <c r="P2925" i="1"/>
  <c r="Q2925" i="1"/>
  <c r="O2926" i="1"/>
  <c r="P2926" i="1"/>
  <c r="Q2926" i="1"/>
  <c r="O2927" i="1"/>
  <c r="P2927" i="1"/>
  <c r="Q2927" i="1"/>
  <c r="O2928" i="1"/>
  <c r="P2928" i="1"/>
  <c r="Q2928" i="1"/>
  <c r="O2929" i="1"/>
  <c r="P2929" i="1"/>
  <c r="Q2929" i="1"/>
  <c r="O2930" i="1"/>
  <c r="P2930" i="1"/>
  <c r="Q2930" i="1"/>
  <c r="O2931" i="1"/>
  <c r="P2931" i="1"/>
  <c r="Q2931" i="1"/>
  <c r="O2932" i="1"/>
  <c r="P2932" i="1"/>
  <c r="Q2932" i="1"/>
  <c r="O2933" i="1"/>
  <c r="P2933" i="1"/>
  <c r="Q2933" i="1"/>
  <c r="O2934" i="1"/>
  <c r="P2934" i="1"/>
  <c r="Q2934" i="1"/>
  <c r="O2935" i="1"/>
  <c r="P2935" i="1"/>
  <c r="Q2935" i="1"/>
  <c r="O2936" i="1"/>
  <c r="P2936" i="1"/>
  <c r="Q2936" i="1"/>
  <c r="O2937" i="1"/>
  <c r="P2937" i="1"/>
  <c r="Q2937" i="1"/>
  <c r="O2938" i="1"/>
  <c r="P2938" i="1"/>
  <c r="Q2938" i="1"/>
  <c r="O2939" i="1"/>
  <c r="P2939" i="1"/>
  <c r="Q2939" i="1"/>
  <c r="O2940" i="1"/>
  <c r="P2940" i="1"/>
  <c r="Q2940" i="1"/>
  <c r="O2941" i="1"/>
  <c r="P2941" i="1"/>
  <c r="Q2941" i="1"/>
  <c r="O2942" i="1"/>
  <c r="P2942" i="1"/>
  <c r="Q2942" i="1"/>
  <c r="O2943" i="1"/>
  <c r="P2943" i="1"/>
  <c r="Q2943" i="1"/>
  <c r="O2944" i="1"/>
  <c r="P2944" i="1"/>
  <c r="Q2944" i="1"/>
  <c r="O2945" i="1"/>
  <c r="P2945" i="1"/>
  <c r="Q2945" i="1"/>
  <c r="O2946" i="1"/>
  <c r="P2946" i="1"/>
  <c r="Q2946" i="1"/>
  <c r="O2947" i="1"/>
  <c r="P2947" i="1"/>
  <c r="Q2947" i="1"/>
  <c r="O2948" i="1"/>
  <c r="P2948" i="1"/>
  <c r="Q2948" i="1"/>
  <c r="O2949" i="1"/>
  <c r="P2949" i="1"/>
  <c r="Q2949" i="1"/>
  <c r="O2950" i="1"/>
  <c r="P2950" i="1"/>
  <c r="Q2950" i="1"/>
  <c r="O2951" i="1"/>
  <c r="P2951" i="1"/>
  <c r="Q2951" i="1"/>
  <c r="O2952" i="1"/>
  <c r="P2952" i="1"/>
  <c r="Q2952" i="1"/>
  <c r="O2953" i="1"/>
  <c r="P2953" i="1"/>
  <c r="Q2953" i="1"/>
  <c r="O2954" i="1"/>
  <c r="P2954" i="1"/>
  <c r="Q2954" i="1"/>
  <c r="O2955" i="1"/>
  <c r="P2955" i="1"/>
  <c r="Q2955" i="1"/>
  <c r="O2956" i="1"/>
  <c r="P2956" i="1"/>
  <c r="Q2956" i="1"/>
  <c r="O2957" i="1"/>
  <c r="P2957" i="1"/>
  <c r="Q2957" i="1"/>
  <c r="O2958" i="1"/>
  <c r="P2958" i="1"/>
  <c r="Q2958" i="1"/>
  <c r="O2959" i="1"/>
  <c r="P2959" i="1"/>
  <c r="Q2959" i="1"/>
  <c r="O2960" i="1"/>
  <c r="P2960" i="1"/>
  <c r="Q2960" i="1"/>
  <c r="O2961" i="1"/>
  <c r="P2961" i="1"/>
  <c r="Q2961" i="1"/>
  <c r="O2962" i="1"/>
  <c r="P2962" i="1"/>
  <c r="Q2962" i="1"/>
  <c r="O2963" i="1"/>
  <c r="P2963" i="1"/>
  <c r="Q2963" i="1"/>
  <c r="O2964" i="1"/>
  <c r="P2964" i="1"/>
  <c r="Q2964" i="1"/>
  <c r="O2965" i="1"/>
  <c r="P2965" i="1"/>
  <c r="Q2965" i="1"/>
  <c r="O2966" i="1"/>
  <c r="P2966" i="1"/>
  <c r="Q2966" i="1"/>
  <c r="O2967" i="1"/>
  <c r="P2967" i="1"/>
  <c r="Q2967" i="1"/>
  <c r="O2968" i="1"/>
  <c r="P2968" i="1"/>
  <c r="Q2968" i="1"/>
  <c r="O2969" i="1"/>
  <c r="P2969" i="1"/>
  <c r="Q2969" i="1"/>
  <c r="O2970" i="1"/>
  <c r="P2970" i="1"/>
  <c r="Q2970" i="1"/>
  <c r="O2971" i="1"/>
  <c r="P2971" i="1"/>
  <c r="Q2971" i="1"/>
  <c r="O2972" i="1"/>
  <c r="P2972" i="1"/>
  <c r="Q2972" i="1"/>
  <c r="O2973" i="1"/>
  <c r="P2973" i="1"/>
  <c r="Q2973" i="1"/>
  <c r="O2974" i="1"/>
  <c r="P2974" i="1"/>
  <c r="Q2974" i="1"/>
  <c r="O2975" i="1"/>
  <c r="P2975" i="1"/>
  <c r="Q2975" i="1"/>
  <c r="O2976" i="1"/>
  <c r="P2976" i="1"/>
  <c r="Q2976" i="1"/>
  <c r="O2977" i="1"/>
  <c r="P2977" i="1"/>
  <c r="Q2977" i="1"/>
  <c r="O2978" i="1"/>
  <c r="P2978" i="1"/>
  <c r="Q2978" i="1"/>
  <c r="O2979" i="1"/>
  <c r="P2979" i="1"/>
  <c r="Q2979" i="1"/>
  <c r="O2980" i="1"/>
  <c r="P2980" i="1"/>
  <c r="Q2980" i="1"/>
  <c r="O2981" i="1"/>
  <c r="P2981" i="1"/>
  <c r="Q2981" i="1"/>
  <c r="O2982" i="1"/>
  <c r="P2982" i="1"/>
  <c r="Q2982" i="1"/>
  <c r="O2983" i="1"/>
  <c r="P2983" i="1"/>
  <c r="Q2983" i="1"/>
  <c r="O2984" i="1"/>
  <c r="P2984" i="1"/>
  <c r="Q2984" i="1"/>
  <c r="O2985" i="1"/>
  <c r="P2985" i="1"/>
  <c r="Q2985" i="1"/>
  <c r="O2986" i="1"/>
  <c r="P2986" i="1"/>
  <c r="Q2986" i="1"/>
  <c r="O2987" i="1"/>
  <c r="P2987" i="1"/>
  <c r="Q2987" i="1"/>
  <c r="O2988" i="1"/>
  <c r="P2988" i="1"/>
  <c r="Q2988" i="1"/>
  <c r="O2989" i="1"/>
  <c r="P2989" i="1"/>
  <c r="Q2989" i="1"/>
  <c r="O2990" i="1"/>
  <c r="P2990" i="1"/>
  <c r="Q2990" i="1"/>
  <c r="O2991" i="1"/>
  <c r="P2991" i="1"/>
  <c r="Q2991" i="1"/>
  <c r="O2992" i="1"/>
  <c r="P2992" i="1"/>
  <c r="Q2992" i="1"/>
  <c r="O2993" i="1"/>
  <c r="P2993" i="1"/>
  <c r="Q2993" i="1"/>
  <c r="O2994" i="1"/>
  <c r="P2994" i="1"/>
  <c r="Q2994" i="1"/>
  <c r="O2995" i="1"/>
  <c r="P2995" i="1"/>
  <c r="Q2995" i="1"/>
  <c r="O2996" i="1"/>
  <c r="P2996" i="1"/>
  <c r="Q2996" i="1"/>
  <c r="O2997" i="1"/>
  <c r="P2997" i="1"/>
  <c r="Q2997" i="1"/>
  <c r="O2998" i="1"/>
  <c r="P2998" i="1"/>
  <c r="Q2998" i="1"/>
  <c r="O2999" i="1"/>
  <c r="P2999" i="1"/>
  <c r="Q2999" i="1"/>
  <c r="O3000" i="1"/>
  <c r="P3000" i="1"/>
  <c r="Q3000" i="1"/>
  <c r="O3001" i="1"/>
  <c r="P3001" i="1"/>
  <c r="Q3001" i="1"/>
  <c r="O3002" i="1"/>
  <c r="P3002" i="1"/>
  <c r="Q3002" i="1"/>
  <c r="O3003" i="1"/>
  <c r="P3003" i="1"/>
  <c r="Q3003" i="1"/>
  <c r="O3004" i="1"/>
  <c r="P3004" i="1"/>
  <c r="Q3004" i="1"/>
  <c r="O3005" i="1"/>
  <c r="P3005" i="1"/>
  <c r="Q3005" i="1"/>
  <c r="O3006" i="1"/>
  <c r="P3006" i="1"/>
  <c r="Q3006" i="1"/>
  <c r="O3007" i="1"/>
  <c r="P3007" i="1"/>
  <c r="Q3007" i="1"/>
  <c r="O3008" i="1"/>
  <c r="P3008" i="1"/>
  <c r="Q3008" i="1"/>
  <c r="O3009" i="1"/>
  <c r="P3009" i="1"/>
  <c r="Q3009" i="1"/>
  <c r="O3010" i="1"/>
  <c r="P3010" i="1"/>
  <c r="Q3010" i="1"/>
  <c r="O3011" i="1"/>
  <c r="P3011" i="1"/>
  <c r="Q3011" i="1"/>
  <c r="O3012" i="1"/>
  <c r="P3012" i="1"/>
  <c r="Q3012" i="1"/>
  <c r="O3013" i="1"/>
  <c r="P3013" i="1"/>
  <c r="Q3013" i="1"/>
  <c r="O3014" i="1"/>
  <c r="P3014" i="1"/>
  <c r="Q3014" i="1"/>
  <c r="O3015" i="1"/>
  <c r="P3015" i="1"/>
  <c r="Q3015" i="1"/>
  <c r="O3016" i="1"/>
  <c r="P3016" i="1"/>
  <c r="Q3016" i="1"/>
  <c r="O3017" i="1"/>
  <c r="P3017" i="1"/>
  <c r="Q3017" i="1"/>
  <c r="O3018" i="1"/>
  <c r="P3018" i="1"/>
  <c r="Q3018" i="1"/>
  <c r="O3019" i="1"/>
  <c r="P3019" i="1"/>
  <c r="Q3019" i="1"/>
  <c r="O3020" i="1"/>
  <c r="P3020" i="1"/>
  <c r="Q3020" i="1"/>
  <c r="O3021" i="1"/>
  <c r="P3021" i="1"/>
  <c r="Q3021" i="1"/>
  <c r="O3022" i="1"/>
  <c r="P3022" i="1"/>
  <c r="Q3022" i="1"/>
  <c r="O3023" i="1"/>
  <c r="P3023" i="1"/>
  <c r="Q3023" i="1"/>
  <c r="O3024" i="1"/>
  <c r="P3024" i="1"/>
  <c r="Q3024" i="1"/>
  <c r="O3025" i="1"/>
  <c r="P3025" i="1"/>
  <c r="Q3025" i="1"/>
  <c r="O3026" i="1"/>
  <c r="P3026" i="1"/>
  <c r="Q3026" i="1"/>
  <c r="O3027" i="1"/>
  <c r="P3027" i="1"/>
  <c r="Q3027" i="1"/>
  <c r="O3028" i="1"/>
  <c r="P3028" i="1"/>
  <c r="Q3028" i="1"/>
  <c r="O3029" i="1"/>
  <c r="P3029" i="1"/>
  <c r="Q3029" i="1"/>
  <c r="O3030" i="1"/>
  <c r="P3030" i="1"/>
  <c r="Q3030" i="1"/>
  <c r="O3031" i="1"/>
  <c r="P3031" i="1"/>
  <c r="Q3031" i="1"/>
  <c r="O3032" i="1"/>
  <c r="P3032" i="1"/>
  <c r="Q3032" i="1"/>
  <c r="O3033" i="1"/>
  <c r="P3033" i="1"/>
  <c r="Q3033" i="1"/>
  <c r="O3034" i="1"/>
  <c r="P3034" i="1"/>
  <c r="Q3034" i="1"/>
  <c r="O3035" i="1"/>
  <c r="P3035" i="1"/>
  <c r="Q3035" i="1"/>
  <c r="O3036" i="1"/>
  <c r="P3036" i="1"/>
  <c r="Q3036" i="1"/>
  <c r="O3037" i="1"/>
  <c r="P3037" i="1"/>
  <c r="Q3037" i="1"/>
  <c r="O3038" i="1"/>
  <c r="P3038" i="1"/>
  <c r="Q3038" i="1"/>
  <c r="O3039" i="1"/>
  <c r="P3039" i="1"/>
  <c r="Q3039" i="1"/>
  <c r="O3040" i="1"/>
  <c r="P3040" i="1"/>
  <c r="Q3040" i="1"/>
  <c r="O3041" i="1"/>
  <c r="P3041" i="1"/>
  <c r="Q3041" i="1"/>
  <c r="O3042" i="1"/>
  <c r="P3042" i="1"/>
  <c r="Q3042" i="1"/>
  <c r="O3043" i="1"/>
  <c r="P3043" i="1"/>
  <c r="Q3043" i="1"/>
  <c r="O3044" i="1"/>
  <c r="P3044" i="1"/>
  <c r="Q3044" i="1"/>
  <c r="O3045" i="1"/>
  <c r="P3045" i="1"/>
  <c r="Q3045" i="1"/>
  <c r="O3046" i="1"/>
  <c r="P3046" i="1"/>
  <c r="Q3046" i="1"/>
  <c r="O3047" i="1"/>
  <c r="P3047" i="1"/>
  <c r="Q3047" i="1"/>
  <c r="O3048" i="1"/>
  <c r="P3048" i="1"/>
  <c r="Q3048" i="1"/>
  <c r="O3049" i="1"/>
  <c r="P3049" i="1"/>
  <c r="Q3049" i="1"/>
  <c r="O3050" i="1"/>
  <c r="P3050" i="1"/>
  <c r="Q3050" i="1"/>
  <c r="O3051" i="1"/>
  <c r="P3051" i="1"/>
  <c r="Q3051" i="1"/>
  <c r="O3052" i="1"/>
  <c r="P3052" i="1"/>
  <c r="Q3052" i="1"/>
  <c r="O3053" i="1"/>
  <c r="P3053" i="1"/>
  <c r="Q3053" i="1"/>
  <c r="O3054" i="1"/>
  <c r="P3054" i="1"/>
  <c r="Q3054" i="1"/>
  <c r="O3055" i="1"/>
  <c r="P3055" i="1"/>
  <c r="Q3055" i="1"/>
  <c r="O3056" i="1"/>
  <c r="P3056" i="1"/>
  <c r="Q3056" i="1"/>
  <c r="O3057" i="1"/>
  <c r="P3057" i="1"/>
  <c r="Q3057" i="1"/>
  <c r="O3058" i="1"/>
  <c r="P3058" i="1"/>
  <c r="Q3058" i="1"/>
  <c r="O3059" i="1"/>
  <c r="P3059" i="1"/>
  <c r="Q3059" i="1"/>
  <c r="O3060" i="1"/>
  <c r="P3060" i="1"/>
  <c r="Q3060" i="1"/>
  <c r="O3061" i="1"/>
  <c r="P3061" i="1"/>
  <c r="Q3061" i="1"/>
  <c r="O3062" i="1"/>
  <c r="P3062" i="1"/>
  <c r="Q3062" i="1"/>
  <c r="O3063" i="1"/>
  <c r="P3063" i="1"/>
  <c r="Q3063" i="1"/>
  <c r="O3064" i="1"/>
  <c r="P3064" i="1"/>
  <c r="Q3064" i="1"/>
  <c r="O3065" i="1"/>
  <c r="P3065" i="1"/>
  <c r="Q3065" i="1"/>
  <c r="O3066" i="1"/>
  <c r="P3066" i="1"/>
  <c r="Q3066" i="1"/>
  <c r="O3067" i="1"/>
  <c r="P3067" i="1"/>
  <c r="Q3067" i="1"/>
  <c r="O3068" i="1"/>
  <c r="P3068" i="1"/>
  <c r="Q3068" i="1"/>
  <c r="O3069" i="1"/>
  <c r="P3069" i="1"/>
  <c r="Q3069" i="1"/>
  <c r="O3070" i="1"/>
  <c r="P3070" i="1"/>
  <c r="Q3070" i="1"/>
  <c r="O3071" i="1"/>
  <c r="P3071" i="1"/>
  <c r="Q3071" i="1"/>
  <c r="O3072" i="1"/>
  <c r="P3072" i="1"/>
  <c r="Q3072" i="1"/>
  <c r="O3073" i="1"/>
  <c r="P3073" i="1"/>
  <c r="Q3073" i="1"/>
  <c r="O3074" i="1"/>
  <c r="P3074" i="1"/>
  <c r="Q3074" i="1"/>
  <c r="O3075" i="1"/>
  <c r="P3075" i="1"/>
  <c r="Q3075" i="1"/>
  <c r="O3076" i="1"/>
  <c r="P3076" i="1"/>
  <c r="Q3076" i="1"/>
  <c r="O3077" i="1"/>
  <c r="P3077" i="1"/>
  <c r="Q3077" i="1"/>
  <c r="O3078" i="1"/>
  <c r="P3078" i="1"/>
  <c r="Q3078" i="1"/>
  <c r="O3079" i="1"/>
  <c r="P3079" i="1"/>
  <c r="Q3079" i="1"/>
  <c r="O3080" i="1"/>
  <c r="P3080" i="1"/>
  <c r="Q3080" i="1"/>
  <c r="O3081" i="1"/>
  <c r="P3081" i="1"/>
  <c r="Q3081" i="1"/>
  <c r="O3082" i="1"/>
  <c r="P3082" i="1"/>
  <c r="Q3082" i="1"/>
  <c r="O3083" i="1"/>
  <c r="P3083" i="1"/>
  <c r="Q3083" i="1"/>
  <c r="O3084" i="1"/>
  <c r="P3084" i="1"/>
  <c r="Q3084" i="1"/>
  <c r="O3085" i="1"/>
  <c r="P3085" i="1"/>
  <c r="Q3085" i="1"/>
  <c r="O3086" i="1"/>
  <c r="P3086" i="1"/>
  <c r="Q3086" i="1"/>
  <c r="O3087" i="1"/>
  <c r="P3087" i="1"/>
  <c r="Q3087" i="1"/>
  <c r="O3088" i="1"/>
  <c r="P3088" i="1"/>
  <c r="Q3088" i="1"/>
  <c r="O3089" i="1"/>
  <c r="P3089" i="1"/>
  <c r="Q3089" i="1"/>
  <c r="O3090" i="1"/>
  <c r="P3090" i="1"/>
  <c r="Q3090" i="1"/>
  <c r="O3091" i="1"/>
  <c r="P3091" i="1"/>
  <c r="Q3091" i="1"/>
  <c r="O3092" i="1"/>
  <c r="P3092" i="1"/>
  <c r="Q3092" i="1"/>
  <c r="O3093" i="1"/>
  <c r="P3093" i="1"/>
  <c r="Q3093" i="1"/>
  <c r="O3094" i="1"/>
  <c r="P3094" i="1"/>
  <c r="Q3094" i="1"/>
  <c r="O3095" i="1"/>
  <c r="P3095" i="1"/>
  <c r="Q3095" i="1"/>
  <c r="O3096" i="1"/>
  <c r="P3096" i="1"/>
  <c r="Q3096" i="1"/>
  <c r="O3097" i="1"/>
  <c r="P3097" i="1"/>
  <c r="Q3097" i="1"/>
  <c r="O3098" i="1"/>
  <c r="P3098" i="1"/>
  <c r="Q3098" i="1"/>
  <c r="O3099" i="1"/>
  <c r="P3099" i="1"/>
  <c r="Q3099" i="1"/>
  <c r="O3100" i="1"/>
  <c r="P3100" i="1"/>
  <c r="Q3100" i="1"/>
  <c r="O3101" i="1"/>
  <c r="P3101" i="1"/>
  <c r="Q3101" i="1"/>
  <c r="O3102" i="1"/>
  <c r="P3102" i="1"/>
  <c r="Q3102" i="1"/>
  <c r="O3103" i="1"/>
  <c r="P3103" i="1"/>
  <c r="Q3103" i="1"/>
  <c r="O3104" i="1"/>
  <c r="P3104" i="1"/>
  <c r="Q3104" i="1"/>
  <c r="O3105" i="1"/>
  <c r="P3105" i="1"/>
  <c r="Q3105" i="1"/>
  <c r="O3106" i="1"/>
  <c r="P3106" i="1"/>
  <c r="Q3106" i="1"/>
  <c r="O3107" i="1"/>
  <c r="P3107" i="1"/>
  <c r="Q3107" i="1"/>
  <c r="O3108" i="1"/>
  <c r="P3108" i="1"/>
  <c r="Q3108" i="1"/>
  <c r="O3109" i="1"/>
  <c r="P3109" i="1"/>
  <c r="Q3109" i="1"/>
  <c r="O3110" i="1"/>
  <c r="P3110" i="1"/>
  <c r="Q3110" i="1"/>
  <c r="O3111" i="1"/>
  <c r="P3111" i="1"/>
  <c r="Q3111" i="1"/>
  <c r="O3112" i="1"/>
  <c r="P3112" i="1"/>
  <c r="Q3112" i="1"/>
  <c r="O3113" i="1"/>
  <c r="P3113" i="1"/>
  <c r="Q3113" i="1"/>
  <c r="O3114" i="1"/>
  <c r="P3114" i="1"/>
  <c r="Q3114" i="1"/>
  <c r="O3115" i="1"/>
  <c r="P3115" i="1"/>
  <c r="Q3115" i="1"/>
  <c r="O3116" i="1"/>
  <c r="P3116" i="1"/>
  <c r="Q3116" i="1"/>
  <c r="O3117" i="1"/>
  <c r="P3117" i="1"/>
  <c r="Q3117" i="1"/>
  <c r="O3118" i="1"/>
  <c r="P3118" i="1"/>
  <c r="Q3118" i="1"/>
  <c r="O3119" i="1"/>
  <c r="P3119" i="1"/>
  <c r="Q3119" i="1"/>
  <c r="O3120" i="1"/>
  <c r="P3120" i="1"/>
  <c r="Q3120" i="1"/>
  <c r="O3121" i="1"/>
  <c r="P3121" i="1"/>
  <c r="Q3121" i="1"/>
  <c r="O3122" i="1"/>
  <c r="P3122" i="1"/>
  <c r="Q3122" i="1"/>
  <c r="O3123" i="1"/>
  <c r="P3123" i="1"/>
  <c r="Q3123" i="1"/>
  <c r="O3124" i="1"/>
  <c r="P3124" i="1"/>
  <c r="Q3124" i="1"/>
  <c r="O3125" i="1"/>
  <c r="P3125" i="1"/>
  <c r="Q3125" i="1"/>
  <c r="O3126" i="1"/>
  <c r="P3126" i="1"/>
  <c r="Q3126" i="1"/>
  <c r="O3127" i="1"/>
  <c r="P3127" i="1"/>
  <c r="Q3127" i="1"/>
  <c r="O3128" i="1"/>
  <c r="P3128" i="1"/>
  <c r="Q3128" i="1"/>
  <c r="O3129" i="1"/>
  <c r="P3129" i="1"/>
  <c r="Q3129" i="1"/>
  <c r="O3130" i="1"/>
  <c r="P3130" i="1"/>
  <c r="Q3130" i="1"/>
  <c r="O3131" i="1"/>
  <c r="P3131" i="1"/>
  <c r="Q3131" i="1"/>
  <c r="O3132" i="1"/>
  <c r="P3132" i="1"/>
  <c r="Q3132" i="1"/>
  <c r="O3133" i="1"/>
  <c r="P3133" i="1"/>
  <c r="Q3133" i="1"/>
  <c r="O3134" i="1"/>
  <c r="P3134" i="1"/>
  <c r="Q3134" i="1"/>
  <c r="O3135" i="1"/>
  <c r="P3135" i="1"/>
  <c r="Q3135" i="1"/>
  <c r="O3136" i="1"/>
  <c r="P3136" i="1"/>
  <c r="Q3136" i="1"/>
  <c r="O3137" i="1"/>
  <c r="P3137" i="1"/>
  <c r="Q3137" i="1"/>
  <c r="O3138" i="1"/>
  <c r="P3138" i="1"/>
  <c r="Q3138" i="1"/>
  <c r="O3139" i="1"/>
  <c r="P3139" i="1"/>
  <c r="Q3139" i="1"/>
  <c r="O3140" i="1"/>
  <c r="P3140" i="1"/>
  <c r="Q3140" i="1"/>
  <c r="O3141" i="1"/>
  <c r="P3141" i="1"/>
  <c r="Q3141" i="1"/>
  <c r="O3142" i="1"/>
  <c r="P3142" i="1"/>
  <c r="Q3142" i="1"/>
  <c r="O3143" i="1"/>
  <c r="P3143" i="1"/>
  <c r="Q3143" i="1"/>
  <c r="O3144" i="1"/>
  <c r="P3144" i="1"/>
  <c r="Q3144" i="1"/>
  <c r="O3145" i="1"/>
  <c r="P3145" i="1"/>
  <c r="Q3145" i="1"/>
  <c r="O3146" i="1"/>
  <c r="P3146" i="1"/>
  <c r="Q3146" i="1"/>
  <c r="O3147" i="1"/>
  <c r="P3147" i="1"/>
  <c r="Q3147" i="1"/>
  <c r="O3148" i="1"/>
  <c r="P3148" i="1"/>
  <c r="Q3148" i="1"/>
  <c r="O3149" i="1"/>
  <c r="P3149" i="1"/>
  <c r="Q3149" i="1"/>
  <c r="O3150" i="1"/>
  <c r="P3150" i="1"/>
  <c r="Q3150" i="1"/>
  <c r="O3151" i="1"/>
  <c r="P3151" i="1"/>
  <c r="Q3151" i="1"/>
  <c r="O3152" i="1"/>
  <c r="P3152" i="1"/>
  <c r="Q3152" i="1"/>
  <c r="O3153" i="1"/>
  <c r="P3153" i="1"/>
  <c r="Q3153" i="1"/>
  <c r="O3154" i="1"/>
  <c r="P3154" i="1"/>
  <c r="Q3154" i="1"/>
  <c r="O3155" i="1"/>
  <c r="P3155" i="1"/>
  <c r="Q3155" i="1"/>
  <c r="O3156" i="1"/>
  <c r="P3156" i="1"/>
  <c r="Q3156" i="1"/>
  <c r="O3157" i="1"/>
  <c r="P3157" i="1"/>
  <c r="Q3157" i="1"/>
  <c r="O3158" i="1"/>
  <c r="P3158" i="1"/>
  <c r="Q3158" i="1"/>
  <c r="O3159" i="1"/>
  <c r="P3159" i="1"/>
  <c r="Q3159" i="1"/>
  <c r="O3160" i="1"/>
  <c r="P3160" i="1"/>
  <c r="Q3160" i="1"/>
  <c r="O3161" i="1"/>
  <c r="P3161" i="1"/>
  <c r="Q3161" i="1"/>
  <c r="O3162" i="1"/>
  <c r="P3162" i="1"/>
  <c r="Q3162" i="1"/>
  <c r="O3163" i="1"/>
  <c r="P3163" i="1"/>
  <c r="Q3163" i="1"/>
  <c r="O3164" i="1"/>
  <c r="P3164" i="1"/>
  <c r="Q3164" i="1"/>
  <c r="O3165" i="1"/>
  <c r="P3165" i="1"/>
  <c r="Q3165" i="1"/>
  <c r="O3166" i="1"/>
  <c r="P3166" i="1"/>
  <c r="Q3166" i="1"/>
  <c r="O3167" i="1"/>
  <c r="P3167" i="1"/>
  <c r="Q3167" i="1"/>
  <c r="O3168" i="1"/>
  <c r="P3168" i="1"/>
  <c r="Q3168" i="1"/>
  <c r="O3169" i="1"/>
  <c r="P3169" i="1"/>
  <c r="Q3169" i="1"/>
  <c r="O3170" i="1"/>
  <c r="P3170" i="1"/>
  <c r="Q3170" i="1"/>
  <c r="O3171" i="1"/>
  <c r="P3171" i="1"/>
  <c r="Q3171" i="1"/>
  <c r="O3172" i="1"/>
  <c r="P3172" i="1"/>
  <c r="Q3172" i="1"/>
  <c r="O3173" i="1"/>
  <c r="P3173" i="1"/>
  <c r="Q3173" i="1"/>
  <c r="O3174" i="1"/>
  <c r="P3174" i="1"/>
  <c r="Q3174" i="1"/>
  <c r="O3175" i="1"/>
  <c r="P3175" i="1"/>
  <c r="Q3175" i="1"/>
  <c r="O3176" i="1"/>
  <c r="P3176" i="1"/>
  <c r="Q3176" i="1"/>
  <c r="O3177" i="1"/>
  <c r="P3177" i="1"/>
  <c r="Q3177" i="1"/>
  <c r="O3178" i="1"/>
  <c r="P3178" i="1"/>
  <c r="Q3178" i="1"/>
  <c r="O3179" i="1"/>
  <c r="P3179" i="1"/>
  <c r="Q3179" i="1"/>
  <c r="O3180" i="1"/>
  <c r="P3180" i="1"/>
  <c r="Q3180" i="1"/>
  <c r="O3181" i="1"/>
  <c r="P3181" i="1"/>
  <c r="Q3181" i="1"/>
  <c r="O3182" i="1"/>
  <c r="P3182" i="1"/>
  <c r="Q3182" i="1"/>
  <c r="O3183" i="1"/>
  <c r="P3183" i="1"/>
  <c r="Q3183" i="1"/>
  <c r="O3184" i="1"/>
  <c r="P3184" i="1"/>
  <c r="Q3184" i="1"/>
  <c r="O3185" i="1"/>
  <c r="P3185" i="1"/>
  <c r="Q3185" i="1"/>
  <c r="O3186" i="1"/>
  <c r="P3186" i="1"/>
  <c r="Q3186" i="1"/>
  <c r="O3187" i="1"/>
  <c r="P3187" i="1"/>
  <c r="Q3187" i="1"/>
  <c r="O3188" i="1"/>
  <c r="P3188" i="1"/>
  <c r="Q3188" i="1"/>
  <c r="O3189" i="1"/>
  <c r="P3189" i="1"/>
  <c r="Q3189" i="1"/>
  <c r="O3190" i="1"/>
  <c r="P3190" i="1"/>
  <c r="Q3190" i="1"/>
  <c r="O3191" i="1"/>
  <c r="P3191" i="1"/>
  <c r="Q3191" i="1"/>
  <c r="O3192" i="1"/>
  <c r="P3192" i="1"/>
  <c r="Q3192" i="1"/>
  <c r="O3193" i="1"/>
  <c r="P3193" i="1"/>
  <c r="Q3193" i="1"/>
  <c r="O3194" i="1"/>
  <c r="P3194" i="1"/>
  <c r="Q3194" i="1"/>
  <c r="O3195" i="1"/>
  <c r="P3195" i="1"/>
  <c r="Q3195" i="1"/>
  <c r="O3196" i="1"/>
  <c r="P3196" i="1"/>
  <c r="Q3196" i="1"/>
  <c r="O3197" i="1"/>
  <c r="P3197" i="1"/>
  <c r="Q3197" i="1"/>
  <c r="O3198" i="1"/>
  <c r="P3198" i="1"/>
  <c r="Q3198" i="1"/>
  <c r="O3199" i="1"/>
  <c r="P3199" i="1"/>
  <c r="Q3199" i="1"/>
  <c r="O3200" i="1"/>
  <c r="P3200" i="1"/>
  <c r="Q3200" i="1"/>
  <c r="O3201" i="1"/>
  <c r="P3201" i="1"/>
  <c r="Q3201" i="1"/>
  <c r="O3202" i="1"/>
  <c r="P3202" i="1"/>
  <c r="Q3202" i="1"/>
  <c r="O3203" i="1"/>
  <c r="P3203" i="1"/>
  <c r="Q3203" i="1"/>
  <c r="O3204" i="1"/>
  <c r="P3204" i="1"/>
  <c r="Q3204" i="1"/>
  <c r="O3205" i="1"/>
  <c r="P3205" i="1"/>
  <c r="Q3205" i="1"/>
  <c r="O3206" i="1"/>
  <c r="P3206" i="1"/>
  <c r="Q3206" i="1"/>
  <c r="O3207" i="1"/>
  <c r="P3207" i="1"/>
  <c r="Q3207" i="1"/>
  <c r="O3208" i="1"/>
  <c r="P3208" i="1"/>
  <c r="Q3208" i="1"/>
  <c r="O3209" i="1"/>
  <c r="P3209" i="1"/>
  <c r="Q3209" i="1"/>
  <c r="O3210" i="1"/>
  <c r="P3210" i="1"/>
  <c r="Q3210" i="1"/>
  <c r="O3211" i="1"/>
  <c r="P3211" i="1"/>
  <c r="Q3211" i="1"/>
  <c r="O3212" i="1"/>
  <c r="P3212" i="1"/>
  <c r="Q3212" i="1"/>
  <c r="O3213" i="1"/>
  <c r="P3213" i="1"/>
  <c r="Q3213" i="1"/>
  <c r="O3214" i="1"/>
  <c r="P3214" i="1"/>
  <c r="Q3214" i="1"/>
  <c r="O3215" i="1"/>
  <c r="P3215" i="1"/>
  <c r="Q3215" i="1"/>
  <c r="O3216" i="1"/>
  <c r="P3216" i="1"/>
  <c r="Q3216" i="1"/>
  <c r="O3217" i="1"/>
  <c r="P3217" i="1"/>
  <c r="Q3217" i="1"/>
  <c r="O3218" i="1"/>
  <c r="P3218" i="1"/>
  <c r="Q3218" i="1"/>
  <c r="O3219" i="1"/>
  <c r="P3219" i="1"/>
  <c r="Q3219" i="1"/>
  <c r="O3220" i="1"/>
  <c r="P3220" i="1"/>
  <c r="Q3220" i="1"/>
  <c r="O3221" i="1"/>
  <c r="P3221" i="1"/>
  <c r="Q3221" i="1"/>
  <c r="O3222" i="1"/>
  <c r="P3222" i="1"/>
  <c r="Q3222" i="1"/>
  <c r="O3223" i="1"/>
  <c r="P3223" i="1"/>
  <c r="Q3223" i="1"/>
  <c r="O3224" i="1"/>
  <c r="P3224" i="1"/>
  <c r="Q3224" i="1"/>
  <c r="O3225" i="1"/>
  <c r="P3225" i="1"/>
  <c r="Q3225" i="1"/>
  <c r="O3226" i="1"/>
  <c r="P3226" i="1"/>
  <c r="Q3226" i="1"/>
  <c r="O3227" i="1"/>
  <c r="P3227" i="1"/>
  <c r="Q3227" i="1"/>
  <c r="O3228" i="1"/>
  <c r="P3228" i="1"/>
  <c r="Q3228" i="1"/>
  <c r="O3229" i="1"/>
  <c r="P3229" i="1"/>
  <c r="Q3229" i="1"/>
  <c r="O3230" i="1"/>
  <c r="P3230" i="1"/>
  <c r="Q3230" i="1"/>
  <c r="O3231" i="1"/>
  <c r="P3231" i="1"/>
  <c r="Q3231" i="1"/>
  <c r="O3232" i="1"/>
  <c r="P3232" i="1"/>
  <c r="Q3232" i="1"/>
  <c r="O3233" i="1"/>
  <c r="P3233" i="1"/>
  <c r="Q3233" i="1"/>
  <c r="O3234" i="1"/>
  <c r="P3234" i="1"/>
  <c r="Q3234" i="1"/>
  <c r="O3235" i="1"/>
  <c r="P3235" i="1"/>
  <c r="Q3235" i="1"/>
  <c r="O3236" i="1"/>
  <c r="P3236" i="1"/>
  <c r="Q3236" i="1"/>
  <c r="O3237" i="1"/>
  <c r="P3237" i="1"/>
  <c r="Q3237" i="1"/>
  <c r="O3238" i="1"/>
  <c r="P3238" i="1"/>
  <c r="Q3238" i="1"/>
  <c r="O3239" i="1"/>
  <c r="P3239" i="1"/>
  <c r="Q3239" i="1"/>
  <c r="O3240" i="1"/>
  <c r="P3240" i="1"/>
  <c r="Q3240" i="1"/>
  <c r="O3241" i="1"/>
  <c r="P3241" i="1"/>
  <c r="Q3241" i="1"/>
  <c r="O3242" i="1"/>
  <c r="P3242" i="1"/>
  <c r="Q3242" i="1"/>
  <c r="O3243" i="1"/>
  <c r="P3243" i="1"/>
  <c r="Q3243" i="1"/>
  <c r="O3244" i="1"/>
  <c r="P3244" i="1"/>
  <c r="Q3244" i="1"/>
  <c r="O3245" i="1"/>
  <c r="P3245" i="1"/>
  <c r="Q3245" i="1"/>
  <c r="O3246" i="1"/>
  <c r="P3246" i="1"/>
  <c r="Q3246" i="1"/>
  <c r="O3247" i="1"/>
  <c r="P3247" i="1"/>
  <c r="Q3247" i="1"/>
  <c r="O3248" i="1"/>
  <c r="P3248" i="1"/>
  <c r="Q3248" i="1"/>
  <c r="O3249" i="1"/>
  <c r="P3249" i="1"/>
  <c r="Q3249" i="1"/>
  <c r="O3250" i="1"/>
  <c r="P3250" i="1"/>
  <c r="Q3250" i="1"/>
  <c r="O3251" i="1"/>
  <c r="P3251" i="1"/>
  <c r="Q3251" i="1"/>
  <c r="O3252" i="1"/>
  <c r="P3252" i="1"/>
  <c r="Q3252" i="1"/>
  <c r="O3253" i="1"/>
  <c r="P3253" i="1"/>
  <c r="Q3253" i="1"/>
  <c r="O3254" i="1"/>
  <c r="P3254" i="1"/>
  <c r="Q3254" i="1"/>
  <c r="O3255" i="1"/>
  <c r="P3255" i="1"/>
  <c r="Q3255" i="1"/>
  <c r="O3256" i="1"/>
  <c r="P3256" i="1"/>
  <c r="Q3256" i="1"/>
  <c r="O3257" i="1"/>
  <c r="P3257" i="1"/>
  <c r="Q3257" i="1"/>
  <c r="O3258" i="1"/>
  <c r="P3258" i="1"/>
  <c r="Q3258" i="1"/>
  <c r="O3259" i="1"/>
  <c r="P3259" i="1"/>
  <c r="Q3259" i="1"/>
  <c r="O3260" i="1"/>
  <c r="P3260" i="1"/>
  <c r="Q3260" i="1"/>
  <c r="O3261" i="1"/>
  <c r="P3261" i="1"/>
  <c r="Q3261" i="1"/>
  <c r="O3262" i="1"/>
  <c r="P3262" i="1"/>
  <c r="Q3262" i="1"/>
  <c r="O3263" i="1"/>
  <c r="P3263" i="1"/>
  <c r="Q3263" i="1"/>
  <c r="O3264" i="1"/>
  <c r="P3264" i="1"/>
  <c r="Q3264" i="1"/>
  <c r="O3265" i="1"/>
  <c r="P3265" i="1"/>
  <c r="Q3265" i="1"/>
  <c r="O3266" i="1"/>
  <c r="P3266" i="1"/>
  <c r="Q3266" i="1"/>
  <c r="O3267" i="1"/>
  <c r="P3267" i="1"/>
  <c r="Q3267" i="1"/>
  <c r="O3268" i="1"/>
  <c r="P3268" i="1"/>
  <c r="Q3268" i="1"/>
  <c r="O3269" i="1"/>
  <c r="P3269" i="1"/>
  <c r="Q3269" i="1"/>
  <c r="O3270" i="1"/>
  <c r="P3270" i="1"/>
  <c r="Q3270" i="1"/>
  <c r="O3271" i="1"/>
  <c r="P3271" i="1"/>
  <c r="Q3271" i="1"/>
  <c r="O3272" i="1"/>
  <c r="P3272" i="1"/>
  <c r="Q3272" i="1"/>
  <c r="O3273" i="1"/>
  <c r="P3273" i="1"/>
  <c r="Q3273" i="1"/>
  <c r="O3274" i="1"/>
  <c r="P3274" i="1"/>
  <c r="Q3274" i="1"/>
  <c r="O3275" i="1"/>
  <c r="P3275" i="1"/>
  <c r="Q3275" i="1"/>
  <c r="O3276" i="1"/>
  <c r="P3276" i="1"/>
  <c r="Q3276" i="1"/>
  <c r="O3277" i="1"/>
  <c r="P3277" i="1"/>
  <c r="Q3277" i="1"/>
  <c r="O3278" i="1"/>
  <c r="P3278" i="1"/>
  <c r="Q3278" i="1"/>
  <c r="O3279" i="1"/>
  <c r="P3279" i="1"/>
  <c r="Q3279" i="1"/>
  <c r="O3280" i="1"/>
  <c r="P3280" i="1"/>
  <c r="Q3280" i="1"/>
  <c r="O3281" i="1"/>
  <c r="P3281" i="1"/>
  <c r="Q3281" i="1"/>
  <c r="O3282" i="1"/>
  <c r="P3282" i="1"/>
  <c r="Q3282" i="1"/>
  <c r="O3283" i="1"/>
  <c r="P3283" i="1"/>
  <c r="Q3283" i="1"/>
  <c r="O3284" i="1"/>
  <c r="P3284" i="1"/>
  <c r="Q3284" i="1"/>
  <c r="O3285" i="1"/>
  <c r="P3285" i="1"/>
  <c r="Q3285" i="1"/>
  <c r="O3286" i="1"/>
  <c r="P3286" i="1"/>
  <c r="Q3286" i="1"/>
  <c r="O3287" i="1"/>
  <c r="P3287" i="1"/>
  <c r="Q3287" i="1"/>
  <c r="O3288" i="1"/>
  <c r="P3288" i="1"/>
  <c r="Q3288" i="1"/>
  <c r="O3289" i="1"/>
  <c r="P3289" i="1"/>
  <c r="Q3289" i="1"/>
  <c r="O3290" i="1"/>
  <c r="P3290" i="1"/>
  <c r="Q3290" i="1"/>
  <c r="O3291" i="1"/>
  <c r="P3291" i="1"/>
  <c r="Q3291" i="1"/>
  <c r="O3292" i="1"/>
  <c r="P3292" i="1"/>
  <c r="Q3292" i="1"/>
  <c r="O3293" i="1"/>
  <c r="P3293" i="1"/>
  <c r="Q3293" i="1"/>
  <c r="O3294" i="1"/>
  <c r="P3294" i="1"/>
  <c r="Q3294" i="1"/>
  <c r="O3295" i="1"/>
  <c r="P3295" i="1"/>
  <c r="Q3295" i="1"/>
  <c r="O3296" i="1"/>
  <c r="P3296" i="1"/>
  <c r="Q3296" i="1"/>
  <c r="O3297" i="1"/>
  <c r="P3297" i="1"/>
  <c r="Q3297" i="1"/>
  <c r="O3298" i="1"/>
  <c r="P3298" i="1"/>
  <c r="Q3298" i="1"/>
  <c r="O3299" i="1"/>
  <c r="P3299" i="1"/>
  <c r="Q3299" i="1"/>
  <c r="O3300" i="1"/>
  <c r="P3300" i="1"/>
  <c r="Q3300" i="1"/>
  <c r="O3301" i="1"/>
  <c r="P3301" i="1"/>
  <c r="Q3301" i="1"/>
  <c r="O3302" i="1"/>
  <c r="P3302" i="1"/>
  <c r="Q3302" i="1"/>
  <c r="O3303" i="1"/>
  <c r="P3303" i="1"/>
  <c r="Q3303" i="1"/>
  <c r="O3304" i="1"/>
  <c r="P3304" i="1"/>
  <c r="Q3304" i="1"/>
  <c r="O3305" i="1"/>
  <c r="P3305" i="1"/>
  <c r="Q3305" i="1"/>
  <c r="O3306" i="1"/>
  <c r="P3306" i="1"/>
  <c r="Q3306" i="1"/>
  <c r="O3307" i="1"/>
  <c r="P3307" i="1"/>
  <c r="Q3307" i="1"/>
  <c r="O3308" i="1"/>
  <c r="P3308" i="1"/>
  <c r="Q3308" i="1"/>
  <c r="O3309" i="1"/>
  <c r="P3309" i="1"/>
  <c r="Q3309" i="1"/>
  <c r="O3310" i="1"/>
  <c r="P3310" i="1"/>
  <c r="Q3310" i="1"/>
  <c r="O3311" i="1"/>
  <c r="P3311" i="1"/>
  <c r="Q3311" i="1"/>
  <c r="O3312" i="1"/>
  <c r="P3312" i="1"/>
  <c r="Q3312" i="1"/>
  <c r="O3313" i="1"/>
  <c r="P3313" i="1"/>
  <c r="Q3313" i="1"/>
  <c r="O3314" i="1"/>
  <c r="P3314" i="1"/>
  <c r="Q3314" i="1"/>
  <c r="O3315" i="1"/>
  <c r="P3315" i="1"/>
  <c r="Q3315" i="1"/>
  <c r="O3316" i="1"/>
  <c r="P3316" i="1"/>
  <c r="Q3316" i="1"/>
  <c r="O3317" i="1"/>
  <c r="P3317" i="1"/>
  <c r="Q3317" i="1"/>
  <c r="O3318" i="1"/>
  <c r="P3318" i="1"/>
  <c r="Q3318" i="1"/>
  <c r="O3319" i="1"/>
  <c r="P3319" i="1"/>
  <c r="Q3319" i="1"/>
  <c r="O3320" i="1"/>
  <c r="P3320" i="1"/>
  <c r="Q3320" i="1"/>
  <c r="O3321" i="1"/>
  <c r="P3321" i="1"/>
  <c r="Q3321" i="1"/>
  <c r="O3322" i="1"/>
  <c r="P3322" i="1"/>
  <c r="Q3322" i="1"/>
  <c r="O3323" i="1"/>
  <c r="P3323" i="1"/>
  <c r="Q3323" i="1"/>
  <c r="O3324" i="1"/>
  <c r="P3324" i="1"/>
  <c r="Q3324" i="1"/>
  <c r="O3325" i="1"/>
  <c r="P3325" i="1"/>
  <c r="Q3325" i="1"/>
  <c r="O3326" i="1"/>
  <c r="P3326" i="1"/>
  <c r="Q3326" i="1"/>
  <c r="O3327" i="1"/>
  <c r="P3327" i="1"/>
  <c r="Q3327" i="1"/>
  <c r="O3328" i="1"/>
  <c r="P3328" i="1"/>
  <c r="Q3328" i="1"/>
  <c r="O3329" i="1"/>
  <c r="P3329" i="1"/>
  <c r="Q3329" i="1"/>
  <c r="O3330" i="1"/>
  <c r="P3330" i="1"/>
  <c r="Q3330" i="1"/>
  <c r="O3331" i="1"/>
  <c r="P3331" i="1"/>
  <c r="Q3331" i="1"/>
  <c r="O3332" i="1"/>
  <c r="P3332" i="1"/>
  <c r="Q3332" i="1"/>
  <c r="O3333" i="1"/>
  <c r="P3333" i="1"/>
  <c r="Q3333" i="1"/>
  <c r="O3334" i="1"/>
  <c r="P3334" i="1"/>
  <c r="Q3334" i="1"/>
  <c r="O3335" i="1"/>
  <c r="P3335" i="1"/>
  <c r="Q3335" i="1"/>
  <c r="O3336" i="1"/>
  <c r="P3336" i="1"/>
  <c r="Q3336" i="1"/>
  <c r="O3337" i="1"/>
  <c r="P3337" i="1"/>
  <c r="Q3337" i="1"/>
  <c r="O3338" i="1"/>
  <c r="P3338" i="1"/>
  <c r="Q3338" i="1"/>
  <c r="O3339" i="1"/>
  <c r="P3339" i="1"/>
  <c r="Q3339" i="1"/>
  <c r="O3340" i="1"/>
  <c r="P3340" i="1"/>
  <c r="Q3340" i="1"/>
  <c r="O3341" i="1"/>
  <c r="P3341" i="1"/>
  <c r="Q3341" i="1"/>
  <c r="O3342" i="1"/>
  <c r="P3342" i="1"/>
  <c r="Q3342" i="1"/>
  <c r="O3343" i="1"/>
  <c r="P3343" i="1"/>
  <c r="Q3343" i="1"/>
  <c r="O3344" i="1"/>
  <c r="P3344" i="1"/>
  <c r="Q3344" i="1"/>
  <c r="O3345" i="1"/>
  <c r="P3345" i="1"/>
  <c r="Q3345" i="1"/>
  <c r="O3346" i="1"/>
  <c r="P3346" i="1"/>
  <c r="Q3346" i="1"/>
  <c r="O3347" i="1"/>
  <c r="P3347" i="1"/>
  <c r="Q3347" i="1"/>
  <c r="O3348" i="1"/>
  <c r="P3348" i="1"/>
  <c r="Q3348" i="1"/>
  <c r="O3349" i="1"/>
  <c r="P3349" i="1"/>
  <c r="Q3349" i="1"/>
  <c r="O3350" i="1"/>
  <c r="P3350" i="1"/>
  <c r="Q3350" i="1"/>
  <c r="O3351" i="1"/>
  <c r="P3351" i="1"/>
  <c r="Q3351" i="1"/>
  <c r="O3352" i="1"/>
  <c r="P3352" i="1"/>
  <c r="Q3352" i="1"/>
  <c r="O3353" i="1"/>
  <c r="P3353" i="1"/>
  <c r="Q3353" i="1"/>
  <c r="O3354" i="1"/>
  <c r="P3354" i="1"/>
  <c r="Q3354" i="1"/>
  <c r="O3355" i="1"/>
  <c r="P3355" i="1"/>
  <c r="Q3355" i="1"/>
  <c r="O3356" i="1"/>
  <c r="P3356" i="1"/>
  <c r="Q3356" i="1"/>
  <c r="O3357" i="1"/>
  <c r="P3357" i="1"/>
  <c r="Q3357" i="1"/>
  <c r="O3358" i="1"/>
  <c r="P3358" i="1"/>
  <c r="Q3358" i="1"/>
  <c r="O3359" i="1"/>
  <c r="P3359" i="1"/>
  <c r="Q3359" i="1"/>
  <c r="O3360" i="1"/>
  <c r="P3360" i="1"/>
  <c r="Q3360" i="1"/>
  <c r="O3361" i="1"/>
  <c r="P3361" i="1"/>
  <c r="Q3361" i="1"/>
  <c r="O3362" i="1"/>
  <c r="P3362" i="1"/>
  <c r="Q3362" i="1"/>
  <c r="O3363" i="1"/>
  <c r="P3363" i="1"/>
  <c r="Q3363" i="1"/>
  <c r="O3364" i="1"/>
  <c r="P3364" i="1"/>
  <c r="Q3364" i="1"/>
  <c r="O3365" i="1"/>
  <c r="P3365" i="1"/>
  <c r="Q3365" i="1"/>
  <c r="O3366" i="1"/>
  <c r="P3366" i="1"/>
  <c r="Q3366" i="1"/>
  <c r="O3367" i="1"/>
  <c r="P3367" i="1"/>
  <c r="Q3367" i="1"/>
  <c r="O3368" i="1"/>
  <c r="P3368" i="1"/>
  <c r="Q3368" i="1"/>
  <c r="O3369" i="1"/>
  <c r="P3369" i="1"/>
  <c r="Q3369" i="1"/>
  <c r="O3370" i="1"/>
  <c r="P3370" i="1"/>
  <c r="Q3370" i="1"/>
  <c r="O3371" i="1"/>
  <c r="P3371" i="1"/>
  <c r="Q3371" i="1"/>
  <c r="O3372" i="1"/>
  <c r="P3372" i="1"/>
  <c r="Q3372" i="1"/>
  <c r="O3373" i="1"/>
  <c r="P3373" i="1"/>
  <c r="Q3373" i="1"/>
  <c r="O3374" i="1"/>
  <c r="P3374" i="1"/>
  <c r="Q3374" i="1"/>
  <c r="O3375" i="1"/>
  <c r="P3375" i="1"/>
  <c r="Q3375" i="1"/>
  <c r="O3376" i="1"/>
  <c r="P3376" i="1"/>
  <c r="Q3376" i="1"/>
  <c r="O3377" i="1"/>
  <c r="P3377" i="1"/>
  <c r="Q3377" i="1"/>
  <c r="O3378" i="1"/>
  <c r="P3378" i="1"/>
  <c r="Q3378" i="1"/>
  <c r="O3379" i="1"/>
  <c r="P3379" i="1"/>
  <c r="Q3379" i="1"/>
  <c r="O3380" i="1"/>
  <c r="P3380" i="1"/>
  <c r="Q3380" i="1"/>
  <c r="O3381" i="1"/>
  <c r="P3381" i="1"/>
  <c r="Q3381" i="1"/>
  <c r="O3382" i="1"/>
  <c r="P3382" i="1"/>
  <c r="Q3382" i="1"/>
  <c r="O3383" i="1"/>
  <c r="P3383" i="1"/>
  <c r="Q3383" i="1"/>
  <c r="O3384" i="1"/>
  <c r="P3384" i="1"/>
  <c r="Q3384" i="1"/>
  <c r="O3385" i="1"/>
  <c r="P3385" i="1"/>
  <c r="Q3385" i="1"/>
  <c r="O3386" i="1"/>
  <c r="P3386" i="1"/>
  <c r="Q3386" i="1"/>
  <c r="O3387" i="1"/>
  <c r="P3387" i="1"/>
  <c r="Q3387" i="1"/>
  <c r="O3388" i="1"/>
  <c r="P3388" i="1"/>
  <c r="Q3388" i="1"/>
  <c r="O3389" i="1"/>
  <c r="P3389" i="1"/>
  <c r="Q3389" i="1"/>
  <c r="O3390" i="1"/>
  <c r="P3390" i="1"/>
  <c r="Q3390" i="1"/>
  <c r="O3391" i="1"/>
  <c r="P3391" i="1"/>
  <c r="Q3391" i="1"/>
  <c r="O3392" i="1"/>
  <c r="P3392" i="1"/>
  <c r="Q3392" i="1"/>
  <c r="O3393" i="1"/>
  <c r="P3393" i="1"/>
  <c r="Q3393" i="1"/>
  <c r="O3394" i="1"/>
  <c r="P3394" i="1"/>
  <c r="Q3394" i="1"/>
  <c r="O3395" i="1"/>
  <c r="P3395" i="1"/>
  <c r="Q3395" i="1"/>
  <c r="O3396" i="1"/>
  <c r="P3396" i="1"/>
  <c r="Q3396" i="1"/>
  <c r="O3397" i="1"/>
  <c r="P3397" i="1"/>
  <c r="Q3397" i="1"/>
  <c r="O3398" i="1"/>
  <c r="P3398" i="1"/>
  <c r="Q3398" i="1"/>
  <c r="O3399" i="1"/>
  <c r="P3399" i="1"/>
  <c r="Q3399" i="1"/>
  <c r="O3400" i="1"/>
  <c r="P3400" i="1"/>
  <c r="Q3400" i="1"/>
  <c r="O3401" i="1"/>
  <c r="P3401" i="1"/>
  <c r="Q3401" i="1"/>
  <c r="O3402" i="1"/>
  <c r="P3402" i="1"/>
  <c r="Q3402" i="1"/>
  <c r="O3403" i="1"/>
  <c r="P3403" i="1"/>
  <c r="Q3403" i="1"/>
  <c r="O3404" i="1"/>
  <c r="P3404" i="1"/>
  <c r="Q3404" i="1"/>
  <c r="O3405" i="1"/>
  <c r="P3405" i="1"/>
  <c r="Q3405" i="1"/>
  <c r="O3406" i="1"/>
  <c r="P3406" i="1"/>
  <c r="Q3406" i="1"/>
  <c r="O3407" i="1"/>
  <c r="P3407" i="1"/>
  <c r="Q3407" i="1"/>
  <c r="O3408" i="1"/>
  <c r="P3408" i="1"/>
  <c r="Q3408" i="1"/>
  <c r="O3409" i="1"/>
  <c r="P3409" i="1"/>
  <c r="Q3409" i="1"/>
  <c r="O3410" i="1"/>
  <c r="P3410" i="1"/>
  <c r="Q3410" i="1"/>
  <c r="O3411" i="1"/>
  <c r="P3411" i="1"/>
  <c r="Q3411" i="1"/>
  <c r="O3412" i="1"/>
  <c r="P3412" i="1"/>
  <c r="Q3412" i="1"/>
  <c r="O3413" i="1"/>
  <c r="P3413" i="1"/>
  <c r="Q3413" i="1"/>
  <c r="O3414" i="1"/>
  <c r="P3414" i="1"/>
  <c r="Q3414" i="1"/>
  <c r="O3415" i="1"/>
  <c r="P3415" i="1"/>
  <c r="Q3415" i="1"/>
  <c r="O3416" i="1"/>
  <c r="P3416" i="1"/>
  <c r="Q3416" i="1"/>
  <c r="O3417" i="1"/>
  <c r="P3417" i="1"/>
  <c r="Q3417" i="1"/>
  <c r="O3418" i="1"/>
  <c r="P3418" i="1"/>
  <c r="Q3418" i="1"/>
  <c r="O3419" i="1"/>
  <c r="P3419" i="1"/>
  <c r="Q3419" i="1"/>
  <c r="O3420" i="1"/>
  <c r="P3420" i="1"/>
  <c r="Q3420" i="1"/>
  <c r="O3421" i="1"/>
  <c r="P3421" i="1"/>
  <c r="Q3421" i="1"/>
  <c r="O3422" i="1"/>
  <c r="P3422" i="1"/>
  <c r="Q3422" i="1"/>
  <c r="O3423" i="1"/>
  <c r="P3423" i="1"/>
  <c r="Q3423" i="1"/>
  <c r="O3424" i="1"/>
  <c r="P3424" i="1"/>
  <c r="Q3424" i="1"/>
  <c r="O3425" i="1"/>
  <c r="P3425" i="1"/>
  <c r="Q3425" i="1"/>
  <c r="O3426" i="1"/>
  <c r="P3426" i="1"/>
  <c r="Q3426" i="1"/>
  <c r="O3427" i="1"/>
  <c r="P3427" i="1"/>
  <c r="Q3427" i="1"/>
  <c r="O3428" i="1"/>
  <c r="P3428" i="1"/>
  <c r="Q3428" i="1"/>
  <c r="O3429" i="1"/>
  <c r="P3429" i="1"/>
  <c r="Q3429" i="1"/>
  <c r="O3430" i="1"/>
  <c r="P3430" i="1"/>
  <c r="Q3430" i="1"/>
  <c r="O3431" i="1"/>
  <c r="P3431" i="1"/>
  <c r="Q3431" i="1"/>
  <c r="O3432" i="1"/>
  <c r="P3432" i="1"/>
  <c r="Q3432" i="1"/>
  <c r="O3433" i="1"/>
  <c r="P3433" i="1"/>
  <c r="Q3433" i="1"/>
  <c r="O3434" i="1"/>
  <c r="P3434" i="1"/>
  <c r="Q3434" i="1"/>
  <c r="O3435" i="1"/>
  <c r="P3435" i="1"/>
  <c r="Q3435" i="1"/>
  <c r="O3436" i="1"/>
  <c r="P3436" i="1"/>
  <c r="Q3436" i="1"/>
  <c r="O3437" i="1"/>
  <c r="P3437" i="1"/>
  <c r="Q3437" i="1"/>
  <c r="O3438" i="1"/>
  <c r="P3438" i="1"/>
  <c r="Q3438" i="1"/>
  <c r="O3439" i="1"/>
  <c r="P3439" i="1"/>
  <c r="Q3439" i="1"/>
  <c r="O3440" i="1"/>
  <c r="P3440" i="1"/>
  <c r="Q3440" i="1"/>
  <c r="O3441" i="1"/>
  <c r="P3441" i="1"/>
  <c r="Q3441" i="1"/>
  <c r="O3442" i="1"/>
  <c r="P3442" i="1"/>
  <c r="Q3442" i="1"/>
  <c r="O3443" i="1"/>
  <c r="P3443" i="1"/>
  <c r="Q3443" i="1"/>
  <c r="O3444" i="1"/>
  <c r="P3444" i="1"/>
  <c r="Q3444" i="1"/>
  <c r="O3445" i="1"/>
  <c r="P3445" i="1"/>
  <c r="Q3445" i="1"/>
  <c r="O3446" i="1"/>
  <c r="P3446" i="1"/>
  <c r="Q3446" i="1"/>
  <c r="O3447" i="1"/>
  <c r="P3447" i="1"/>
  <c r="Q3447" i="1"/>
  <c r="O3448" i="1"/>
  <c r="P3448" i="1"/>
  <c r="Q3448" i="1"/>
  <c r="O3449" i="1"/>
  <c r="P3449" i="1"/>
  <c r="Q3449" i="1"/>
  <c r="O3450" i="1"/>
  <c r="P3450" i="1"/>
  <c r="Q3450" i="1"/>
  <c r="O3451" i="1"/>
  <c r="P3451" i="1"/>
  <c r="Q3451" i="1"/>
  <c r="O3452" i="1"/>
  <c r="P3452" i="1"/>
  <c r="Q3452" i="1"/>
  <c r="O3453" i="1"/>
  <c r="P3453" i="1"/>
  <c r="Q3453" i="1"/>
  <c r="O3454" i="1"/>
  <c r="P3454" i="1"/>
  <c r="Q3454" i="1"/>
  <c r="O3455" i="1"/>
  <c r="P3455" i="1"/>
  <c r="Q3455" i="1"/>
  <c r="O3456" i="1"/>
  <c r="P3456" i="1"/>
  <c r="Q3456" i="1"/>
  <c r="O3457" i="1"/>
  <c r="P3457" i="1"/>
  <c r="Q3457" i="1"/>
  <c r="O3458" i="1"/>
  <c r="P3458" i="1"/>
  <c r="Q3458" i="1"/>
  <c r="O3459" i="1"/>
  <c r="P3459" i="1"/>
  <c r="Q3459" i="1"/>
  <c r="O3460" i="1"/>
  <c r="P3460" i="1"/>
  <c r="Q3460" i="1"/>
  <c r="O3461" i="1"/>
  <c r="P3461" i="1"/>
  <c r="Q3461" i="1"/>
  <c r="O3462" i="1"/>
  <c r="P3462" i="1"/>
  <c r="Q3462" i="1"/>
  <c r="O3463" i="1"/>
  <c r="P3463" i="1"/>
  <c r="Q3463" i="1"/>
  <c r="O3464" i="1"/>
  <c r="P3464" i="1"/>
  <c r="Q3464" i="1"/>
  <c r="O3465" i="1"/>
  <c r="P3465" i="1"/>
  <c r="Q3465" i="1"/>
  <c r="O3466" i="1"/>
  <c r="P3466" i="1"/>
  <c r="Q3466" i="1"/>
  <c r="O3467" i="1"/>
  <c r="P3467" i="1"/>
  <c r="Q3467" i="1"/>
  <c r="O3468" i="1"/>
  <c r="P3468" i="1"/>
  <c r="Q3468" i="1"/>
  <c r="O3469" i="1"/>
  <c r="P3469" i="1"/>
  <c r="Q3469" i="1"/>
  <c r="O3470" i="1"/>
  <c r="P3470" i="1"/>
  <c r="Q3470" i="1"/>
  <c r="O3471" i="1"/>
  <c r="P3471" i="1"/>
  <c r="Q3471" i="1"/>
  <c r="O3472" i="1"/>
  <c r="P3472" i="1"/>
  <c r="Q3472" i="1"/>
  <c r="O3473" i="1"/>
  <c r="P3473" i="1"/>
  <c r="Q3473" i="1"/>
  <c r="O3474" i="1"/>
  <c r="P3474" i="1"/>
  <c r="Q3474" i="1"/>
  <c r="O3475" i="1"/>
  <c r="P3475" i="1"/>
  <c r="Q3475" i="1"/>
  <c r="O3476" i="1"/>
  <c r="P3476" i="1"/>
  <c r="Q3476" i="1"/>
  <c r="O3477" i="1"/>
  <c r="P3477" i="1"/>
  <c r="Q3477" i="1"/>
  <c r="O3478" i="1"/>
  <c r="P3478" i="1"/>
  <c r="Q3478" i="1"/>
  <c r="O3479" i="1"/>
  <c r="P3479" i="1"/>
  <c r="Q3479" i="1"/>
  <c r="O3480" i="1"/>
  <c r="P3480" i="1"/>
  <c r="Q3480" i="1"/>
  <c r="O3481" i="1"/>
  <c r="P3481" i="1"/>
  <c r="Q3481" i="1"/>
  <c r="O3482" i="1"/>
  <c r="P3482" i="1"/>
  <c r="Q3482" i="1"/>
  <c r="O3483" i="1"/>
  <c r="P3483" i="1"/>
  <c r="Q3483" i="1"/>
  <c r="O3484" i="1"/>
  <c r="P3484" i="1"/>
  <c r="Q3484" i="1"/>
  <c r="O3485" i="1"/>
  <c r="P3485" i="1"/>
  <c r="Q3485" i="1"/>
  <c r="O3486" i="1"/>
  <c r="P3486" i="1"/>
  <c r="Q3486" i="1"/>
  <c r="O3487" i="1"/>
  <c r="P3487" i="1"/>
  <c r="Q3487" i="1"/>
  <c r="O3488" i="1"/>
  <c r="P3488" i="1"/>
  <c r="Q3488" i="1"/>
  <c r="O3489" i="1"/>
  <c r="P3489" i="1"/>
  <c r="Q3489" i="1"/>
  <c r="O3490" i="1"/>
  <c r="P3490" i="1"/>
  <c r="Q3490" i="1"/>
  <c r="O3491" i="1"/>
  <c r="P3491" i="1"/>
  <c r="Q3491" i="1"/>
  <c r="O3492" i="1"/>
  <c r="P3492" i="1"/>
  <c r="Q3492" i="1"/>
  <c r="O3493" i="1"/>
  <c r="P3493" i="1"/>
  <c r="Q3493" i="1"/>
  <c r="O3494" i="1"/>
  <c r="P3494" i="1"/>
  <c r="Q3494" i="1"/>
  <c r="O3495" i="1"/>
  <c r="P3495" i="1"/>
  <c r="Q3495" i="1"/>
  <c r="O3496" i="1"/>
  <c r="P3496" i="1"/>
  <c r="Q3496" i="1"/>
  <c r="O3497" i="1"/>
  <c r="P3497" i="1"/>
  <c r="Q3497" i="1"/>
  <c r="O3498" i="1"/>
  <c r="P3498" i="1"/>
  <c r="Q3498" i="1"/>
  <c r="O3499" i="1"/>
  <c r="P3499" i="1"/>
  <c r="Q3499" i="1"/>
  <c r="O3500" i="1"/>
  <c r="P3500" i="1"/>
  <c r="Q3500" i="1"/>
  <c r="O3501" i="1"/>
  <c r="P3501" i="1"/>
  <c r="Q3501" i="1"/>
  <c r="O3502" i="1"/>
  <c r="P3502" i="1"/>
  <c r="Q3502" i="1"/>
  <c r="O3503" i="1"/>
  <c r="P3503" i="1"/>
  <c r="Q3503" i="1"/>
  <c r="O3504" i="1"/>
  <c r="P3504" i="1"/>
  <c r="Q3504" i="1"/>
  <c r="O3505" i="1"/>
  <c r="P3505" i="1"/>
  <c r="Q3505" i="1"/>
  <c r="O3506" i="1"/>
  <c r="P3506" i="1"/>
  <c r="Q3506" i="1"/>
  <c r="O3507" i="1"/>
  <c r="P3507" i="1"/>
  <c r="Q3507" i="1"/>
  <c r="O3508" i="1"/>
  <c r="P3508" i="1"/>
  <c r="Q3508" i="1"/>
  <c r="O3509" i="1"/>
  <c r="P3509" i="1"/>
  <c r="Q3509" i="1"/>
  <c r="O3510" i="1"/>
  <c r="P3510" i="1"/>
  <c r="Q3510" i="1"/>
  <c r="O3511" i="1"/>
  <c r="P3511" i="1"/>
  <c r="Q3511" i="1"/>
  <c r="O3512" i="1"/>
  <c r="P3512" i="1"/>
  <c r="Q3512" i="1"/>
  <c r="O3513" i="1"/>
  <c r="P3513" i="1"/>
  <c r="Q3513" i="1"/>
  <c r="O3514" i="1"/>
  <c r="P3514" i="1"/>
  <c r="Q3514" i="1"/>
  <c r="O3515" i="1"/>
  <c r="P3515" i="1"/>
  <c r="Q3515" i="1"/>
  <c r="O3516" i="1"/>
  <c r="P3516" i="1"/>
  <c r="Q3516" i="1"/>
  <c r="O3517" i="1"/>
  <c r="P3517" i="1"/>
  <c r="Q3517" i="1"/>
  <c r="O3518" i="1"/>
  <c r="P3518" i="1"/>
  <c r="Q3518" i="1"/>
  <c r="O3519" i="1"/>
  <c r="P3519" i="1"/>
  <c r="Q3519" i="1"/>
  <c r="O3520" i="1"/>
  <c r="P3520" i="1"/>
  <c r="Q3520" i="1"/>
  <c r="O3521" i="1"/>
  <c r="P3521" i="1"/>
  <c r="Q3521" i="1"/>
  <c r="O3522" i="1"/>
  <c r="P3522" i="1"/>
  <c r="Q3522" i="1"/>
  <c r="O3523" i="1"/>
  <c r="P3523" i="1"/>
  <c r="Q3523" i="1"/>
  <c r="O3524" i="1"/>
  <c r="P3524" i="1"/>
  <c r="Q3524" i="1"/>
  <c r="O3525" i="1"/>
  <c r="P3525" i="1"/>
  <c r="Q3525" i="1"/>
  <c r="O3526" i="1"/>
  <c r="P3526" i="1"/>
  <c r="Q3526" i="1"/>
  <c r="O3527" i="1"/>
  <c r="P3527" i="1"/>
  <c r="Q3527" i="1"/>
  <c r="O3528" i="1"/>
  <c r="P3528" i="1"/>
  <c r="Q3528" i="1"/>
  <c r="O3529" i="1"/>
  <c r="P3529" i="1"/>
  <c r="Q3529" i="1"/>
  <c r="O3530" i="1"/>
  <c r="P3530" i="1"/>
  <c r="Q3530" i="1"/>
  <c r="O3531" i="1"/>
  <c r="P3531" i="1"/>
  <c r="Q3531" i="1"/>
  <c r="O3532" i="1"/>
  <c r="P3532" i="1"/>
  <c r="Q3532" i="1"/>
  <c r="O3533" i="1"/>
  <c r="P3533" i="1"/>
  <c r="Q3533" i="1"/>
  <c r="O3534" i="1"/>
  <c r="P3534" i="1"/>
  <c r="Q3534" i="1"/>
  <c r="O3535" i="1"/>
  <c r="P3535" i="1"/>
  <c r="Q3535" i="1"/>
  <c r="O3536" i="1"/>
  <c r="P3536" i="1"/>
  <c r="Q3536" i="1"/>
  <c r="O3537" i="1"/>
  <c r="P3537" i="1"/>
  <c r="Q3537" i="1"/>
  <c r="O3538" i="1"/>
  <c r="P3538" i="1"/>
  <c r="Q3538" i="1"/>
  <c r="O3539" i="1"/>
  <c r="P3539" i="1"/>
  <c r="Q3539" i="1"/>
  <c r="O3540" i="1"/>
  <c r="P3540" i="1"/>
  <c r="Q3540" i="1"/>
  <c r="O3541" i="1"/>
  <c r="P3541" i="1"/>
  <c r="Q3541" i="1"/>
  <c r="O3542" i="1"/>
  <c r="P3542" i="1"/>
  <c r="Q3542" i="1"/>
  <c r="O3543" i="1"/>
  <c r="P3543" i="1"/>
  <c r="Q3543" i="1"/>
  <c r="O3544" i="1"/>
  <c r="P3544" i="1"/>
  <c r="Q3544" i="1"/>
  <c r="O3545" i="1"/>
  <c r="P3545" i="1"/>
  <c r="Q3545" i="1"/>
  <c r="O3546" i="1"/>
  <c r="P3546" i="1"/>
  <c r="Q3546" i="1"/>
  <c r="O3547" i="1"/>
  <c r="P3547" i="1"/>
  <c r="Q3547" i="1"/>
  <c r="O3548" i="1"/>
  <c r="P3548" i="1"/>
  <c r="Q3548" i="1"/>
  <c r="O3549" i="1"/>
  <c r="P3549" i="1"/>
  <c r="Q3549" i="1"/>
  <c r="O3550" i="1"/>
  <c r="P3550" i="1"/>
  <c r="Q3550" i="1"/>
  <c r="O3551" i="1"/>
  <c r="P3551" i="1"/>
  <c r="Q3551" i="1"/>
  <c r="O3552" i="1"/>
  <c r="P3552" i="1"/>
  <c r="Q3552" i="1"/>
  <c r="O3553" i="1"/>
  <c r="P3553" i="1"/>
  <c r="Q3553" i="1"/>
  <c r="O3554" i="1"/>
  <c r="P3554" i="1"/>
  <c r="Q3554" i="1"/>
  <c r="O3555" i="1"/>
  <c r="P3555" i="1"/>
  <c r="Q3555" i="1"/>
  <c r="O3556" i="1"/>
  <c r="P3556" i="1"/>
  <c r="Q3556" i="1"/>
  <c r="O3557" i="1"/>
  <c r="P3557" i="1"/>
  <c r="Q3557" i="1"/>
  <c r="O3558" i="1"/>
  <c r="P3558" i="1"/>
  <c r="Q3558" i="1"/>
  <c r="O3559" i="1"/>
  <c r="P3559" i="1"/>
  <c r="Q3559" i="1"/>
  <c r="O3560" i="1"/>
  <c r="P3560" i="1"/>
  <c r="Q3560" i="1"/>
  <c r="O3561" i="1"/>
  <c r="P3561" i="1"/>
  <c r="Q3561" i="1"/>
  <c r="O3562" i="1"/>
  <c r="P3562" i="1"/>
  <c r="Q3562" i="1"/>
  <c r="O3563" i="1"/>
  <c r="P3563" i="1"/>
  <c r="Q3563" i="1"/>
  <c r="O3564" i="1"/>
  <c r="P3564" i="1"/>
  <c r="Q3564" i="1"/>
  <c r="O3565" i="1"/>
  <c r="P3565" i="1"/>
  <c r="Q3565" i="1"/>
  <c r="O3566" i="1"/>
  <c r="P3566" i="1"/>
  <c r="Q3566" i="1"/>
  <c r="O3567" i="1"/>
  <c r="P3567" i="1"/>
  <c r="Q3567" i="1"/>
  <c r="O3568" i="1"/>
  <c r="P3568" i="1"/>
  <c r="Q3568" i="1"/>
  <c r="O3569" i="1"/>
  <c r="P3569" i="1"/>
  <c r="Q3569" i="1"/>
  <c r="O3570" i="1"/>
  <c r="P3570" i="1"/>
  <c r="Q3570" i="1"/>
  <c r="O3571" i="1"/>
  <c r="P3571" i="1"/>
  <c r="Q3571" i="1"/>
  <c r="O3572" i="1"/>
  <c r="P3572" i="1"/>
  <c r="Q3572" i="1"/>
  <c r="O3573" i="1"/>
  <c r="P3573" i="1"/>
  <c r="Q3573" i="1"/>
  <c r="O3574" i="1"/>
  <c r="P3574" i="1"/>
  <c r="Q3574" i="1"/>
  <c r="O3575" i="1"/>
  <c r="P3575" i="1"/>
  <c r="Q3575" i="1"/>
  <c r="O3576" i="1"/>
  <c r="P3576" i="1"/>
  <c r="Q3576" i="1"/>
  <c r="O3577" i="1"/>
  <c r="P3577" i="1"/>
  <c r="Q3577" i="1"/>
  <c r="O3578" i="1"/>
  <c r="P3578" i="1"/>
  <c r="Q3578" i="1"/>
  <c r="O3579" i="1"/>
  <c r="P3579" i="1"/>
  <c r="Q3579" i="1"/>
  <c r="O3580" i="1"/>
  <c r="P3580" i="1"/>
  <c r="Q3580" i="1"/>
  <c r="O3581" i="1"/>
  <c r="P3581" i="1"/>
  <c r="Q3581" i="1"/>
  <c r="O3582" i="1"/>
  <c r="P3582" i="1"/>
  <c r="Q3582" i="1"/>
  <c r="O3583" i="1"/>
  <c r="P3583" i="1"/>
  <c r="Q3583" i="1"/>
  <c r="O3584" i="1"/>
  <c r="P3584" i="1"/>
  <c r="Q3584" i="1"/>
  <c r="O3585" i="1"/>
  <c r="P3585" i="1"/>
  <c r="Q3585" i="1"/>
  <c r="O3586" i="1"/>
  <c r="P3586" i="1"/>
  <c r="Q3586" i="1"/>
  <c r="O3587" i="1"/>
  <c r="P3587" i="1"/>
  <c r="Q3587" i="1"/>
  <c r="O3588" i="1"/>
  <c r="P3588" i="1"/>
  <c r="Q3588" i="1"/>
  <c r="O3589" i="1"/>
  <c r="P3589" i="1"/>
  <c r="Q3589" i="1"/>
  <c r="O3590" i="1"/>
  <c r="P3590" i="1"/>
  <c r="Q3590" i="1"/>
  <c r="O3591" i="1"/>
  <c r="P3591" i="1"/>
  <c r="Q3591" i="1"/>
  <c r="O3592" i="1"/>
  <c r="P3592" i="1"/>
  <c r="Q3592" i="1"/>
  <c r="O3593" i="1"/>
  <c r="P3593" i="1"/>
  <c r="Q3593" i="1"/>
  <c r="O3594" i="1"/>
  <c r="P3594" i="1"/>
  <c r="Q3594" i="1"/>
  <c r="O3595" i="1"/>
  <c r="P3595" i="1"/>
  <c r="Q3595" i="1"/>
  <c r="O3596" i="1"/>
  <c r="P3596" i="1"/>
  <c r="Q3596" i="1"/>
  <c r="O3597" i="1"/>
  <c r="P3597" i="1"/>
  <c r="Q3597" i="1"/>
  <c r="O3598" i="1"/>
  <c r="P3598" i="1"/>
  <c r="Q3598" i="1"/>
  <c r="O3599" i="1"/>
  <c r="P3599" i="1"/>
  <c r="Q3599" i="1"/>
  <c r="O3600" i="1"/>
  <c r="P3600" i="1"/>
  <c r="Q3600" i="1"/>
  <c r="O3601" i="1"/>
  <c r="P3601" i="1"/>
  <c r="Q3601" i="1"/>
  <c r="O3602" i="1"/>
  <c r="P3602" i="1"/>
  <c r="Q3602" i="1"/>
  <c r="O3603" i="1"/>
  <c r="P3603" i="1"/>
  <c r="Q3603" i="1"/>
  <c r="O3604" i="1"/>
  <c r="P3604" i="1"/>
  <c r="Q3604" i="1"/>
  <c r="O3605" i="1"/>
  <c r="P3605" i="1"/>
  <c r="Q3605" i="1"/>
  <c r="O3606" i="1"/>
  <c r="P3606" i="1"/>
  <c r="Q3606" i="1"/>
  <c r="O3607" i="1"/>
  <c r="P3607" i="1"/>
  <c r="Q3607" i="1"/>
  <c r="O3608" i="1"/>
  <c r="P3608" i="1"/>
  <c r="Q3608" i="1"/>
  <c r="O3609" i="1"/>
  <c r="P3609" i="1"/>
  <c r="Q3609" i="1"/>
  <c r="O3610" i="1"/>
  <c r="P3610" i="1"/>
  <c r="Q3610" i="1"/>
  <c r="O3611" i="1"/>
  <c r="P3611" i="1"/>
  <c r="Q3611" i="1"/>
  <c r="O3612" i="1"/>
  <c r="P3612" i="1"/>
  <c r="Q3612" i="1"/>
  <c r="O3613" i="1"/>
  <c r="P3613" i="1"/>
  <c r="Q3613" i="1"/>
  <c r="O3614" i="1"/>
  <c r="P3614" i="1"/>
  <c r="Q3614" i="1"/>
  <c r="O3615" i="1"/>
  <c r="P3615" i="1"/>
  <c r="Q3615" i="1"/>
  <c r="O3616" i="1"/>
  <c r="P3616" i="1"/>
  <c r="Q3616" i="1"/>
  <c r="O3617" i="1"/>
  <c r="P3617" i="1"/>
  <c r="Q3617" i="1"/>
  <c r="O3618" i="1"/>
  <c r="P3618" i="1"/>
  <c r="Q3618" i="1"/>
  <c r="O3619" i="1"/>
  <c r="P3619" i="1"/>
  <c r="Q3619" i="1"/>
  <c r="O3620" i="1"/>
  <c r="P3620" i="1"/>
  <c r="Q3620" i="1"/>
  <c r="O3621" i="1"/>
  <c r="P3621" i="1"/>
  <c r="Q3621" i="1"/>
  <c r="O3622" i="1"/>
  <c r="P3622" i="1"/>
  <c r="Q3622" i="1"/>
  <c r="O3623" i="1"/>
  <c r="P3623" i="1"/>
  <c r="Q3623" i="1"/>
  <c r="O3624" i="1"/>
  <c r="P3624" i="1"/>
  <c r="Q3624" i="1"/>
  <c r="O3625" i="1"/>
  <c r="P3625" i="1"/>
  <c r="Q3625" i="1"/>
  <c r="O3626" i="1"/>
  <c r="P3626" i="1"/>
  <c r="Q3626" i="1"/>
  <c r="O3627" i="1"/>
  <c r="P3627" i="1"/>
  <c r="Q3627" i="1"/>
  <c r="O3628" i="1"/>
  <c r="P3628" i="1"/>
  <c r="Q3628" i="1"/>
  <c r="O3629" i="1"/>
  <c r="P3629" i="1"/>
  <c r="Q3629" i="1"/>
  <c r="O3630" i="1"/>
  <c r="P3630" i="1"/>
  <c r="Q3630" i="1"/>
  <c r="O3631" i="1"/>
  <c r="P3631" i="1"/>
  <c r="Q3631" i="1"/>
  <c r="O3632" i="1"/>
  <c r="P3632" i="1"/>
  <c r="Q3632" i="1"/>
  <c r="O3633" i="1"/>
  <c r="P3633" i="1"/>
  <c r="Q3633" i="1"/>
  <c r="O3634" i="1"/>
  <c r="P3634" i="1"/>
  <c r="Q3634" i="1"/>
  <c r="O3635" i="1"/>
  <c r="P3635" i="1"/>
  <c r="Q3635" i="1"/>
  <c r="O3636" i="1"/>
  <c r="P3636" i="1"/>
  <c r="Q3636" i="1"/>
  <c r="O3637" i="1"/>
  <c r="P3637" i="1"/>
  <c r="Q3637" i="1"/>
  <c r="O3638" i="1"/>
  <c r="P3638" i="1"/>
  <c r="Q3638" i="1"/>
  <c r="O3639" i="1"/>
  <c r="P3639" i="1"/>
  <c r="Q3639" i="1"/>
  <c r="O3640" i="1"/>
  <c r="P3640" i="1"/>
  <c r="Q3640" i="1"/>
  <c r="O3641" i="1"/>
  <c r="P3641" i="1"/>
  <c r="Q3641" i="1"/>
  <c r="O3642" i="1"/>
  <c r="P3642" i="1"/>
  <c r="Q3642" i="1"/>
  <c r="O3643" i="1"/>
  <c r="P3643" i="1"/>
  <c r="Q3643" i="1"/>
  <c r="O3644" i="1"/>
  <c r="P3644" i="1"/>
  <c r="Q3644" i="1"/>
  <c r="O3645" i="1"/>
  <c r="P3645" i="1"/>
  <c r="Q3645" i="1"/>
  <c r="O3646" i="1"/>
  <c r="P3646" i="1"/>
  <c r="Q3646" i="1"/>
  <c r="O3647" i="1"/>
  <c r="P3647" i="1"/>
  <c r="Q3647" i="1"/>
  <c r="O3648" i="1"/>
  <c r="P3648" i="1"/>
  <c r="Q3648" i="1"/>
  <c r="O3649" i="1"/>
  <c r="P3649" i="1"/>
  <c r="Q3649" i="1"/>
  <c r="O3650" i="1"/>
  <c r="P3650" i="1"/>
  <c r="Q3650" i="1"/>
  <c r="O3651" i="1"/>
  <c r="P3651" i="1"/>
  <c r="Q3651" i="1"/>
  <c r="O3652" i="1"/>
  <c r="P3652" i="1"/>
  <c r="Q3652" i="1"/>
  <c r="O3653" i="1"/>
  <c r="P3653" i="1"/>
  <c r="Q3653" i="1"/>
  <c r="O3654" i="1"/>
  <c r="P3654" i="1"/>
  <c r="Q3654" i="1"/>
  <c r="O3655" i="1"/>
  <c r="P3655" i="1"/>
  <c r="Q3655" i="1"/>
  <c r="O3656" i="1"/>
  <c r="P3656" i="1"/>
  <c r="Q3656" i="1"/>
  <c r="O3657" i="1"/>
  <c r="P3657" i="1"/>
  <c r="Q3657" i="1"/>
  <c r="O3658" i="1"/>
  <c r="P3658" i="1"/>
  <c r="Q3658" i="1"/>
  <c r="O3659" i="1"/>
  <c r="P3659" i="1"/>
  <c r="Q3659" i="1"/>
  <c r="O3660" i="1"/>
  <c r="P3660" i="1"/>
  <c r="Q3660" i="1"/>
  <c r="O3661" i="1"/>
  <c r="P3661" i="1"/>
  <c r="Q3661" i="1"/>
  <c r="O3662" i="1"/>
  <c r="P3662" i="1"/>
  <c r="Q3662" i="1"/>
  <c r="O3663" i="1"/>
  <c r="P3663" i="1"/>
  <c r="Q3663" i="1"/>
  <c r="O3664" i="1"/>
  <c r="P3664" i="1"/>
  <c r="Q3664" i="1"/>
  <c r="O3665" i="1"/>
  <c r="P3665" i="1"/>
  <c r="Q3665" i="1"/>
  <c r="O3666" i="1"/>
  <c r="P3666" i="1"/>
  <c r="Q3666" i="1"/>
  <c r="O3667" i="1"/>
  <c r="P3667" i="1"/>
  <c r="Q3667" i="1"/>
  <c r="O3668" i="1"/>
  <c r="P3668" i="1"/>
  <c r="Q3668" i="1"/>
  <c r="O3669" i="1"/>
  <c r="P3669" i="1"/>
  <c r="Q3669" i="1"/>
  <c r="O3670" i="1"/>
  <c r="P3670" i="1"/>
  <c r="Q3670" i="1"/>
  <c r="O3671" i="1"/>
  <c r="P3671" i="1"/>
  <c r="Q3671" i="1"/>
  <c r="O3672" i="1"/>
  <c r="P3672" i="1"/>
  <c r="Q3672" i="1"/>
  <c r="O3673" i="1"/>
  <c r="P3673" i="1"/>
  <c r="Q3673" i="1"/>
  <c r="O3674" i="1"/>
  <c r="P3674" i="1"/>
  <c r="Q3674" i="1"/>
  <c r="O3675" i="1"/>
  <c r="P3675" i="1"/>
  <c r="Q3675" i="1"/>
  <c r="O3676" i="1"/>
  <c r="P3676" i="1"/>
  <c r="Q3676" i="1"/>
  <c r="O3677" i="1"/>
  <c r="P3677" i="1"/>
  <c r="Q3677" i="1"/>
  <c r="O3678" i="1"/>
  <c r="P3678" i="1"/>
  <c r="Q3678" i="1"/>
  <c r="O3679" i="1"/>
  <c r="P3679" i="1"/>
  <c r="Q3679" i="1"/>
  <c r="O3680" i="1"/>
  <c r="P3680" i="1"/>
  <c r="Q3680" i="1"/>
  <c r="O3681" i="1"/>
  <c r="P3681" i="1"/>
  <c r="Q3681" i="1"/>
  <c r="O3682" i="1"/>
  <c r="P3682" i="1"/>
  <c r="Q3682" i="1"/>
  <c r="O3683" i="1"/>
  <c r="P3683" i="1"/>
  <c r="Q3683" i="1"/>
  <c r="O3684" i="1"/>
  <c r="P3684" i="1"/>
  <c r="Q3684" i="1"/>
  <c r="O3685" i="1"/>
  <c r="P3685" i="1"/>
  <c r="Q3685" i="1"/>
  <c r="O3686" i="1"/>
  <c r="P3686" i="1"/>
  <c r="Q3686" i="1"/>
  <c r="O3687" i="1"/>
  <c r="P3687" i="1"/>
  <c r="Q3687" i="1"/>
  <c r="O3688" i="1"/>
  <c r="P3688" i="1"/>
  <c r="Q3688" i="1"/>
  <c r="O3689" i="1"/>
  <c r="P3689" i="1"/>
  <c r="Q3689" i="1"/>
  <c r="O3690" i="1"/>
  <c r="P3690" i="1"/>
  <c r="Q3690" i="1"/>
  <c r="O3691" i="1"/>
  <c r="P3691" i="1"/>
  <c r="Q3691" i="1"/>
  <c r="O3692" i="1"/>
  <c r="P3692" i="1"/>
  <c r="Q3692" i="1"/>
  <c r="O3693" i="1"/>
  <c r="P3693" i="1"/>
  <c r="Q3693" i="1"/>
  <c r="O3694" i="1"/>
  <c r="P3694" i="1"/>
  <c r="Q3694" i="1"/>
  <c r="O3695" i="1"/>
  <c r="P3695" i="1"/>
  <c r="Q3695" i="1"/>
  <c r="O3696" i="1"/>
  <c r="P3696" i="1"/>
  <c r="Q3696" i="1"/>
  <c r="O3697" i="1"/>
  <c r="P3697" i="1"/>
  <c r="Q3697" i="1"/>
  <c r="O3698" i="1"/>
  <c r="P3698" i="1"/>
  <c r="Q3698" i="1"/>
  <c r="O3699" i="1"/>
  <c r="P3699" i="1"/>
  <c r="Q3699" i="1"/>
  <c r="O3700" i="1"/>
  <c r="P3700" i="1"/>
  <c r="Q3700" i="1"/>
  <c r="O3701" i="1"/>
  <c r="P3701" i="1"/>
  <c r="Q3701" i="1"/>
  <c r="O3702" i="1"/>
  <c r="P3702" i="1"/>
  <c r="Q3702" i="1"/>
  <c r="O3703" i="1"/>
  <c r="P3703" i="1"/>
  <c r="Q3703" i="1"/>
  <c r="O3704" i="1"/>
  <c r="P3704" i="1"/>
  <c r="Q3704" i="1"/>
  <c r="O3705" i="1"/>
  <c r="P3705" i="1"/>
  <c r="Q3705" i="1"/>
  <c r="O3706" i="1"/>
  <c r="P3706" i="1"/>
  <c r="Q3706" i="1"/>
  <c r="O3707" i="1"/>
  <c r="P3707" i="1"/>
  <c r="Q3707" i="1"/>
  <c r="O3708" i="1"/>
  <c r="P3708" i="1"/>
  <c r="Q3708" i="1"/>
  <c r="O3709" i="1"/>
  <c r="P3709" i="1"/>
  <c r="Q3709" i="1"/>
  <c r="O3710" i="1"/>
  <c r="P3710" i="1"/>
  <c r="Q3710" i="1"/>
  <c r="O3711" i="1"/>
  <c r="P3711" i="1"/>
  <c r="Q3711" i="1"/>
  <c r="O3712" i="1"/>
  <c r="P3712" i="1"/>
  <c r="Q3712" i="1"/>
  <c r="O3713" i="1"/>
  <c r="P3713" i="1"/>
  <c r="Q3713" i="1"/>
  <c r="O3714" i="1"/>
  <c r="P3714" i="1"/>
  <c r="Q3714" i="1"/>
  <c r="O3715" i="1"/>
  <c r="P3715" i="1"/>
  <c r="Q3715" i="1"/>
  <c r="O3716" i="1"/>
  <c r="P3716" i="1"/>
  <c r="Q3716" i="1"/>
  <c r="O3717" i="1"/>
  <c r="P3717" i="1"/>
  <c r="Q3717" i="1"/>
  <c r="O3718" i="1"/>
  <c r="P3718" i="1"/>
  <c r="Q3718" i="1"/>
  <c r="O3719" i="1"/>
  <c r="P3719" i="1"/>
  <c r="Q3719" i="1"/>
  <c r="O3720" i="1"/>
  <c r="P3720" i="1"/>
  <c r="Q3720" i="1"/>
  <c r="O3721" i="1"/>
  <c r="P3721" i="1"/>
  <c r="Q3721" i="1"/>
  <c r="O3722" i="1"/>
  <c r="P3722" i="1"/>
  <c r="Q3722" i="1"/>
  <c r="O3723" i="1"/>
  <c r="P3723" i="1"/>
  <c r="Q3723" i="1"/>
  <c r="O3724" i="1"/>
  <c r="P3724" i="1"/>
  <c r="Q3724" i="1"/>
  <c r="O3725" i="1"/>
  <c r="P3725" i="1"/>
  <c r="Q3725" i="1"/>
  <c r="O3726" i="1"/>
  <c r="P3726" i="1"/>
  <c r="Q3726" i="1"/>
  <c r="O3727" i="1"/>
  <c r="P3727" i="1"/>
  <c r="Q3727" i="1"/>
  <c r="O3728" i="1"/>
  <c r="P3728" i="1"/>
  <c r="Q3728" i="1"/>
  <c r="O3729" i="1"/>
  <c r="P3729" i="1"/>
  <c r="Q3729" i="1"/>
  <c r="O3730" i="1"/>
  <c r="P3730" i="1"/>
  <c r="Q3730" i="1"/>
  <c r="O3731" i="1"/>
  <c r="P3731" i="1"/>
  <c r="Q3731" i="1"/>
  <c r="O3732" i="1"/>
  <c r="P3732" i="1"/>
  <c r="Q3732" i="1"/>
  <c r="O3733" i="1"/>
  <c r="P3733" i="1"/>
  <c r="Q3733" i="1"/>
  <c r="O3734" i="1"/>
  <c r="P3734" i="1"/>
  <c r="Q3734" i="1"/>
  <c r="O3735" i="1"/>
  <c r="P3735" i="1"/>
  <c r="Q3735" i="1"/>
  <c r="O3736" i="1"/>
  <c r="P3736" i="1"/>
  <c r="Q3736" i="1"/>
  <c r="O3737" i="1"/>
  <c r="P3737" i="1"/>
  <c r="Q3737" i="1"/>
  <c r="O3738" i="1"/>
  <c r="P3738" i="1"/>
  <c r="Q3738" i="1"/>
  <c r="O3739" i="1"/>
  <c r="P3739" i="1"/>
  <c r="Q3739" i="1"/>
  <c r="O3740" i="1"/>
  <c r="P3740" i="1"/>
  <c r="Q3740" i="1"/>
  <c r="O3741" i="1"/>
  <c r="P3741" i="1"/>
  <c r="Q3741" i="1"/>
  <c r="O3742" i="1"/>
  <c r="P3742" i="1"/>
  <c r="Q3742" i="1"/>
  <c r="O3743" i="1"/>
  <c r="P3743" i="1"/>
  <c r="Q3743" i="1"/>
  <c r="O3744" i="1"/>
  <c r="P3744" i="1"/>
  <c r="Q3744" i="1"/>
  <c r="O3745" i="1"/>
  <c r="P3745" i="1"/>
  <c r="Q3745" i="1"/>
  <c r="O3746" i="1"/>
  <c r="P3746" i="1"/>
  <c r="Q3746" i="1"/>
  <c r="O3747" i="1"/>
  <c r="P3747" i="1"/>
  <c r="Q3747" i="1"/>
  <c r="O3748" i="1"/>
  <c r="P3748" i="1"/>
  <c r="Q3748" i="1"/>
  <c r="O3749" i="1"/>
  <c r="P3749" i="1"/>
  <c r="Q3749" i="1"/>
  <c r="O3750" i="1"/>
  <c r="P3750" i="1"/>
  <c r="Q3750" i="1"/>
  <c r="O3751" i="1"/>
  <c r="P3751" i="1"/>
  <c r="Q3751" i="1"/>
  <c r="O3752" i="1"/>
  <c r="P3752" i="1"/>
  <c r="Q3752" i="1"/>
  <c r="O3753" i="1"/>
  <c r="P3753" i="1"/>
  <c r="Q3753" i="1"/>
  <c r="O3754" i="1"/>
  <c r="P3754" i="1"/>
  <c r="Q3754" i="1"/>
  <c r="O3755" i="1"/>
  <c r="P3755" i="1"/>
  <c r="Q3755" i="1"/>
  <c r="O3756" i="1"/>
  <c r="P3756" i="1"/>
  <c r="Q3756" i="1"/>
  <c r="O3757" i="1"/>
  <c r="P3757" i="1"/>
  <c r="Q3757" i="1"/>
  <c r="O3758" i="1"/>
  <c r="P3758" i="1"/>
  <c r="Q3758" i="1"/>
  <c r="O3759" i="1"/>
  <c r="P3759" i="1"/>
  <c r="Q3759" i="1"/>
  <c r="O3760" i="1"/>
  <c r="P3760" i="1"/>
  <c r="Q3760" i="1"/>
  <c r="O3761" i="1"/>
  <c r="P3761" i="1"/>
  <c r="Q3761" i="1"/>
  <c r="O3762" i="1"/>
  <c r="P3762" i="1"/>
  <c r="Q3762" i="1"/>
  <c r="O3763" i="1"/>
  <c r="P3763" i="1"/>
  <c r="Q3763" i="1"/>
  <c r="O3764" i="1"/>
  <c r="P3764" i="1"/>
  <c r="Q3764" i="1"/>
  <c r="O3765" i="1"/>
  <c r="P3765" i="1"/>
  <c r="Q3765" i="1"/>
  <c r="O3766" i="1"/>
  <c r="P3766" i="1"/>
  <c r="Q3766" i="1"/>
  <c r="O3767" i="1"/>
  <c r="P3767" i="1"/>
  <c r="Q3767" i="1"/>
  <c r="O3768" i="1"/>
  <c r="P3768" i="1"/>
  <c r="Q3768" i="1"/>
  <c r="O3769" i="1"/>
  <c r="P3769" i="1"/>
  <c r="Q3769" i="1"/>
  <c r="O3770" i="1"/>
  <c r="P3770" i="1"/>
  <c r="Q3770" i="1"/>
  <c r="O3771" i="1"/>
  <c r="P3771" i="1"/>
  <c r="Q3771" i="1"/>
  <c r="O3772" i="1"/>
  <c r="P3772" i="1"/>
  <c r="Q3772" i="1"/>
  <c r="O3773" i="1"/>
  <c r="P3773" i="1"/>
  <c r="Q3773" i="1"/>
  <c r="O3774" i="1"/>
  <c r="P3774" i="1"/>
  <c r="Q3774" i="1"/>
  <c r="O3775" i="1"/>
  <c r="P3775" i="1"/>
  <c r="Q3775" i="1"/>
  <c r="O3776" i="1"/>
  <c r="P3776" i="1"/>
  <c r="Q3776" i="1"/>
  <c r="O3777" i="1"/>
  <c r="P3777" i="1"/>
  <c r="Q3777" i="1"/>
  <c r="O3778" i="1"/>
  <c r="P3778" i="1"/>
  <c r="Q3778" i="1"/>
  <c r="O3779" i="1"/>
  <c r="P3779" i="1"/>
  <c r="Q3779" i="1"/>
  <c r="O3780" i="1"/>
  <c r="P3780" i="1"/>
  <c r="Q3780" i="1"/>
  <c r="O3781" i="1"/>
  <c r="P3781" i="1"/>
  <c r="Q3781" i="1"/>
  <c r="O3782" i="1"/>
  <c r="P3782" i="1"/>
  <c r="Q3782" i="1"/>
  <c r="O3783" i="1"/>
  <c r="P3783" i="1"/>
  <c r="Q3783" i="1"/>
  <c r="O3784" i="1"/>
  <c r="P3784" i="1"/>
  <c r="Q3784" i="1"/>
  <c r="O3785" i="1"/>
  <c r="P3785" i="1"/>
  <c r="Q3785" i="1"/>
  <c r="O3786" i="1"/>
  <c r="P3786" i="1"/>
  <c r="Q3786" i="1"/>
  <c r="O3787" i="1"/>
  <c r="P3787" i="1"/>
  <c r="Q3787" i="1"/>
  <c r="O3788" i="1"/>
  <c r="P3788" i="1"/>
  <c r="Q3788" i="1"/>
  <c r="O3789" i="1"/>
  <c r="P3789" i="1"/>
  <c r="Q3789" i="1"/>
  <c r="O3790" i="1"/>
  <c r="P3790" i="1"/>
  <c r="Q3790" i="1"/>
  <c r="O3791" i="1"/>
  <c r="P3791" i="1"/>
  <c r="Q3791" i="1"/>
  <c r="O3792" i="1"/>
  <c r="P3792" i="1"/>
  <c r="Q3792" i="1"/>
  <c r="O3793" i="1"/>
  <c r="P3793" i="1"/>
  <c r="Q3793" i="1"/>
  <c r="O3794" i="1"/>
  <c r="P3794" i="1"/>
  <c r="Q3794" i="1"/>
  <c r="O3795" i="1"/>
  <c r="P3795" i="1"/>
  <c r="Q3795" i="1"/>
  <c r="O3796" i="1"/>
  <c r="P3796" i="1"/>
  <c r="Q3796" i="1"/>
  <c r="O3797" i="1"/>
  <c r="P3797" i="1"/>
  <c r="Q3797" i="1"/>
  <c r="O3798" i="1"/>
  <c r="P3798" i="1"/>
  <c r="Q3798" i="1"/>
  <c r="O3799" i="1"/>
  <c r="P3799" i="1"/>
  <c r="Q3799" i="1"/>
  <c r="O3800" i="1"/>
  <c r="P3800" i="1"/>
  <c r="Q3800" i="1"/>
  <c r="O3801" i="1"/>
  <c r="P3801" i="1"/>
  <c r="Q3801" i="1"/>
  <c r="O3802" i="1"/>
  <c r="P3802" i="1"/>
  <c r="Q3802" i="1"/>
  <c r="O3803" i="1"/>
  <c r="P3803" i="1"/>
  <c r="Q3803" i="1"/>
  <c r="O3804" i="1"/>
  <c r="P3804" i="1"/>
  <c r="Q3804" i="1"/>
  <c r="O3805" i="1"/>
  <c r="P3805" i="1"/>
  <c r="Q3805" i="1"/>
  <c r="O3806" i="1"/>
  <c r="P3806" i="1"/>
  <c r="Q3806" i="1"/>
  <c r="O3807" i="1"/>
  <c r="P3807" i="1"/>
  <c r="Q3807" i="1"/>
  <c r="O3808" i="1"/>
  <c r="P3808" i="1"/>
  <c r="Q3808" i="1"/>
  <c r="O3809" i="1"/>
  <c r="P3809" i="1"/>
  <c r="Q3809" i="1"/>
  <c r="O3810" i="1"/>
  <c r="P3810" i="1"/>
  <c r="Q3810" i="1"/>
  <c r="O3811" i="1"/>
  <c r="P3811" i="1"/>
  <c r="Q3811" i="1"/>
  <c r="O3812" i="1"/>
  <c r="P3812" i="1"/>
  <c r="Q3812" i="1"/>
  <c r="O3813" i="1"/>
  <c r="P3813" i="1"/>
  <c r="Q3813" i="1"/>
  <c r="O3814" i="1"/>
  <c r="P3814" i="1"/>
  <c r="Q3814" i="1"/>
  <c r="O3815" i="1"/>
  <c r="P3815" i="1"/>
  <c r="Q3815" i="1"/>
  <c r="O3816" i="1"/>
  <c r="P3816" i="1"/>
  <c r="Q3816" i="1"/>
  <c r="O3817" i="1"/>
  <c r="P3817" i="1"/>
  <c r="Q3817" i="1"/>
  <c r="O3818" i="1"/>
  <c r="P3818" i="1"/>
  <c r="Q3818" i="1"/>
  <c r="O3819" i="1"/>
  <c r="P3819" i="1"/>
  <c r="Q3819" i="1"/>
  <c r="O3820" i="1"/>
  <c r="P3820" i="1"/>
  <c r="Q3820" i="1"/>
  <c r="O3821" i="1"/>
  <c r="P3821" i="1"/>
  <c r="Q3821" i="1"/>
  <c r="O3822" i="1"/>
  <c r="P3822" i="1"/>
  <c r="Q3822" i="1"/>
  <c r="O3823" i="1"/>
  <c r="P3823" i="1"/>
  <c r="Q3823" i="1"/>
  <c r="O3824" i="1"/>
  <c r="P3824" i="1"/>
  <c r="Q3824" i="1"/>
  <c r="O3825" i="1"/>
  <c r="P3825" i="1"/>
  <c r="Q3825" i="1"/>
  <c r="O3826" i="1"/>
  <c r="P3826" i="1"/>
  <c r="Q3826" i="1"/>
  <c r="O3827" i="1"/>
  <c r="P3827" i="1"/>
  <c r="Q3827" i="1"/>
  <c r="O3828" i="1"/>
  <c r="P3828" i="1"/>
  <c r="Q3828" i="1"/>
  <c r="O3829" i="1"/>
  <c r="P3829" i="1"/>
  <c r="Q3829" i="1"/>
  <c r="O3830" i="1"/>
  <c r="P3830" i="1"/>
  <c r="Q3830" i="1"/>
  <c r="O3831" i="1"/>
  <c r="P3831" i="1"/>
  <c r="Q3831" i="1"/>
  <c r="O3832" i="1"/>
  <c r="P3832" i="1"/>
  <c r="Q3832" i="1"/>
  <c r="O3833" i="1"/>
  <c r="P3833" i="1"/>
  <c r="Q3833" i="1"/>
  <c r="O3834" i="1"/>
  <c r="P3834" i="1"/>
  <c r="Q3834" i="1"/>
  <c r="O3835" i="1"/>
  <c r="P3835" i="1"/>
  <c r="Q3835" i="1"/>
  <c r="O3836" i="1"/>
  <c r="P3836" i="1"/>
  <c r="Q3836" i="1"/>
  <c r="O3837" i="1"/>
  <c r="P3837" i="1"/>
  <c r="Q3837" i="1"/>
  <c r="O3838" i="1"/>
  <c r="P3838" i="1"/>
  <c r="Q3838" i="1"/>
  <c r="O3839" i="1"/>
  <c r="P3839" i="1"/>
  <c r="Q3839" i="1"/>
  <c r="O3840" i="1"/>
  <c r="P3840" i="1"/>
  <c r="Q3840" i="1"/>
  <c r="O3841" i="1"/>
  <c r="P3841" i="1"/>
  <c r="Q3841" i="1"/>
  <c r="O3842" i="1"/>
  <c r="P3842" i="1"/>
  <c r="Q3842" i="1"/>
  <c r="O3843" i="1"/>
  <c r="P3843" i="1"/>
  <c r="Q3843" i="1"/>
  <c r="O3844" i="1"/>
  <c r="P3844" i="1"/>
  <c r="Q3844" i="1"/>
  <c r="O3845" i="1"/>
  <c r="P3845" i="1"/>
  <c r="Q3845" i="1"/>
  <c r="O3846" i="1"/>
  <c r="P3846" i="1"/>
  <c r="Q3846" i="1"/>
  <c r="O3847" i="1"/>
  <c r="P3847" i="1"/>
  <c r="Q3847" i="1"/>
  <c r="O3848" i="1"/>
  <c r="P3848" i="1"/>
  <c r="Q3848" i="1"/>
  <c r="O3849" i="1"/>
  <c r="P3849" i="1"/>
  <c r="Q3849" i="1"/>
  <c r="O3850" i="1"/>
  <c r="P3850" i="1"/>
  <c r="Q3850" i="1"/>
  <c r="O3851" i="1"/>
  <c r="P3851" i="1"/>
  <c r="Q3851" i="1"/>
  <c r="O3852" i="1"/>
  <c r="P3852" i="1"/>
  <c r="Q3852" i="1"/>
  <c r="O3853" i="1"/>
  <c r="P3853" i="1"/>
  <c r="Q3853" i="1"/>
  <c r="O3854" i="1"/>
  <c r="P3854" i="1"/>
  <c r="Q3854" i="1"/>
  <c r="O3855" i="1"/>
  <c r="P3855" i="1"/>
  <c r="Q3855" i="1"/>
  <c r="O3856" i="1"/>
  <c r="P3856" i="1"/>
  <c r="Q3856" i="1"/>
  <c r="O3857" i="1"/>
  <c r="P3857" i="1"/>
  <c r="Q3857" i="1"/>
  <c r="O3858" i="1"/>
  <c r="P3858" i="1"/>
  <c r="Q3858" i="1"/>
  <c r="O3859" i="1"/>
  <c r="P3859" i="1"/>
  <c r="Q3859" i="1"/>
  <c r="O3860" i="1"/>
  <c r="P3860" i="1"/>
  <c r="Q3860" i="1"/>
  <c r="O3861" i="1"/>
  <c r="P3861" i="1"/>
  <c r="Q3861" i="1"/>
  <c r="O3862" i="1"/>
  <c r="P3862" i="1"/>
  <c r="Q3862" i="1"/>
  <c r="O3863" i="1"/>
  <c r="P3863" i="1"/>
  <c r="Q3863" i="1"/>
  <c r="O3864" i="1"/>
  <c r="P3864" i="1"/>
  <c r="Q3864" i="1"/>
  <c r="O3865" i="1"/>
  <c r="P3865" i="1"/>
  <c r="Q3865" i="1"/>
  <c r="O3866" i="1"/>
  <c r="P3866" i="1"/>
  <c r="Q3866" i="1"/>
  <c r="O3867" i="1"/>
  <c r="P3867" i="1"/>
  <c r="Q3867" i="1"/>
  <c r="O3868" i="1"/>
  <c r="P3868" i="1"/>
  <c r="Q3868" i="1"/>
  <c r="O3869" i="1"/>
  <c r="P3869" i="1"/>
  <c r="Q3869" i="1"/>
  <c r="O3870" i="1"/>
  <c r="P3870" i="1"/>
  <c r="Q3870" i="1"/>
  <c r="O3871" i="1"/>
  <c r="P3871" i="1"/>
  <c r="Q3871" i="1"/>
  <c r="O3872" i="1"/>
  <c r="P3872" i="1"/>
  <c r="Q3872" i="1"/>
  <c r="O3873" i="1"/>
  <c r="P3873" i="1"/>
  <c r="Q3873" i="1"/>
  <c r="O3874" i="1"/>
  <c r="P3874" i="1"/>
  <c r="Q3874" i="1"/>
  <c r="O3875" i="1"/>
  <c r="P3875" i="1"/>
  <c r="Q3875" i="1"/>
  <c r="O3876" i="1"/>
  <c r="P3876" i="1"/>
  <c r="Q3876" i="1"/>
  <c r="O3877" i="1"/>
  <c r="P3877" i="1"/>
  <c r="Q3877" i="1"/>
  <c r="O3878" i="1"/>
  <c r="P3878" i="1"/>
  <c r="Q3878" i="1"/>
  <c r="O3879" i="1"/>
  <c r="P3879" i="1"/>
  <c r="Q3879" i="1"/>
  <c r="O3880" i="1"/>
  <c r="P3880" i="1"/>
  <c r="Q3880" i="1"/>
  <c r="O3881" i="1"/>
  <c r="P3881" i="1"/>
  <c r="Q3881" i="1"/>
  <c r="O3882" i="1"/>
  <c r="P3882" i="1"/>
  <c r="Q3882" i="1"/>
  <c r="O3883" i="1"/>
  <c r="P3883" i="1"/>
  <c r="Q3883" i="1"/>
  <c r="O3884" i="1"/>
  <c r="P3884" i="1"/>
  <c r="Q3884" i="1"/>
  <c r="O3885" i="1"/>
  <c r="P3885" i="1"/>
  <c r="Q3885" i="1"/>
  <c r="O3886" i="1"/>
  <c r="P3886" i="1"/>
  <c r="Q3886" i="1"/>
  <c r="O3887" i="1"/>
  <c r="P3887" i="1"/>
  <c r="Q3887" i="1"/>
  <c r="O3888" i="1"/>
  <c r="P3888" i="1"/>
  <c r="Q3888" i="1"/>
  <c r="O3889" i="1"/>
  <c r="P3889" i="1"/>
  <c r="Q3889" i="1"/>
  <c r="O3890" i="1"/>
  <c r="P3890" i="1"/>
  <c r="Q3890" i="1"/>
  <c r="O3891" i="1"/>
  <c r="P3891" i="1"/>
  <c r="Q3891" i="1"/>
  <c r="O3892" i="1"/>
  <c r="P3892" i="1"/>
  <c r="Q3892" i="1"/>
  <c r="O3893" i="1"/>
  <c r="P3893" i="1"/>
  <c r="Q3893" i="1"/>
  <c r="O3894" i="1"/>
  <c r="P3894" i="1"/>
  <c r="Q3894" i="1"/>
  <c r="O3895" i="1"/>
  <c r="P3895" i="1"/>
  <c r="Q3895" i="1"/>
  <c r="O3896" i="1"/>
  <c r="P3896" i="1"/>
  <c r="Q3896" i="1"/>
  <c r="O3897" i="1"/>
  <c r="P3897" i="1"/>
  <c r="Q3897" i="1"/>
  <c r="O3898" i="1"/>
  <c r="P3898" i="1"/>
  <c r="Q3898" i="1"/>
  <c r="O3899" i="1"/>
  <c r="P3899" i="1"/>
  <c r="Q3899" i="1"/>
  <c r="O3900" i="1"/>
  <c r="P3900" i="1"/>
  <c r="Q3900" i="1"/>
  <c r="O3901" i="1"/>
  <c r="P3901" i="1"/>
  <c r="Q3901" i="1"/>
  <c r="O3902" i="1"/>
  <c r="P3902" i="1"/>
  <c r="Q3902" i="1"/>
  <c r="O3903" i="1"/>
  <c r="P3903" i="1"/>
  <c r="Q3903" i="1"/>
  <c r="O3904" i="1"/>
  <c r="P3904" i="1"/>
  <c r="Q3904" i="1"/>
  <c r="O3905" i="1"/>
  <c r="P3905" i="1"/>
  <c r="Q3905" i="1"/>
  <c r="O3906" i="1"/>
  <c r="P3906" i="1"/>
  <c r="Q3906" i="1"/>
  <c r="O3907" i="1"/>
  <c r="P3907" i="1"/>
  <c r="Q3907" i="1"/>
  <c r="O3908" i="1"/>
  <c r="P3908" i="1"/>
  <c r="Q3908" i="1"/>
  <c r="O3909" i="1"/>
  <c r="P3909" i="1"/>
  <c r="Q3909" i="1"/>
  <c r="O3910" i="1"/>
  <c r="P3910" i="1"/>
  <c r="Q3910" i="1"/>
  <c r="O3911" i="1"/>
  <c r="P3911" i="1"/>
  <c r="Q3911" i="1"/>
  <c r="O3912" i="1"/>
  <c r="P3912" i="1"/>
  <c r="Q3912" i="1"/>
  <c r="O3913" i="1"/>
  <c r="P3913" i="1"/>
  <c r="Q3913" i="1"/>
  <c r="O3914" i="1"/>
  <c r="P3914" i="1"/>
  <c r="Q3914" i="1"/>
  <c r="O3915" i="1"/>
  <c r="P3915" i="1"/>
  <c r="Q3915" i="1"/>
  <c r="O3916" i="1"/>
  <c r="P3916" i="1"/>
  <c r="Q3916" i="1"/>
  <c r="O3917" i="1"/>
  <c r="P3917" i="1"/>
  <c r="Q3917" i="1"/>
  <c r="O3918" i="1"/>
  <c r="P3918" i="1"/>
  <c r="Q3918" i="1"/>
  <c r="O3919" i="1"/>
  <c r="P3919" i="1"/>
  <c r="Q3919" i="1"/>
  <c r="O3920" i="1"/>
  <c r="P3920" i="1"/>
  <c r="Q3920" i="1"/>
  <c r="O3921" i="1"/>
  <c r="P3921" i="1"/>
  <c r="Q3921" i="1"/>
  <c r="O3922" i="1"/>
  <c r="P3922" i="1"/>
  <c r="Q3922" i="1"/>
  <c r="O3923" i="1"/>
  <c r="P3923" i="1"/>
  <c r="Q3923" i="1"/>
  <c r="O3924" i="1"/>
  <c r="P3924" i="1"/>
  <c r="Q3924" i="1"/>
  <c r="O3925" i="1"/>
  <c r="P3925" i="1"/>
  <c r="Q3925" i="1"/>
  <c r="O3926" i="1"/>
  <c r="P3926" i="1"/>
  <c r="Q3926" i="1"/>
  <c r="O3927" i="1"/>
  <c r="P3927" i="1"/>
  <c r="Q3927" i="1"/>
  <c r="O3928" i="1"/>
  <c r="P3928" i="1"/>
  <c r="Q3928" i="1"/>
  <c r="O3929" i="1"/>
  <c r="P3929" i="1"/>
  <c r="Q3929" i="1"/>
  <c r="O3930" i="1"/>
  <c r="P3930" i="1"/>
  <c r="Q3930" i="1"/>
  <c r="O3931" i="1"/>
  <c r="P3931" i="1"/>
  <c r="Q3931" i="1"/>
  <c r="O3932" i="1"/>
  <c r="P3932" i="1"/>
  <c r="Q3932" i="1"/>
  <c r="O3933" i="1"/>
  <c r="P3933" i="1"/>
  <c r="Q3933" i="1"/>
  <c r="O3934" i="1"/>
  <c r="P3934" i="1"/>
  <c r="Q3934" i="1"/>
  <c r="O3935" i="1"/>
  <c r="P3935" i="1"/>
  <c r="Q3935" i="1"/>
  <c r="O3936" i="1"/>
  <c r="P3936" i="1"/>
  <c r="Q3936" i="1"/>
  <c r="O3937" i="1"/>
  <c r="P3937" i="1"/>
  <c r="Q3937" i="1"/>
  <c r="O3938" i="1"/>
  <c r="P3938" i="1"/>
  <c r="Q3938" i="1"/>
  <c r="O3939" i="1"/>
  <c r="P3939" i="1"/>
  <c r="Q3939" i="1"/>
  <c r="O3940" i="1"/>
  <c r="P3940" i="1"/>
  <c r="Q3940" i="1"/>
  <c r="O3941" i="1"/>
  <c r="P3941" i="1"/>
  <c r="Q3941" i="1"/>
  <c r="O3942" i="1"/>
  <c r="P3942" i="1"/>
  <c r="Q3942" i="1"/>
  <c r="O3943" i="1"/>
  <c r="P3943" i="1"/>
  <c r="Q3943" i="1"/>
  <c r="O3944" i="1"/>
  <c r="P3944" i="1"/>
  <c r="Q3944" i="1"/>
  <c r="O3945" i="1"/>
  <c r="P3945" i="1"/>
  <c r="Q3945" i="1"/>
  <c r="O3946" i="1"/>
  <c r="P3946" i="1"/>
  <c r="Q3946" i="1"/>
  <c r="O3947" i="1"/>
  <c r="P3947" i="1"/>
  <c r="Q3947" i="1"/>
  <c r="O3948" i="1"/>
  <c r="P3948" i="1"/>
  <c r="Q3948" i="1"/>
  <c r="O3949" i="1"/>
  <c r="P3949" i="1"/>
  <c r="Q3949" i="1"/>
  <c r="O3950" i="1"/>
  <c r="P3950" i="1"/>
  <c r="Q3950" i="1"/>
  <c r="O3951" i="1"/>
  <c r="P3951" i="1"/>
  <c r="Q3951" i="1"/>
  <c r="O3952" i="1"/>
  <c r="P3952" i="1"/>
  <c r="Q3952" i="1"/>
  <c r="O3953" i="1"/>
  <c r="P3953" i="1"/>
  <c r="Q3953" i="1"/>
  <c r="O3954" i="1"/>
  <c r="P3954" i="1"/>
  <c r="Q3954" i="1"/>
  <c r="O3955" i="1"/>
  <c r="P3955" i="1"/>
  <c r="Q3955" i="1"/>
  <c r="O3956" i="1"/>
  <c r="P3956" i="1"/>
  <c r="Q3956" i="1"/>
  <c r="O3957" i="1"/>
  <c r="P3957" i="1"/>
  <c r="Q3957" i="1"/>
  <c r="O3958" i="1"/>
  <c r="P3958" i="1"/>
  <c r="Q3958" i="1"/>
  <c r="O3959" i="1"/>
  <c r="P3959" i="1"/>
  <c r="Q3959" i="1"/>
  <c r="O3960" i="1"/>
  <c r="P3960" i="1"/>
  <c r="Q3960" i="1"/>
  <c r="O3961" i="1"/>
  <c r="P3961" i="1"/>
  <c r="Q3961" i="1"/>
  <c r="O3962" i="1"/>
  <c r="P3962" i="1"/>
  <c r="Q3962" i="1"/>
  <c r="O3963" i="1"/>
  <c r="P3963" i="1"/>
  <c r="Q3963" i="1"/>
  <c r="O3964" i="1"/>
  <c r="P3964" i="1"/>
  <c r="Q3964" i="1"/>
  <c r="O3965" i="1"/>
  <c r="P3965" i="1"/>
  <c r="Q3965" i="1"/>
  <c r="O3966" i="1"/>
  <c r="P3966" i="1"/>
  <c r="Q3966" i="1"/>
  <c r="O3967" i="1"/>
  <c r="P3967" i="1"/>
  <c r="Q3967" i="1"/>
  <c r="O3968" i="1"/>
  <c r="P3968" i="1"/>
  <c r="Q3968" i="1"/>
  <c r="O3969" i="1"/>
  <c r="P3969" i="1"/>
  <c r="Q3969" i="1"/>
  <c r="O3970" i="1"/>
  <c r="P3970" i="1"/>
  <c r="Q3970" i="1"/>
  <c r="O3971" i="1"/>
  <c r="P3971" i="1"/>
  <c r="Q3971" i="1"/>
  <c r="O3972" i="1"/>
  <c r="P3972" i="1"/>
  <c r="Q3972" i="1"/>
  <c r="O3973" i="1"/>
  <c r="P3973" i="1"/>
  <c r="Q3973" i="1"/>
  <c r="O3974" i="1"/>
  <c r="P3974" i="1"/>
  <c r="Q3974" i="1"/>
  <c r="O3975" i="1"/>
  <c r="P3975" i="1"/>
  <c r="Q3975" i="1"/>
  <c r="O3976" i="1"/>
  <c r="P3976" i="1"/>
  <c r="Q3976" i="1"/>
  <c r="O3977" i="1"/>
  <c r="P3977" i="1"/>
  <c r="Q3977" i="1"/>
  <c r="O3978" i="1"/>
  <c r="P3978" i="1"/>
  <c r="Q3978" i="1"/>
  <c r="O3979" i="1"/>
  <c r="P3979" i="1"/>
  <c r="Q3979" i="1"/>
  <c r="O3980" i="1"/>
  <c r="P3980" i="1"/>
  <c r="Q3980" i="1"/>
  <c r="O3981" i="1"/>
  <c r="P3981" i="1"/>
  <c r="Q3981" i="1"/>
  <c r="O3982" i="1"/>
  <c r="P3982" i="1"/>
  <c r="Q3982" i="1"/>
  <c r="O3983" i="1"/>
  <c r="P3983" i="1"/>
  <c r="Q3983" i="1"/>
  <c r="O3984" i="1"/>
  <c r="P3984" i="1"/>
  <c r="Q3984" i="1"/>
  <c r="O3985" i="1"/>
  <c r="P3985" i="1"/>
  <c r="Q3985" i="1"/>
  <c r="O3986" i="1"/>
  <c r="P3986" i="1"/>
  <c r="Q3986" i="1"/>
  <c r="O3987" i="1"/>
  <c r="P3987" i="1"/>
  <c r="Q3987" i="1"/>
  <c r="O3988" i="1"/>
  <c r="P3988" i="1"/>
  <c r="Q3988" i="1"/>
  <c r="O3989" i="1"/>
  <c r="P3989" i="1"/>
  <c r="Q3989" i="1"/>
  <c r="O3990" i="1"/>
  <c r="P3990" i="1"/>
  <c r="Q3990" i="1"/>
  <c r="O3991" i="1"/>
  <c r="P3991" i="1"/>
  <c r="Q3991" i="1"/>
  <c r="O3992" i="1"/>
  <c r="P3992" i="1"/>
  <c r="Q3992" i="1"/>
  <c r="O3993" i="1"/>
  <c r="P3993" i="1"/>
  <c r="Q3993" i="1"/>
  <c r="O3994" i="1"/>
  <c r="P3994" i="1"/>
  <c r="Q3994" i="1"/>
  <c r="O3995" i="1"/>
  <c r="P3995" i="1"/>
  <c r="Q3995" i="1"/>
  <c r="O3996" i="1"/>
  <c r="P3996" i="1"/>
  <c r="Q3996" i="1"/>
  <c r="O3997" i="1"/>
  <c r="P3997" i="1"/>
  <c r="Q3997" i="1"/>
  <c r="O3998" i="1"/>
  <c r="P3998" i="1"/>
  <c r="Q3998" i="1"/>
  <c r="O3999" i="1"/>
  <c r="P3999" i="1"/>
  <c r="Q3999" i="1"/>
  <c r="O4000" i="1"/>
  <c r="P4000" i="1"/>
  <c r="Q4000" i="1"/>
  <c r="O4001" i="1"/>
  <c r="P4001" i="1"/>
  <c r="Q4001" i="1"/>
  <c r="O4002" i="1"/>
  <c r="P4002" i="1"/>
  <c r="Q4002" i="1"/>
  <c r="O4003" i="1"/>
  <c r="P4003" i="1"/>
  <c r="Q4003" i="1"/>
  <c r="O4004" i="1"/>
  <c r="P4004" i="1"/>
  <c r="Q4004" i="1"/>
  <c r="O4005" i="1"/>
  <c r="P4005" i="1"/>
  <c r="Q4005" i="1"/>
  <c r="O4006" i="1"/>
  <c r="P4006" i="1"/>
  <c r="Q4006" i="1"/>
  <c r="O4007" i="1"/>
  <c r="P4007" i="1"/>
  <c r="Q4007" i="1"/>
  <c r="O4008" i="1"/>
  <c r="P4008" i="1"/>
  <c r="Q4008" i="1"/>
  <c r="O4009" i="1"/>
  <c r="P4009" i="1"/>
  <c r="Q4009" i="1"/>
  <c r="O4010" i="1"/>
  <c r="P4010" i="1"/>
  <c r="Q4010" i="1"/>
  <c r="O4011" i="1"/>
  <c r="P4011" i="1"/>
  <c r="Q4011" i="1"/>
  <c r="O4012" i="1"/>
  <c r="P4012" i="1"/>
  <c r="Q4012" i="1"/>
  <c r="O4013" i="1"/>
  <c r="P4013" i="1"/>
  <c r="Q4013" i="1"/>
  <c r="O4014" i="1"/>
  <c r="P4014" i="1"/>
  <c r="Q4014" i="1"/>
  <c r="O4015" i="1"/>
  <c r="P4015" i="1"/>
  <c r="Q4015" i="1"/>
  <c r="O4016" i="1"/>
  <c r="P4016" i="1"/>
  <c r="Q4016" i="1"/>
  <c r="O4017" i="1"/>
  <c r="P4017" i="1"/>
  <c r="Q4017" i="1"/>
  <c r="O4018" i="1"/>
  <c r="P4018" i="1"/>
  <c r="Q4018" i="1"/>
  <c r="O4019" i="1"/>
  <c r="P4019" i="1"/>
  <c r="Q4019" i="1"/>
  <c r="O4020" i="1"/>
  <c r="P4020" i="1"/>
  <c r="Q4020" i="1"/>
  <c r="O4021" i="1"/>
  <c r="P4021" i="1"/>
  <c r="Q4021" i="1"/>
  <c r="O4022" i="1"/>
  <c r="P4022" i="1"/>
  <c r="Q4022" i="1"/>
  <c r="O4023" i="1"/>
  <c r="P4023" i="1"/>
  <c r="Q4023" i="1"/>
  <c r="O4024" i="1"/>
  <c r="P4024" i="1"/>
  <c r="Q4024" i="1"/>
  <c r="O4025" i="1"/>
  <c r="P4025" i="1"/>
  <c r="Q4025" i="1"/>
  <c r="O4026" i="1"/>
  <c r="P4026" i="1"/>
  <c r="Q4026" i="1"/>
  <c r="O4027" i="1"/>
  <c r="P4027" i="1"/>
  <c r="Q4027" i="1"/>
  <c r="O4028" i="1"/>
  <c r="P4028" i="1"/>
  <c r="Q4028" i="1"/>
  <c r="O4029" i="1"/>
  <c r="P4029" i="1"/>
  <c r="Q4029" i="1"/>
  <c r="O4030" i="1"/>
  <c r="P4030" i="1"/>
  <c r="Q4030" i="1"/>
  <c r="O4031" i="1"/>
  <c r="P4031" i="1"/>
  <c r="Q4031" i="1"/>
  <c r="O4032" i="1"/>
  <c r="P4032" i="1"/>
  <c r="Q4032" i="1"/>
  <c r="O4033" i="1"/>
  <c r="P4033" i="1"/>
  <c r="Q4033" i="1"/>
  <c r="O4034" i="1"/>
  <c r="P4034" i="1"/>
  <c r="Q4034" i="1"/>
  <c r="O4035" i="1"/>
  <c r="P4035" i="1"/>
  <c r="Q4035" i="1"/>
  <c r="O4036" i="1"/>
  <c r="P4036" i="1"/>
  <c r="Q4036" i="1"/>
  <c r="O4037" i="1"/>
  <c r="P4037" i="1"/>
  <c r="Q4037" i="1"/>
  <c r="O4038" i="1"/>
  <c r="P4038" i="1"/>
  <c r="Q4038" i="1"/>
  <c r="O4039" i="1"/>
  <c r="P4039" i="1"/>
  <c r="Q4039" i="1"/>
  <c r="O4040" i="1"/>
  <c r="P4040" i="1"/>
  <c r="Q4040" i="1"/>
  <c r="O4041" i="1"/>
  <c r="P4041" i="1"/>
  <c r="Q4041" i="1"/>
  <c r="O4042" i="1"/>
  <c r="P4042" i="1"/>
  <c r="Q4042" i="1"/>
  <c r="O4043" i="1"/>
  <c r="P4043" i="1"/>
  <c r="Q4043" i="1"/>
  <c r="O4044" i="1"/>
  <c r="P4044" i="1"/>
  <c r="Q4044" i="1"/>
  <c r="O4045" i="1"/>
  <c r="P4045" i="1"/>
  <c r="Q4045" i="1"/>
  <c r="O4046" i="1"/>
  <c r="P4046" i="1"/>
  <c r="Q4046" i="1"/>
  <c r="O4047" i="1"/>
  <c r="P4047" i="1"/>
  <c r="Q4047" i="1"/>
  <c r="O4048" i="1"/>
  <c r="P4048" i="1"/>
  <c r="Q4048" i="1"/>
  <c r="O4049" i="1"/>
  <c r="P4049" i="1"/>
  <c r="Q4049" i="1"/>
  <c r="O4050" i="1"/>
  <c r="P4050" i="1"/>
  <c r="Q4050" i="1"/>
  <c r="O4051" i="1"/>
  <c r="P4051" i="1"/>
  <c r="Q4051" i="1"/>
  <c r="O4052" i="1"/>
  <c r="P4052" i="1"/>
  <c r="Q4052" i="1"/>
  <c r="O4053" i="1"/>
  <c r="P4053" i="1"/>
  <c r="Q4053" i="1"/>
  <c r="O4054" i="1"/>
  <c r="P4054" i="1"/>
  <c r="Q4054" i="1"/>
  <c r="O4055" i="1"/>
  <c r="P4055" i="1"/>
  <c r="Q4055" i="1"/>
  <c r="O4056" i="1"/>
  <c r="P4056" i="1"/>
  <c r="Q4056" i="1"/>
  <c r="O4057" i="1"/>
  <c r="P4057" i="1"/>
  <c r="Q4057" i="1"/>
  <c r="O4058" i="1"/>
  <c r="P4058" i="1"/>
  <c r="Q4058" i="1"/>
  <c r="O4059" i="1"/>
  <c r="P4059" i="1"/>
  <c r="Q4059" i="1"/>
  <c r="O4060" i="1"/>
  <c r="P4060" i="1"/>
  <c r="Q4060" i="1"/>
  <c r="O4061" i="1"/>
  <c r="P4061" i="1"/>
  <c r="Q4061" i="1"/>
  <c r="O4062" i="1"/>
  <c r="P4062" i="1"/>
  <c r="Q4062" i="1"/>
  <c r="O4063" i="1"/>
  <c r="P4063" i="1"/>
  <c r="Q4063" i="1"/>
  <c r="O4064" i="1"/>
  <c r="P4064" i="1"/>
  <c r="Q4064" i="1"/>
  <c r="O4065" i="1"/>
  <c r="P4065" i="1"/>
  <c r="Q4065" i="1"/>
  <c r="O4066" i="1"/>
  <c r="P4066" i="1"/>
  <c r="Q4066" i="1"/>
  <c r="O4067" i="1"/>
  <c r="P4067" i="1"/>
  <c r="Q4067" i="1"/>
  <c r="O4068" i="1"/>
  <c r="P4068" i="1"/>
  <c r="Q4068" i="1"/>
  <c r="O4069" i="1"/>
  <c r="P4069" i="1"/>
  <c r="Q4069" i="1"/>
  <c r="O4070" i="1"/>
  <c r="P4070" i="1"/>
  <c r="Q4070" i="1"/>
  <c r="O4071" i="1"/>
  <c r="P4071" i="1"/>
  <c r="Q4071" i="1"/>
  <c r="O4072" i="1"/>
  <c r="P4072" i="1"/>
  <c r="Q4072" i="1"/>
  <c r="O4073" i="1"/>
  <c r="P4073" i="1"/>
  <c r="Q4073" i="1"/>
  <c r="O4074" i="1"/>
  <c r="P4074" i="1"/>
  <c r="Q4074" i="1"/>
  <c r="O4075" i="1"/>
  <c r="P4075" i="1"/>
  <c r="Q4075" i="1"/>
  <c r="O4076" i="1"/>
  <c r="P4076" i="1"/>
  <c r="Q4076" i="1"/>
  <c r="O4077" i="1"/>
  <c r="P4077" i="1"/>
  <c r="Q4077" i="1"/>
  <c r="O4078" i="1"/>
  <c r="P4078" i="1"/>
  <c r="Q4078" i="1"/>
  <c r="O4079" i="1"/>
  <c r="P4079" i="1"/>
  <c r="Q4079" i="1"/>
  <c r="O4080" i="1"/>
  <c r="P4080" i="1"/>
  <c r="Q4080" i="1"/>
  <c r="O4081" i="1"/>
  <c r="P4081" i="1"/>
  <c r="Q4081" i="1"/>
  <c r="O4082" i="1"/>
  <c r="P4082" i="1"/>
  <c r="Q4082" i="1"/>
  <c r="O4083" i="1"/>
  <c r="P4083" i="1"/>
  <c r="Q4083" i="1"/>
  <c r="O4084" i="1"/>
  <c r="P4084" i="1"/>
  <c r="Q4084" i="1"/>
  <c r="O4085" i="1"/>
  <c r="P4085" i="1"/>
  <c r="Q4085" i="1"/>
  <c r="O4086" i="1"/>
  <c r="P4086" i="1"/>
  <c r="Q4086" i="1"/>
  <c r="O4087" i="1"/>
  <c r="P4087" i="1"/>
  <c r="Q4087" i="1"/>
  <c r="O4088" i="1"/>
  <c r="P4088" i="1"/>
  <c r="Q4088" i="1"/>
  <c r="O4089" i="1"/>
  <c r="P4089" i="1"/>
  <c r="Q4089" i="1"/>
  <c r="O4090" i="1"/>
  <c r="P4090" i="1"/>
  <c r="Q4090" i="1"/>
  <c r="O4091" i="1"/>
  <c r="P4091" i="1"/>
  <c r="Q4091" i="1"/>
  <c r="O4092" i="1"/>
  <c r="P4092" i="1"/>
  <c r="Q4092" i="1"/>
  <c r="O4093" i="1"/>
  <c r="P4093" i="1"/>
  <c r="Q4093" i="1"/>
  <c r="O4094" i="1"/>
  <c r="P4094" i="1"/>
  <c r="Q4094" i="1"/>
  <c r="O4095" i="1"/>
  <c r="P4095" i="1"/>
  <c r="Q4095" i="1"/>
  <c r="O4096" i="1"/>
  <c r="P4096" i="1"/>
  <c r="Q4096" i="1"/>
  <c r="O4097" i="1"/>
  <c r="P4097" i="1"/>
  <c r="Q4097" i="1"/>
  <c r="O4098" i="1"/>
  <c r="P4098" i="1"/>
  <c r="Q4098" i="1"/>
  <c r="O4099" i="1"/>
  <c r="P4099" i="1"/>
  <c r="Q4099" i="1"/>
  <c r="O4100" i="1"/>
  <c r="P4100" i="1"/>
  <c r="Q4100" i="1"/>
  <c r="O4101" i="1"/>
  <c r="P4101" i="1"/>
  <c r="Q4101" i="1"/>
  <c r="O4102" i="1"/>
  <c r="P4102" i="1"/>
  <c r="Q4102" i="1"/>
  <c r="O4103" i="1"/>
  <c r="P4103" i="1"/>
  <c r="Q4103" i="1"/>
  <c r="O4104" i="1"/>
  <c r="P4104" i="1"/>
  <c r="Q4104" i="1"/>
  <c r="O4105" i="1"/>
  <c r="P4105" i="1"/>
  <c r="Q4105" i="1"/>
  <c r="O4106" i="1"/>
  <c r="P4106" i="1"/>
  <c r="Q4106" i="1"/>
  <c r="O4107" i="1"/>
  <c r="P4107" i="1"/>
  <c r="Q4107" i="1"/>
  <c r="O4108" i="1"/>
  <c r="P4108" i="1"/>
  <c r="Q4108" i="1"/>
  <c r="O4109" i="1"/>
  <c r="P4109" i="1"/>
  <c r="Q4109" i="1"/>
  <c r="O4110" i="1"/>
  <c r="P4110" i="1"/>
  <c r="Q4110" i="1"/>
  <c r="O4111" i="1"/>
  <c r="P4111" i="1"/>
  <c r="Q4111" i="1"/>
  <c r="O4112" i="1"/>
  <c r="P4112" i="1"/>
  <c r="Q4112" i="1"/>
  <c r="O4113" i="1"/>
  <c r="P4113" i="1"/>
  <c r="Q4113" i="1"/>
  <c r="O4114" i="1"/>
  <c r="P4114" i="1"/>
  <c r="Q4114" i="1"/>
  <c r="O4115" i="1"/>
  <c r="P4115" i="1"/>
  <c r="Q4115" i="1"/>
  <c r="O4116" i="1"/>
  <c r="P4116" i="1"/>
  <c r="Q4116" i="1"/>
  <c r="O4117" i="1"/>
  <c r="P4117" i="1"/>
  <c r="Q4117" i="1"/>
  <c r="O4118" i="1"/>
  <c r="P4118" i="1"/>
  <c r="Q4118" i="1"/>
  <c r="O4119" i="1"/>
  <c r="P4119" i="1"/>
  <c r="Q4119" i="1"/>
  <c r="O4120" i="1"/>
  <c r="P4120" i="1"/>
  <c r="Q4120" i="1"/>
  <c r="O4121" i="1"/>
  <c r="P4121" i="1"/>
  <c r="Q4121" i="1"/>
  <c r="O4122" i="1"/>
  <c r="P4122" i="1"/>
  <c r="Q4122" i="1"/>
  <c r="O4123" i="1"/>
  <c r="P4123" i="1"/>
  <c r="Q4123" i="1"/>
  <c r="O4124" i="1"/>
  <c r="P4124" i="1"/>
  <c r="Q4124" i="1"/>
  <c r="O4125" i="1"/>
  <c r="P4125" i="1"/>
  <c r="Q4125" i="1"/>
  <c r="O4126" i="1"/>
  <c r="P4126" i="1"/>
  <c r="Q4126" i="1"/>
  <c r="O4127" i="1"/>
  <c r="P4127" i="1"/>
  <c r="Q4127" i="1"/>
  <c r="O4128" i="1"/>
  <c r="P4128" i="1"/>
  <c r="Q4128" i="1"/>
  <c r="O4129" i="1"/>
  <c r="P4129" i="1"/>
  <c r="Q4129" i="1"/>
  <c r="O4130" i="1"/>
  <c r="P4130" i="1"/>
  <c r="Q4130" i="1"/>
  <c r="O4131" i="1"/>
  <c r="P4131" i="1"/>
  <c r="Q4131" i="1"/>
  <c r="O4132" i="1"/>
  <c r="P4132" i="1"/>
  <c r="Q4132" i="1"/>
  <c r="O4133" i="1"/>
  <c r="P4133" i="1"/>
  <c r="Q4133" i="1"/>
  <c r="O4134" i="1"/>
  <c r="P4134" i="1"/>
  <c r="Q4134" i="1"/>
  <c r="O4135" i="1"/>
  <c r="P4135" i="1"/>
  <c r="Q4135" i="1"/>
  <c r="O4136" i="1"/>
  <c r="P4136" i="1"/>
  <c r="Q4136" i="1"/>
  <c r="O4137" i="1"/>
  <c r="P4137" i="1"/>
  <c r="Q4137" i="1"/>
  <c r="O4138" i="1"/>
  <c r="P4138" i="1"/>
  <c r="Q4138" i="1"/>
  <c r="O4139" i="1"/>
  <c r="P4139" i="1"/>
  <c r="Q4139" i="1"/>
  <c r="O4140" i="1"/>
  <c r="P4140" i="1"/>
  <c r="Q4140" i="1"/>
  <c r="O4141" i="1"/>
  <c r="P4141" i="1"/>
  <c r="Q4141" i="1"/>
  <c r="O4142" i="1"/>
  <c r="P4142" i="1"/>
  <c r="Q4142" i="1"/>
  <c r="O4143" i="1"/>
  <c r="P4143" i="1"/>
  <c r="Q4143" i="1"/>
  <c r="O4144" i="1"/>
  <c r="P4144" i="1"/>
  <c r="Q4144" i="1"/>
  <c r="O4145" i="1"/>
  <c r="P4145" i="1"/>
  <c r="Q4145" i="1"/>
  <c r="O4146" i="1"/>
  <c r="P4146" i="1"/>
  <c r="Q4146" i="1"/>
  <c r="O4147" i="1"/>
  <c r="P4147" i="1"/>
  <c r="Q4147" i="1"/>
  <c r="O4148" i="1"/>
  <c r="P4148" i="1"/>
  <c r="Q4148" i="1"/>
  <c r="O4149" i="1"/>
  <c r="P4149" i="1"/>
  <c r="Q4149" i="1"/>
  <c r="O4150" i="1"/>
  <c r="P4150" i="1"/>
  <c r="Q4150" i="1"/>
  <c r="O4151" i="1"/>
  <c r="P4151" i="1"/>
  <c r="Q4151" i="1"/>
  <c r="O4152" i="1"/>
  <c r="P4152" i="1"/>
  <c r="Q4152" i="1"/>
  <c r="O4153" i="1"/>
  <c r="P4153" i="1"/>
  <c r="Q4153" i="1"/>
  <c r="O4154" i="1"/>
  <c r="P4154" i="1"/>
  <c r="Q4154" i="1"/>
  <c r="O4155" i="1"/>
  <c r="P4155" i="1"/>
  <c r="Q4155" i="1"/>
  <c r="O4156" i="1"/>
  <c r="P4156" i="1"/>
  <c r="Q4156" i="1"/>
  <c r="O4157" i="1"/>
  <c r="P4157" i="1"/>
  <c r="Q4157" i="1"/>
  <c r="O4158" i="1"/>
  <c r="P4158" i="1"/>
  <c r="Q4158" i="1"/>
  <c r="O4159" i="1"/>
  <c r="P4159" i="1"/>
  <c r="Q4159" i="1"/>
  <c r="O4160" i="1"/>
  <c r="P4160" i="1"/>
  <c r="Q4160" i="1"/>
  <c r="O4161" i="1"/>
  <c r="P4161" i="1"/>
  <c r="Q4161" i="1"/>
  <c r="O4162" i="1"/>
  <c r="P4162" i="1"/>
  <c r="Q4162" i="1"/>
  <c r="O4163" i="1"/>
  <c r="P4163" i="1"/>
  <c r="Q4163" i="1"/>
  <c r="O4164" i="1"/>
  <c r="P4164" i="1"/>
  <c r="Q4164" i="1"/>
  <c r="O4165" i="1"/>
  <c r="P4165" i="1"/>
  <c r="Q4165" i="1"/>
  <c r="O4166" i="1"/>
  <c r="P4166" i="1"/>
  <c r="Q4166" i="1"/>
  <c r="O4167" i="1"/>
  <c r="P4167" i="1"/>
  <c r="Q4167" i="1"/>
  <c r="O4168" i="1"/>
  <c r="P4168" i="1"/>
  <c r="Q4168" i="1"/>
  <c r="O4169" i="1"/>
  <c r="P4169" i="1"/>
  <c r="Q4169" i="1"/>
  <c r="O4170" i="1"/>
  <c r="P4170" i="1"/>
  <c r="Q4170" i="1"/>
  <c r="O4171" i="1"/>
  <c r="P4171" i="1"/>
  <c r="Q4171" i="1"/>
  <c r="O4172" i="1"/>
  <c r="P4172" i="1"/>
  <c r="Q4172" i="1"/>
  <c r="O4173" i="1"/>
  <c r="P4173" i="1"/>
  <c r="Q4173" i="1"/>
  <c r="O4174" i="1"/>
  <c r="P4174" i="1"/>
  <c r="Q4174" i="1"/>
  <c r="O4175" i="1"/>
  <c r="P4175" i="1"/>
  <c r="Q4175" i="1"/>
  <c r="O4176" i="1"/>
  <c r="P4176" i="1"/>
  <c r="Q4176" i="1"/>
  <c r="O4177" i="1"/>
  <c r="P4177" i="1"/>
  <c r="Q4177" i="1"/>
  <c r="O4178" i="1"/>
  <c r="P4178" i="1"/>
  <c r="Q4178" i="1"/>
  <c r="O4179" i="1"/>
  <c r="P4179" i="1"/>
  <c r="Q4179" i="1"/>
  <c r="O4180" i="1"/>
  <c r="P4180" i="1"/>
  <c r="Q4180" i="1"/>
  <c r="O4181" i="1"/>
  <c r="P4181" i="1"/>
  <c r="Q4181" i="1"/>
  <c r="O4182" i="1"/>
  <c r="P4182" i="1"/>
  <c r="Q4182" i="1"/>
  <c r="O4183" i="1"/>
  <c r="P4183" i="1"/>
  <c r="Q4183" i="1"/>
  <c r="O4184" i="1"/>
  <c r="P4184" i="1"/>
  <c r="Q4184" i="1"/>
  <c r="O4185" i="1"/>
  <c r="P4185" i="1"/>
  <c r="Q4185" i="1"/>
  <c r="O4186" i="1"/>
  <c r="P4186" i="1"/>
  <c r="Q4186" i="1"/>
  <c r="O4187" i="1"/>
  <c r="P4187" i="1"/>
  <c r="Q4187" i="1"/>
  <c r="O4188" i="1"/>
  <c r="P4188" i="1"/>
  <c r="Q4188" i="1"/>
  <c r="O4189" i="1"/>
  <c r="P4189" i="1"/>
  <c r="Q4189" i="1"/>
  <c r="O4190" i="1"/>
  <c r="P4190" i="1"/>
  <c r="Q4190" i="1"/>
  <c r="O4191" i="1"/>
  <c r="P4191" i="1"/>
  <c r="Q4191" i="1"/>
  <c r="O4192" i="1"/>
  <c r="P4192" i="1"/>
  <c r="Q4192" i="1"/>
  <c r="O4193" i="1"/>
  <c r="P4193" i="1"/>
  <c r="Q4193" i="1"/>
  <c r="O4194" i="1"/>
  <c r="P4194" i="1"/>
  <c r="Q4194" i="1"/>
  <c r="O4195" i="1"/>
  <c r="P4195" i="1"/>
  <c r="Q4195" i="1"/>
  <c r="O4196" i="1"/>
  <c r="P4196" i="1"/>
  <c r="Q4196" i="1"/>
  <c r="O4197" i="1"/>
  <c r="P4197" i="1"/>
  <c r="Q4197" i="1"/>
  <c r="O4198" i="1"/>
  <c r="P4198" i="1"/>
  <c r="Q4198" i="1"/>
  <c r="O4199" i="1"/>
  <c r="P4199" i="1"/>
  <c r="Q4199" i="1"/>
  <c r="O4200" i="1"/>
  <c r="P4200" i="1"/>
  <c r="Q4200" i="1"/>
  <c r="O4201" i="1"/>
  <c r="P4201" i="1"/>
  <c r="Q4201" i="1"/>
  <c r="O4202" i="1"/>
  <c r="P4202" i="1"/>
  <c r="Q4202" i="1"/>
  <c r="O4203" i="1"/>
  <c r="P4203" i="1"/>
  <c r="Q4203" i="1"/>
  <c r="O4204" i="1"/>
  <c r="P4204" i="1"/>
  <c r="Q4204" i="1"/>
  <c r="O4205" i="1"/>
  <c r="P4205" i="1"/>
  <c r="Q4205" i="1"/>
  <c r="O4206" i="1"/>
  <c r="P4206" i="1"/>
  <c r="Q4206" i="1"/>
  <c r="O4207" i="1"/>
  <c r="P4207" i="1"/>
  <c r="Q4207" i="1"/>
  <c r="O4208" i="1"/>
  <c r="P4208" i="1"/>
  <c r="Q4208" i="1"/>
  <c r="O4209" i="1"/>
  <c r="P4209" i="1"/>
  <c r="Q4209" i="1"/>
  <c r="O4210" i="1"/>
  <c r="P4210" i="1"/>
  <c r="Q4210" i="1"/>
  <c r="O4211" i="1"/>
  <c r="P4211" i="1"/>
  <c r="Q4211" i="1"/>
  <c r="O4212" i="1"/>
  <c r="P4212" i="1"/>
  <c r="Q4212" i="1"/>
  <c r="O4213" i="1"/>
  <c r="P4213" i="1"/>
  <c r="Q4213" i="1"/>
  <c r="O4214" i="1"/>
  <c r="P4214" i="1"/>
  <c r="Q4214" i="1"/>
  <c r="O4215" i="1"/>
  <c r="P4215" i="1"/>
  <c r="Q4215" i="1"/>
  <c r="O4216" i="1"/>
  <c r="P4216" i="1"/>
  <c r="Q4216" i="1"/>
  <c r="O4217" i="1"/>
  <c r="P4217" i="1"/>
  <c r="Q4217" i="1"/>
  <c r="O4218" i="1"/>
  <c r="P4218" i="1"/>
  <c r="Q4218" i="1"/>
  <c r="O4219" i="1"/>
  <c r="P4219" i="1"/>
  <c r="Q4219" i="1"/>
  <c r="O4220" i="1"/>
  <c r="P4220" i="1"/>
  <c r="Q4220" i="1"/>
  <c r="O4221" i="1"/>
  <c r="P4221" i="1"/>
  <c r="Q4221" i="1"/>
  <c r="O4222" i="1"/>
  <c r="P4222" i="1"/>
  <c r="Q4222" i="1"/>
  <c r="O4223" i="1"/>
  <c r="P4223" i="1"/>
  <c r="Q4223" i="1"/>
  <c r="O4224" i="1"/>
  <c r="P4224" i="1"/>
  <c r="Q4224" i="1"/>
  <c r="O4225" i="1"/>
  <c r="P4225" i="1"/>
  <c r="Q4225" i="1"/>
  <c r="O4226" i="1"/>
  <c r="P4226" i="1"/>
  <c r="Q4226" i="1"/>
  <c r="O4227" i="1"/>
  <c r="P4227" i="1"/>
  <c r="Q4227" i="1"/>
  <c r="O4228" i="1"/>
  <c r="P4228" i="1"/>
  <c r="Q4228" i="1"/>
  <c r="O4229" i="1"/>
  <c r="P4229" i="1"/>
  <c r="Q4229" i="1"/>
  <c r="O4230" i="1"/>
  <c r="P4230" i="1"/>
  <c r="Q4230" i="1"/>
  <c r="O4231" i="1"/>
  <c r="P4231" i="1"/>
  <c r="Q4231" i="1"/>
  <c r="O4232" i="1"/>
  <c r="P4232" i="1"/>
  <c r="Q4232" i="1"/>
  <c r="O4233" i="1"/>
  <c r="P4233" i="1"/>
  <c r="Q4233" i="1"/>
  <c r="O4234" i="1"/>
  <c r="P4234" i="1"/>
  <c r="Q4234" i="1"/>
  <c r="O4235" i="1"/>
  <c r="P4235" i="1"/>
  <c r="Q4235" i="1"/>
  <c r="O4236" i="1"/>
  <c r="P4236" i="1"/>
  <c r="Q4236" i="1"/>
  <c r="O4237" i="1"/>
  <c r="P4237" i="1"/>
  <c r="Q4237" i="1"/>
  <c r="O4238" i="1"/>
  <c r="P4238" i="1"/>
  <c r="Q4238" i="1"/>
  <c r="O4239" i="1"/>
  <c r="P4239" i="1"/>
  <c r="Q4239" i="1"/>
  <c r="O4240" i="1"/>
  <c r="P4240" i="1"/>
  <c r="Q4240" i="1"/>
  <c r="O4241" i="1"/>
  <c r="P4241" i="1"/>
  <c r="Q4241" i="1"/>
  <c r="O4242" i="1"/>
  <c r="P4242" i="1"/>
  <c r="Q4242" i="1"/>
  <c r="O4243" i="1"/>
  <c r="P4243" i="1"/>
  <c r="Q4243" i="1"/>
  <c r="O4244" i="1"/>
  <c r="P4244" i="1"/>
  <c r="Q4244" i="1"/>
  <c r="O4245" i="1"/>
  <c r="P4245" i="1"/>
  <c r="Q4245" i="1"/>
  <c r="O4246" i="1"/>
  <c r="P4246" i="1"/>
  <c r="Q4246" i="1"/>
  <c r="O4247" i="1"/>
  <c r="P4247" i="1"/>
  <c r="Q4247" i="1"/>
  <c r="O4248" i="1"/>
  <c r="P4248" i="1"/>
  <c r="Q4248" i="1"/>
  <c r="O4249" i="1"/>
  <c r="P4249" i="1"/>
  <c r="Q4249" i="1"/>
  <c r="O4250" i="1"/>
  <c r="P4250" i="1"/>
  <c r="Q4250" i="1"/>
  <c r="O4251" i="1"/>
  <c r="P4251" i="1"/>
  <c r="Q4251" i="1"/>
  <c r="O4252" i="1"/>
  <c r="P4252" i="1"/>
  <c r="Q4252" i="1"/>
  <c r="O4253" i="1"/>
  <c r="P4253" i="1"/>
  <c r="Q4253" i="1"/>
  <c r="O4254" i="1"/>
  <c r="P4254" i="1"/>
  <c r="Q4254" i="1"/>
  <c r="O4255" i="1"/>
  <c r="P4255" i="1"/>
  <c r="Q4255" i="1"/>
  <c r="O4256" i="1"/>
  <c r="P4256" i="1"/>
  <c r="Q4256" i="1"/>
  <c r="O4257" i="1"/>
  <c r="P4257" i="1"/>
  <c r="Q4257" i="1"/>
  <c r="O4258" i="1"/>
  <c r="P4258" i="1"/>
  <c r="Q4258" i="1"/>
  <c r="O4259" i="1"/>
  <c r="P4259" i="1"/>
  <c r="Q4259" i="1"/>
  <c r="O4260" i="1"/>
  <c r="P4260" i="1"/>
  <c r="Q4260" i="1"/>
  <c r="O4261" i="1"/>
  <c r="P4261" i="1"/>
  <c r="Q4261" i="1"/>
  <c r="O4262" i="1"/>
  <c r="P4262" i="1"/>
  <c r="Q4262" i="1"/>
  <c r="O4263" i="1"/>
  <c r="P4263" i="1"/>
  <c r="Q4263" i="1"/>
  <c r="O4264" i="1"/>
  <c r="P4264" i="1"/>
  <c r="Q4264" i="1"/>
  <c r="O4265" i="1"/>
  <c r="P4265" i="1"/>
  <c r="Q4265" i="1"/>
  <c r="O4266" i="1"/>
  <c r="P4266" i="1"/>
  <c r="Q4266" i="1"/>
  <c r="O4267" i="1"/>
  <c r="P4267" i="1"/>
  <c r="Q4267" i="1"/>
  <c r="O4268" i="1"/>
  <c r="P4268" i="1"/>
  <c r="Q4268" i="1"/>
  <c r="O4269" i="1"/>
  <c r="P4269" i="1"/>
  <c r="Q4269" i="1"/>
  <c r="O4270" i="1"/>
  <c r="P4270" i="1"/>
  <c r="Q4270" i="1"/>
  <c r="O4271" i="1"/>
  <c r="P4271" i="1"/>
  <c r="Q4271" i="1"/>
  <c r="O4272" i="1"/>
  <c r="P4272" i="1"/>
  <c r="Q4272" i="1"/>
  <c r="O4273" i="1"/>
  <c r="P4273" i="1"/>
  <c r="Q4273" i="1"/>
  <c r="O4274" i="1"/>
  <c r="P4274" i="1"/>
  <c r="Q4274" i="1"/>
  <c r="O4275" i="1"/>
  <c r="P4275" i="1"/>
  <c r="Q4275" i="1"/>
  <c r="O4276" i="1"/>
  <c r="P4276" i="1"/>
  <c r="Q4276" i="1"/>
  <c r="O4277" i="1"/>
  <c r="P4277" i="1"/>
  <c r="Q4277" i="1"/>
  <c r="O4278" i="1"/>
  <c r="P4278" i="1"/>
  <c r="Q4278" i="1"/>
  <c r="O4279" i="1"/>
  <c r="P4279" i="1"/>
  <c r="Q4279" i="1"/>
  <c r="O4280" i="1"/>
  <c r="P4280" i="1"/>
  <c r="Q4280" i="1"/>
  <c r="O4281" i="1"/>
  <c r="P4281" i="1"/>
  <c r="Q4281" i="1"/>
  <c r="O4282" i="1"/>
  <c r="P4282" i="1"/>
  <c r="Q4282" i="1"/>
  <c r="O4283" i="1"/>
  <c r="P4283" i="1"/>
  <c r="Q4283" i="1"/>
  <c r="O4284" i="1"/>
  <c r="P4284" i="1"/>
  <c r="Q4284" i="1"/>
  <c r="O4285" i="1"/>
  <c r="P4285" i="1"/>
  <c r="Q4285" i="1"/>
  <c r="O4286" i="1"/>
  <c r="P4286" i="1"/>
  <c r="Q4286" i="1"/>
  <c r="O4287" i="1"/>
  <c r="P4287" i="1"/>
  <c r="Q4287" i="1"/>
  <c r="O4288" i="1"/>
  <c r="P4288" i="1"/>
  <c r="Q4288" i="1"/>
  <c r="O4289" i="1"/>
  <c r="P4289" i="1"/>
  <c r="Q4289" i="1"/>
  <c r="O4290" i="1"/>
  <c r="P4290" i="1"/>
  <c r="Q4290" i="1"/>
  <c r="O4291" i="1"/>
  <c r="P4291" i="1"/>
  <c r="Q4291" i="1"/>
  <c r="O4292" i="1"/>
  <c r="P4292" i="1"/>
  <c r="Q4292" i="1"/>
  <c r="O4293" i="1"/>
  <c r="P4293" i="1"/>
  <c r="Q4293" i="1"/>
  <c r="O4294" i="1"/>
  <c r="P4294" i="1"/>
  <c r="Q4294" i="1"/>
  <c r="O4295" i="1"/>
  <c r="P4295" i="1"/>
  <c r="Q4295" i="1"/>
  <c r="O4296" i="1"/>
  <c r="P4296" i="1"/>
  <c r="Q4296" i="1"/>
  <c r="O4297" i="1"/>
  <c r="P4297" i="1"/>
  <c r="Q4297" i="1"/>
  <c r="O4298" i="1"/>
  <c r="P4298" i="1"/>
  <c r="Q4298" i="1"/>
  <c r="O4299" i="1"/>
  <c r="P4299" i="1"/>
  <c r="Q4299" i="1"/>
  <c r="O4300" i="1"/>
  <c r="P4300" i="1"/>
  <c r="Q4300" i="1"/>
  <c r="O4301" i="1"/>
  <c r="P4301" i="1"/>
  <c r="Q4301" i="1"/>
  <c r="O4302" i="1"/>
  <c r="P4302" i="1"/>
  <c r="Q4302" i="1"/>
  <c r="O4303" i="1"/>
  <c r="P4303" i="1"/>
  <c r="Q4303" i="1"/>
  <c r="O4304" i="1"/>
  <c r="P4304" i="1"/>
  <c r="Q4304" i="1"/>
  <c r="O4305" i="1"/>
  <c r="P4305" i="1"/>
  <c r="Q4305" i="1"/>
  <c r="O4306" i="1"/>
  <c r="P4306" i="1"/>
  <c r="Q4306" i="1"/>
  <c r="O4307" i="1"/>
  <c r="P4307" i="1"/>
  <c r="Q4307" i="1"/>
  <c r="O4308" i="1"/>
  <c r="P4308" i="1"/>
  <c r="Q4308" i="1"/>
  <c r="O4309" i="1"/>
  <c r="P4309" i="1"/>
  <c r="Q4309" i="1"/>
  <c r="O4310" i="1"/>
  <c r="P4310" i="1"/>
  <c r="Q4310" i="1"/>
  <c r="O4311" i="1"/>
  <c r="P4311" i="1"/>
  <c r="Q4311" i="1"/>
  <c r="O4312" i="1"/>
  <c r="P4312" i="1"/>
  <c r="Q4312" i="1"/>
  <c r="O4313" i="1"/>
  <c r="P4313" i="1"/>
  <c r="Q4313" i="1"/>
  <c r="O4314" i="1"/>
  <c r="P4314" i="1"/>
  <c r="Q4314" i="1"/>
  <c r="O4315" i="1"/>
  <c r="P4315" i="1"/>
  <c r="Q4315" i="1"/>
  <c r="O4316" i="1"/>
  <c r="P4316" i="1"/>
  <c r="Q4316" i="1"/>
  <c r="O4317" i="1"/>
  <c r="P4317" i="1"/>
  <c r="Q4317" i="1"/>
  <c r="O4318" i="1"/>
  <c r="P4318" i="1"/>
  <c r="Q4318" i="1"/>
  <c r="O4319" i="1"/>
  <c r="P4319" i="1"/>
  <c r="Q4319" i="1"/>
  <c r="O4320" i="1"/>
  <c r="P4320" i="1"/>
  <c r="Q4320" i="1"/>
  <c r="O4321" i="1"/>
  <c r="P4321" i="1"/>
  <c r="Q4321" i="1"/>
  <c r="O4322" i="1"/>
  <c r="P4322" i="1"/>
  <c r="Q4322" i="1"/>
  <c r="O4323" i="1"/>
  <c r="P4323" i="1"/>
  <c r="Q4323" i="1"/>
  <c r="O4324" i="1"/>
  <c r="P4324" i="1"/>
  <c r="Q4324" i="1"/>
  <c r="O4325" i="1"/>
  <c r="P4325" i="1"/>
  <c r="Q4325" i="1"/>
  <c r="O4326" i="1"/>
  <c r="P4326" i="1"/>
  <c r="Q4326" i="1"/>
  <c r="O4327" i="1"/>
  <c r="P4327" i="1"/>
  <c r="Q4327" i="1"/>
  <c r="O4328" i="1"/>
  <c r="P4328" i="1"/>
  <c r="Q4328" i="1"/>
  <c r="O4329" i="1"/>
  <c r="P4329" i="1"/>
  <c r="Q4329" i="1"/>
  <c r="O4330" i="1"/>
  <c r="P4330" i="1"/>
  <c r="Q4330" i="1"/>
  <c r="O4331" i="1"/>
  <c r="P4331" i="1"/>
  <c r="Q4331" i="1"/>
  <c r="O4332" i="1"/>
  <c r="P4332" i="1"/>
  <c r="Q4332" i="1"/>
  <c r="O4333" i="1"/>
  <c r="P4333" i="1"/>
  <c r="Q4333" i="1"/>
  <c r="O4334" i="1"/>
  <c r="P4334" i="1"/>
  <c r="Q4334" i="1"/>
  <c r="O4335" i="1"/>
  <c r="P4335" i="1"/>
  <c r="Q4335" i="1"/>
  <c r="O4336" i="1"/>
  <c r="P4336" i="1"/>
  <c r="Q4336" i="1"/>
  <c r="O4337" i="1"/>
  <c r="P4337" i="1"/>
  <c r="Q4337" i="1"/>
  <c r="O4338" i="1"/>
  <c r="P4338" i="1"/>
  <c r="Q4338" i="1"/>
  <c r="O4339" i="1"/>
  <c r="P4339" i="1"/>
  <c r="Q4339" i="1"/>
  <c r="O4340" i="1"/>
  <c r="P4340" i="1"/>
  <c r="Q4340" i="1"/>
  <c r="O4341" i="1"/>
  <c r="P4341" i="1"/>
  <c r="Q4341" i="1"/>
  <c r="O4342" i="1"/>
  <c r="P4342" i="1"/>
  <c r="Q4342" i="1"/>
  <c r="O4343" i="1"/>
  <c r="P4343" i="1"/>
  <c r="Q4343" i="1"/>
  <c r="O4344" i="1"/>
  <c r="P4344" i="1"/>
  <c r="Q4344" i="1"/>
  <c r="O4345" i="1"/>
  <c r="P4345" i="1"/>
  <c r="Q4345" i="1"/>
  <c r="O4346" i="1"/>
  <c r="P4346" i="1"/>
  <c r="Q4346" i="1"/>
  <c r="O4347" i="1"/>
  <c r="P4347" i="1"/>
  <c r="Q4347" i="1"/>
  <c r="O4348" i="1"/>
  <c r="P4348" i="1"/>
  <c r="Q4348" i="1"/>
  <c r="O4349" i="1"/>
  <c r="P4349" i="1"/>
  <c r="Q4349" i="1"/>
  <c r="O4350" i="1"/>
  <c r="P4350" i="1"/>
  <c r="Q4350" i="1"/>
  <c r="O4351" i="1"/>
  <c r="P4351" i="1"/>
  <c r="Q4351" i="1"/>
  <c r="O4352" i="1"/>
  <c r="P4352" i="1"/>
  <c r="Q4352" i="1"/>
  <c r="O4353" i="1"/>
  <c r="P4353" i="1"/>
  <c r="Q4353" i="1"/>
  <c r="O4354" i="1"/>
  <c r="P4354" i="1"/>
  <c r="Q4354" i="1"/>
  <c r="O4355" i="1"/>
  <c r="P4355" i="1"/>
  <c r="Q4355" i="1"/>
  <c r="O4356" i="1"/>
  <c r="P4356" i="1"/>
  <c r="Q4356" i="1"/>
  <c r="O4357" i="1"/>
  <c r="P4357" i="1"/>
  <c r="Q4357" i="1"/>
  <c r="O4358" i="1"/>
  <c r="P4358" i="1"/>
  <c r="Q4358" i="1"/>
  <c r="O4359" i="1"/>
  <c r="P4359" i="1"/>
  <c r="Q4359" i="1"/>
  <c r="O4360" i="1"/>
  <c r="P4360" i="1"/>
  <c r="Q4360" i="1"/>
  <c r="O4361" i="1"/>
  <c r="P4361" i="1"/>
  <c r="Q4361" i="1"/>
  <c r="O4362" i="1"/>
  <c r="P4362" i="1"/>
  <c r="Q4362" i="1"/>
  <c r="O4363" i="1"/>
  <c r="P4363" i="1"/>
  <c r="Q4363" i="1"/>
  <c r="O4364" i="1"/>
  <c r="P4364" i="1"/>
  <c r="Q4364" i="1"/>
  <c r="O4365" i="1"/>
  <c r="P4365" i="1"/>
  <c r="Q4365" i="1"/>
  <c r="O4366" i="1"/>
  <c r="P4366" i="1"/>
  <c r="Q4366" i="1"/>
  <c r="O4367" i="1"/>
  <c r="P4367" i="1"/>
  <c r="Q4367" i="1"/>
  <c r="O4368" i="1"/>
  <c r="P4368" i="1"/>
  <c r="Q4368" i="1"/>
  <c r="O4369" i="1"/>
  <c r="P4369" i="1"/>
  <c r="Q4369" i="1"/>
  <c r="O4370" i="1"/>
  <c r="P4370" i="1"/>
  <c r="Q4370" i="1"/>
  <c r="O4371" i="1"/>
  <c r="P4371" i="1"/>
  <c r="Q4371" i="1"/>
  <c r="O4372" i="1"/>
  <c r="P4372" i="1"/>
  <c r="Q4372" i="1"/>
  <c r="O4373" i="1"/>
  <c r="P4373" i="1"/>
  <c r="Q4373" i="1"/>
  <c r="O4374" i="1"/>
  <c r="P4374" i="1"/>
  <c r="Q4374" i="1"/>
  <c r="O4375" i="1"/>
  <c r="P4375" i="1"/>
  <c r="Q4375" i="1"/>
  <c r="O4376" i="1"/>
  <c r="P4376" i="1"/>
  <c r="Q4376" i="1"/>
  <c r="O4377" i="1"/>
  <c r="P4377" i="1"/>
  <c r="Q4377" i="1"/>
  <c r="O4378" i="1"/>
  <c r="P4378" i="1"/>
  <c r="Q4378" i="1"/>
  <c r="O4379" i="1"/>
  <c r="P4379" i="1"/>
  <c r="Q4379" i="1"/>
  <c r="O4380" i="1"/>
  <c r="P4380" i="1"/>
  <c r="Q4380" i="1"/>
  <c r="O4381" i="1"/>
  <c r="P4381" i="1"/>
  <c r="Q4381" i="1"/>
  <c r="O4382" i="1"/>
  <c r="P4382" i="1"/>
  <c r="Q4382" i="1"/>
  <c r="O4383" i="1"/>
  <c r="P4383" i="1"/>
  <c r="Q4383" i="1"/>
  <c r="O4384" i="1"/>
  <c r="P4384" i="1"/>
  <c r="Q4384" i="1"/>
  <c r="O4385" i="1"/>
  <c r="P4385" i="1"/>
  <c r="Q4385" i="1"/>
  <c r="O4386" i="1"/>
  <c r="P4386" i="1"/>
  <c r="Q4386" i="1"/>
  <c r="O4387" i="1"/>
  <c r="P4387" i="1"/>
  <c r="Q4387" i="1"/>
  <c r="O4388" i="1"/>
  <c r="P4388" i="1"/>
  <c r="Q4388" i="1"/>
  <c r="O4389" i="1"/>
  <c r="P4389" i="1"/>
  <c r="Q4389" i="1"/>
  <c r="O4390" i="1"/>
  <c r="P4390" i="1"/>
  <c r="Q4390" i="1"/>
  <c r="O4391" i="1"/>
  <c r="P4391" i="1"/>
  <c r="Q4391" i="1"/>
  <c r="O4392" i="1"/>
  <c r="P4392" i="1"/>
  <c r="Q4392" i="1"/>
  <c r="O4393" i="1"/>
  <c r="P4393" i="1"/>
  <c r="Q4393" i="1"/>
  <c r="O4394" i="1"/>
  <c r="P4394" i="1"/>
  <c r="Q4394" i="1"/>
  <c r="O4395" i="1"/>
  <c r="P4395" i="1"/>
  <c r="Q4395" i="1"/>
  <c r="O4396" i="1"/>
  <c r="P4396" i="1"/>
  <c r="Q4396" i="1"/>
  <c r="O4397" i="1"/>
  <c r="P4397" i="1"/>
  <c r="Q4397" i="1"/>
  <c r="O4398" i="1"/>
  <c r="P4398" i="1"/>
  <c r="Q4398" i="1"/>
  <c r="O4399" i="1"/>
  <c r="P4399" i="1"/>
  <c r="Q4399" i="1"/>
  <c r="O4400" i="1"/>
  <c r="P4400" i="1"/>
  <c r="Q4400" i="1"/>
  <c r="O4401" i="1"/>
  <c r="P4401" i="1"/>
  <c r="Q4401" i="1"/>
  <c r="O4402" i="1"/>
  <c r="P4402" i="1"/>
  <c r="Q4402" i="1"/>
  <c r="O4403" i="1"/>
  <c r="P4403" i="1"/>
  <c r="Q4403" i="1"/>
  <c r="O4404" i="1"/>
  <c r="P4404" i="1"/>
  <c r="Q4404" i="1"/>
  <c r="O4405" i="1"/>
  <c r="P4405" i="1"/>
  <c r="Q4405" i="1"/>
  <c r="O4406" i="1"/>
  <c r="P4406" i="1"/>
  <c r="Q4406" i="1"/>
  <c r="O4407" i="1"/>
  <c r="P4407" i="1"/>
  <c r="Q4407" i="1"/>
  <c r="O4408" i="1"/>
  <c r="P4408" i="1"/>
  <c r="Q4408" i="1"/>
  <c r="O4409" i="1"/>
  <c r="P4409" i="1"/>
  <c r="Q4409" i="1"/>
  <c r="O4410" i="1"/>
  <c r="P4410" i="1"/>
  <c r="Q4410" i="1"/>
  <c r="O4411" i="1"/>
  <c r="P4411" i="1"/>
  <c r="Q4411" i="1"/>
  <c r="O4412" i="1"/>
  <c r="P4412" i="1"/>
  <c r="Q4412" i="1"/>
  <c r="O4413" i="1"/>
  <c r="P4413" i="1"/>
  <c r="Q4413" i="1"/>
  <c r="O4414" i="1"/>
  <c r="P4414" i="1"/>
  <c r="Q4414" i="1"/>
  <c r="O4415" i="1"/>
  <c r="P4415" i="1"/>
  <c r="Q4415" i="1"/>
  <c r="O4416" i="1"/>
  <c r="P4416" i="1"/>
  <c r="Q4416" i="1"/>
  <c r="O4417" i="1"/>
  <c r="P4417" i="1"/>
  <c r="Q4417" i="1"/>
  <c r="O4418" i="1"/>
  <c r="P4418" i="1"/>
  <c r="Q4418" i="1"/>
  <c r="O4419" i="1"/>
  <c r="P4419" i="1"/>
  <c r="Q4419" i="1"/>
  <c r="O4420" i="1"/>
  <c r="P4420" i="1"/>
  <c r="Q4420" i="1"/>
  <c r="O4421" i="1"/>
  <c r="P4421" i="1"/>
  <c r="Q4421" i="1"/>
  <c r="O4422" i="1"/>
  <c r="P4422" i="1"/>
  <c r="Q4422" i="1"/>
  <c r="O4423" i="1"/>
  <c r="P4423" i="1"/>
  <c r="Q4423" i="1"/>
  <c r="O4424" i="1"/>
  <c r="P4424" i="1"/>
  <c r="Q4424" i="1"/>
  <c r="O4425" i="1"/>
  <c r="P4425" i="1"/>
  <c r="Q4425" i="1"/>
  <c r="O4426" i="1"/>
  <c r="P4426" i="1"/>
  <c r="Q4426" i="1"/>
  <c r="O4427" i="1"/>
  <c r="P4427" i="1"/>
  <c r="Q4427" i="1"/>
  <c r="O4428" i="1"/>
  <c r="P4428" i="1"/>
  <c r="Q4428" i="1"/>
  <c r="O4429" i="1"/>
  <c r="P4429" i="1"/>
  <c r="Q4429" i="1"/>
  <c r="O4430" i="1"/>
  <c r="P4430" i="1"/>
  <c r="Q4430" i="1"/>
  <c r="O4431" i="1"/>
  <c r="P4431" i="1"/>
  <c r="Q4431" i="1"/>
  <c r="O4432" i="1"/>
  <c r="P4432" i="1"/>
  <c r="Q4432" i="1"/>
  <c r="O4433" i="1"/>
  <c r="P4433" i="1"/>
  <c r="Q4433" i="1"/>
  <c r="O4434" i="1"/>
  <c r="P4434" i="1"/>
  <c r="Q4434" i="1"/>
  <c r="O4435" i="1"/>
  <c r="P4435" i="1"/>
  <c r="Q4435" i="1"/>
  <c r="O4436" i="1"/>
  <c r="P4436" i="1"/>
  <c r="Q4436" i="1"/>
  <c r="O4437" i="1"/>
  <c r="P4437" i="1"/>
  <c r="Q4437" i="1"/>
  <c r="O4438" i="1"/>
  <c r="P4438" i="1"/>
  <c r="Q4438" i="1"/>
  <c r="O4439" i="1"/>
  <c r="P4439" i="1"/>
  <c r="Q4439" i="1"/>
  <c r="O4440" i="1"/>
  <c r="P4440" i="1"/>
  <c r="Q4440" i="1"/>
  <c r="O4441" i="1"/>
  <c r="P4441" i="1"/>
  <c r="Q4441" i="1"/>
  <c r="O4442" i="1"/>
  <c r="P4442" i="1"/>
  <c r="Q4442" i="1"/>
  <c r="O4443" i="1"/>
  <c r="P4443" i="1"/>
  <c r="Q4443" i="1"/>
  <c r="O4444" i="1"/>
  <c r="P4444" i="1"/>
  <c r="Q4444" i="1"/>
  <c r="O4445" i="1"/>
  <c r="P4445" i="1"/>
  <c r="Q4445" i="1"/>
  <c r="O4446" i="1"/>
  <c r="P4446" i="1"/>
  <c r="Q4446" i="1"/>
  <c r="O4447" i="1"/>
  <c r="P4447" i="1"/>
  <c r="Q4447" i="1"/>
  <c r="O4448" i="1"/>
  <c r="P4448" i="1"/>
  <c r="Q4448" i="1"/>
  <c r="O4449" i="1"/>
  <c r="P4449" i="1"/>
  <c r="Q4449" i="1"/>
  <c r="O4450" i="1"/>
  <c r="P4450" i="1"/>
  <c r="Q4450" i="1"/>
  <c r="O4451" i="1"/>
  <c r="P4451" i="1"/>
  <c r="Q4451" i="1"/>
  <c r="O4452" i="1"/>
  <c r="P4452" i="1"/>
  <c r="Q4452" i="1"/>
  <c r="O4453" i="1"/>
  <c r="P4453" i="1"/>
  <c r="Q4453" i="1"/>
  <c r="O4454" i="1"/>
  <c r="P4454" i="1"/>
  <c r="Q4454" i="1"/>
  <c r="O4455" i="1"/>
  <c r="P4455" i="1"/>
  <c r="Q4455" i="1"/>
  <c r="O4456" i="1"/>
  <c r="P4456" i="1"/>
  <c r="Q4456" i="1"/>
  <c r="O4457" i="1"/>
  <c r="P4457" i="1"/>
  <c r="Q4457" i="1"/>
  <c r="O4458" i="1"/>
  <c r="P4458" i="1"/>
  <c r="Q4458" i="1"/>
  <c r="O4459" i="1"/>
  <c r="P4459" i="1"/>
  <c r="Q4459" i="1"/>
  <c r="O4460" i="1"/>
  <c r="P4460" i="1"/>
  <c r="Q4460" i="1"/>
  <c r="O4461" i="1"/>
  <c r="P4461" i="1"/>
  <c r="Q4461" i="1"/>
  <c r="O4462" i="1"/>
  <c r="P4462" i="1"/>
  <c r="Q4462" i="1"/>
  <c r="O4463" i="1"/>
  <c r="P4463" i="1"/>
  <c r="Q4463" i="1"/>
  <c r="O4464" i="1"/>
  <c r="P4464" i="1"/>
  <c r="Q4464" i="1"/>
  <c r="O4465" i="1"/>
  <c r="P4465" i="1"/>
  <c r="Q4465" i="1"/>
  <c r="O4466" i="1"/>
  <c r="P4466" i="1"/>
  <c r="Q4466" i="1"/>
  <c r="O4467" i="1"/>
  <c r="P4467" i="1"/>
  <c r="Q4467" i="1"/>
  <c r="O4468" i="1"/>
  <c r="P4468" i="1"/>
  <c r="Q4468" i="1"/>
  <c r="O4469" i="1"/>
  <c r="P4469" i="1"/>
  <c r="Q4469" i="1"/>
  <c r="O4470" i="1"/>
  <c r="P4470" i="1"/>
  <c r="Q4470" i="1"/>
  <c r="O4471" i="1"/>
  <c r="P4471" i="1"/>
  <c r="Q4471" i="1"/>
  <c r="O4472" i="1"/>
  <c r="P4472" i="1"/>
  <c r="Q4472" i="1"/>
  <c r="O4473" i="1"/>
  <c r="P4473" i="1"/>
  <c r="Q4473" i="1"/>
  <c r="O4474" i="1"/>
  <c r="P4474" i="1"/>
  <c r="Q4474" i="1"/>
  <c r="O4475" i="1"/>
  <c r="P4475" i="1"/>
  <c r="Q4475" i="1"/>
  <c r="O4476" i="1"/>
  <c r="P4476" i="1"/>
  <c r="Q4476" i="1"/>
  <c r="O4477" i="1"/>
  <c r="P4477" i="1"/>
  <c r="Q4477" i="1"/>
  <c r="O4478" i="1"/>
  <c r="P4478" i="1"/>
  <c r="Q4478" i="1"/>
  <c r="O4479" i="1"/>
  <c r="P4479" i="1"/>
  <c r="Q4479" i="1"/>
  <c r="O4480" i="1"/>
  <c r="P4480" i="1"/>
  <c r="Q4480" i="1"/>
  <c r="O4481" i="1"/>
  <c r="P4481" i="1"/>
  <c r="Q4481" i="1"/>
  <c r="O4482" i="1"/>
  <c r="P4482" i="1"/>
  <c r="Q4482" i="1"/>
  <c r="O4483" i="1"/>
  <c r="P4483" i="1"/>
  <c r="Q4483" i="1"/>
  <c r="O4484" i="1"/>
  <c r="P4484" i="1"/>
  <c r="Q4484" i="1"/>
  <c r="O4485" i="1"/>
  <c r="P4485" i="1"/>
  <c r="Q4485" i="1"/>
  <c r="O4486" i="1"/>
  <c r="P4486" i="1"/>
  <c r="Q4486" i="1"/>
  <c r="O4487" i="1"/>
  <c r="P4487" i="1"/>
  <c r="Q4487" i="1"/>
  <c r="O4488" i="1"/>
  <c r="P4488" i="1"/>
  <c r="Q4488" i="1"/>
  <c r="O4489" i="1"/>
  <c r="P4489" i="1"/>
  <c r="Q4489" i="1"/>
  <c r="O4490" i="1"/>
  <c r="P4490" i="1"/>
  <c r="Q4490" i="1"/>
  <c r="O4491" i="1"/>
  <c r="P4491" i="1"/>
  <c r="Q4491" i="1"/>
  <c r="O4492" i="1"/>
  <c r="P4492" i="1"/>
  <c r="Q4492" i="1"/>
  <c r="O4493" i="1"/>
  <c r="P4493" i="1"/>
  <c r="Q4493" i="1"/>
  <c r="O4494" i="1"/>
  <c r="P4494" i="1"/>
  <c r="Q4494" i="1"/>
  <c r="O4495" i="1"/>
  <c r="P4495" i="1"/>
  <c r="Q4495" i="1"/>
  <c r="O4496" i="1"/>
  <c r="P4496" i="1"/>
  <c r="Q4496" i="1"/>
  <c r="O4497" i="1"/>
  <c r="P4497" i="1"/>
  <c r="Q4497" i="1"/>
  <c r="O4498" i="1"/>
  <c r="P4498" i="1"/>
  <c r="Q4498" i="1"/>
  <c r="O4499" i="1"/>
  <c r="P4499" i="1"/>
  <c r="Q4499" i="1"/>
  <c r="O4500" i="1"/>
  <c r="P4500" i="1"/>
  <c r="Q4500" i="1"/>
  <c r="O4501" i="1"/>
  <c r="P4501" i="1"/>
  <c r="Q4501" i="1"/>
  <c r="O4502" i="1"/>
  <c r="P4502" i="1"/>
  <c r="Q4502" i="1"/>
  <c r="O4503" i="1"/>
  <c r="P4503" i="1"/>
  <c r="Q4503" i="1"/>
  <c r="O4504" i="1"/>
  <c r="P4504" i="1"/>
  <c r="Q4504" i="1"/>
  <c r="O4505" i="1"/>
  <c r="P4505" i="1"/>
  <c r="Q4505" i="1"/>
  <c r="O4506" i="1"/>
  <c r="P4506" i="1"/>
  <c r="Q4506" i="1"/>
  <c r="O4507" i="1"/>
  <c r="P4507" i="1"/>
  <c r="Q4507" i="1"/>
  <c r="O4508" i="1"/>
  <c r="P4508" i="1"/>
  <c r="Q4508" i="1"/>
  <c r="O4509" i="1"/>
  <c r="P4509" i="1"/>
  <c r="Q4509" i="1"/>
  <c r="O4510" i="1"/>
  <c r="P4510" i="1"/>
  <c r="Q4510" i="1"/>
  <c r="O4511" i="1"/>
  <c r="P4511" i="1"/>
  <c r="Q4511" i="1"/>
  <c r="O4512" i="1"/>
  <c r="P4512" i="1"/>
  <c r="Q4512" i="1"/>
  <c r="O4513" i="1"/>
  <c r="P4513" i="1"/>
  <c r="Q4513" i="1"/>
  <c r="O4514" i="1"/>
  <c r="P4514" i="1"/>
  <c r="Q4514" i="1"/>
  <c r="O4515" i="1"/>
  <c r="P4515" i="1"/>
  <c r="Q4515" i="1"/>
  <c r="O4516" i="1"/>
  <c r="P4516" i="1"/>
  <c r="Q4516" i="1"/>
  <c r="O4517" i="1"/>
  <c r="P4517" i="1"/>
  <c r="Q4517" i="1"/>
  <c r="O4518" i="1"/>
  <c r="P4518" i="1"/>
  <c r="Q4518" i="1"/>
  <c r="O4519" i="1"/>
  <c r="P4519" i="1"/>
  <c r="Q4519" i="1"/>
  <c r="O4520" i="1"/>
  <c r="P4520" i="1"/>
  <c r="Q4520" i="1"/>
  <c r="O4521" i="1"/>
  <c r="P4521" i="1"/>
  <c r="Q4521" i="1"/>
  <c r="O4522" i="1"/>
  <c r="P4522" i="1"/>
  <c r="Q4522" i="1"/>
  <c r="O4523" i="1"/>
  <c r="P4523" i="1"/>
  <c r="Q4523" i="1"/>
  <c r="O4524" i="1"/>
  <c r="P4524" i="1"/>
  <c r="Q4524" i="1"/>
  <c r="O4525" i="1"/>
  <c r="P4525" i="1"/>
  <c r="Q4525" i="1"/>
  <c r="O4526" i="1"/>
  <c r="P4526" i="1"/>
  <c r="Q4526" i="1"/>
  <c r="O4527" i="1"/>
  <c r="P4527" i="1"/>
  <c r="Q4527" i="1"/>
  <c r="O4528" i="1"/>
  <c r="P4528" i="1"/>
  <c r="Q4528" i="1"/>
  <c r="O4529" i="1"/>
  <c r="P4529" i="1"/>
  <c r="Q4529" i="1"/>
  <c r="O4530" i="1"/>
  <c r="P4530" i="1"/>
  <c r="Q4530" i="1"/>
  <c r="O4531" i="1"/>
  <c r="P4531" i="1"/>
  <c r="Q4531" i="1"/>
  <c r="O4532" i="1"/>
  <c r="P4532" i="1"/>
  <c r="Q4532" i="1"/>
  <c r="O4533" i="1"/>
  <c r="P4533" i="1"/>
  <c r="Q4533" i="1"/>
  <c r="O4534" i="1"/>
  <c r="P4534" i="1"/>
  <c r="Q4534" i="1"/>
  <c r="O4535" i="1"/>
  <c r="P4535" i="1"/>
  <c r="Q4535" i="1"/>
  <c r="O4536" i="1"/>
  <c r="P4536" i="1"/>
  <c r="Q4536" i="1"/>
  <c r="O4537" i="1"/>
  <c r="P4537" i="1"/>
  <c r="Q4537" i="1"/>
  <c r="O4538" i="1"/>
  <c r="P4538" i="1"/>
  <c r="Q4538" i="1"/>
  <c r="O4539" i="1"/>
  <c r="P4539" i="1"/>
  <c r="Q4539" i="1"/>
  <c r="O4540" i="1"/>
  <c r="P4540" i="1"/>
  <c r="Q4540" i="1"/>
  <c r="O4541" i="1"/>
  <c r="P4541" i="1"/>
  <c r="Q4541" i="1"/>
  <c r="O4542" i="1"/>
  <c r="P4542" i="1"/>
  <c r="Q4542" i="1"/>
  <c r="O4543" i="1"/>
  <c r="P4543" i="1"/>
  <c r="Q4543" i="1"/>
  <c r="O4544" i="1"/>
  <c r="P4544" i="1"/>
  <c r="Q4544" i="1"/>
  <c r="O4545" i="1"/>
  <c r="P4545" i="1"/>
  <c r="Q4545" i="1"/>
  <c r="O4546" i="1"/>
  <c r="P4546" i="1"/>
  <c r="Q4546" i="1"/>
  <c r="O4547" i="1"/>
  <c r="P4547" i="1"/>
  <c r="Q4547" i="1"/>
  <c r="O4548" i="1"/>
  <c r="P4548" i="1"/>
  <c r="Q4548" i="1"/>
  <c r="O4549" i="1"/>
  <c r="P4549" i="1"/>
  <c r="Q4549" i="1"/>
  <c r="O4550" i="1"/>
  <c r="P4550" i="1"/>
  <c r="Q4550" i="1"/>
  <c r="O4551" i="1"/>
  <c r="P4551" i="1"/>
  <c r="Q4551" i="1"/>
  <c r="O4552" i="1"/>
  <c r="P4552" i="1"/>
  <c r="Q4552" i="1"/>
  <c r="O4553" i="1"/>
  <c r="P4553" i="1"/>
  <c r="Q4553" i="1"/>
  <c r="O4554" i="1"/>
  <c r="P4554" i="1"/>
  <c r="Q4554" i="1"/>
  <c r="O4555" i="1"/>
  <c r="P4555" i="1"/>
  <c r="Q4555" i="1"/>
  <c r="O4556" i="1"/>
  <c r="P4556" i="1"/>
  <c r="Q4556" i="1"/>
  <c r="O4557" i="1"/>
  <c r="P4557" i="1"/>
  <c r="Q4557" i="1"/>
  <c r="O4558" i="1"/>
  <c r="P4558" i="1"/>
  <c r="Q4558" i="1"/>
  <c r="O4559" i="1"/>
  <c r="P4559" i="1"/>
  <c r="Q4559" i="1"/>
  <c r="O4560" i="1"/>
  <c r="P4560" i="1"/>
  <c r="Q4560" i="1"/>
  <c r="O4561" i="1"/>
  <c r="P4561" i="1"/>
  <c r="Q4561" i="1"/>
  <c r="O4562" i="1"/>
  <c r="P4562" i="1"/>
  <c r="Q4562" i="1"/>
  <c r="O4563" i="1"/>
  <c r="P4563" i="1"/>
  <c r="Q4563" i="1"/>
  <c r="O4564" i="1"/>
  <c r="P4564" i="1"/>
  <c r="Q4564" i="1"/>
  <c r="O4565" i="1"/>
  <c r="P4565" i="1"/>
  <c r="Q4565" i="1"/>
  <c r="O4566" i="1"/>
  <c r="P4566" i="1"/>
  <c r="Q4566" i="1"/>
  <c r="O4567" i="1"/>
  <c r="P4567" i="1"/>
  <c r="Q4567" i="1"/>
  <c r="O4568" i="1"/>
  <c r="P4568" i="1"/>
  <c r="Q4568" i="1"/>
  <c r="O4569" i="1"/>
  <c r="P4569" i="1"/>
  <c r="Q4569" i="1"/>
  <c r="O4570" i="1"/>
  <c r="P4570" i="1"/>
  <c r="Q4570" i="1"/>
  <c r="O4571" i="1"/>
  <c r="P4571" i="1"/>
  <c r="Q4571" i="1"/>
  <c r="O4572" i="1"/>
  <c r="P4572" i="1"/>
  <c r="Q4572" i="1"/>
  <c r="O4573" i="1"/>
  <c r="P4573" i="1"/>
  <c r="Q4573" i="1"/>
  <c r="O4574" i="1"/>
  <c r="P4574" i="1"/>
  <c r="Q4574" i="1"/>
  <c r="O4575" i="1"/>
  <c r="P4575" i="1"/>
  <c r="Q4575" i="1"/>
  <c r="O4576" i="1"/>
  <c r="P4576" i="1"/>
  <c r="Q4576" i="1"/>
  <c r="O4577" i="1"/>
  <c r="P4577" i="1"/>
  <c r="Q4577" i="1"/>
  <c r="O4578" i="1"/>
  <c r="P4578" i="1"/>
  <c r="Q4578" i="1"/>
  <c r="O4579" i="1"/>
  <c r="P4579" i="1"/>
  <c r="Q4579" i="1"/>
  <c r="O4580" i="1"/>
  <c r="P4580" i="1"/>
  <c r="Q4580" i="1"/>
  <c r="O4581" i="1"/>
  <c r="P4581" i="1"/>
  <c r="Q4581" i="1"/>
  <c r="O4582" i="1"/>
  <c r="P4582" i="1"/>
  <c r="Q4582" i="1"/>
  <c r="O4583" i="1"/>
  <c r="P4583" i="1"/>
  <c r="Q4583" i="1"/>
  <c r="O4584" i="1"/>
  <c r="P4584" i="1"/>
  <c r="Q4584" i="1"/>
  <c r="O4585" i="1"/>
  <c r="P4585" i="1"/>
  <c r="Q4585" i="1"/>
  <c r="O4586" i="1"/>
  <c r="P4586" i="1"/>
  <c r="Q4586" i="1"/>
  <c r="O4587" i="1"/>
  <c r="P4587" i="1"/>
  <c r="Q4587" i="1"/>
  <c r="O4588" i="1"/>
  <c r="P4588" i="1"/>
  <c r="Q4588" i="1"/>
  <c r="O4589" i="1"/>
  <c r="P4589" i="1"/>
  <c r="Q4589" i="1"/>
  <c r="O4590" i="1"/>
  <c r="P4590" i="1"/>
  <c r="Q4590" i="1"/>
  <c r="O4591" i="1"/>
  <c r="P4591" i="1"/>
  <c r="Q4591" i="1"/>
  <c r="O4592" i="1"/>
  <c r="P4592" i="1"/>
  <c r="Q4592" i="1"/>
  <c r="O4593" i="1"/>
  <c r="P4593" i="1"/>
  <c r="Q4593" i="1"/>
  <c r="O4594" i="1"/>
  <c r="P4594" i="1"/>
  <c r="Q4594" i="1"/>
  <c r="O4595" i="1"/>
  <c r="P4595" i="1"/>
  <c r="Q4595" i="1"/>
  <c r="O4596" i="1"/>
  <c r="P4596" i="1"/>
  <c r="Q4596" i="1"/>
  <c r="O4597" i="1"/>
  <c r="P4597" i="1"/>
  <c r="Q4597" i="1"/>
  <c r="O4598" i="1"/>
  <c r="P4598" i="1"/>
  <c r="Q4598" i="1"/>
  <c r="O4599" i="1"/>
  <c r="P4599" i="1"/>
  <c r="Q4599" i="1"/>
  <c r="O4600" i="1"/>
  <c r="P4600" i="1"/>
  <c r="Q4600" i="1"/>
  <c r="O4601" i="1"/>
  <c r="P4601" i="1"/>
  <c r="Q4601" i="1"/>
  <c r="O4602" i="1"/>
  <c r="P4602" i="1"/>
  <c r="Q4602" i="1"/>
  <c r="O4603" i="1"/>
  <c r="P4603" i="1"/>
  <c r="Q4603" i="1"/>
  <c r="O4604" i="1"/>
  <c r="P4604" i="1"/>
  <c r="Q4604" i="1"/>
  <c r="O4605" i="1"/>
  <c r="P4605" i="1"/>
  <c r="Q4605" i="1"/>
  <c r="O4606" i="1"/>
  <c r="P4606" i="1"/>
  <c r="Q4606" i="1"/>
  <c r="O4607" i="1"/>
  <c r="P4607" i="1"/>
  <c r="Q4607" i="1"/>
  <c r="O4608" i="1"/>
  <c r="P4608" i="1"/>
  <c r="Q4608" i="1"/>
  <c r="O4609" i="1"/>
  <c r="P4609" i="1"/>
  <c r="Q4609" i="1"/>
  <c r="O4610" i="1"/>
  <c r="P4610" i="1"/>
  <c r="Q4610" i="1"/>
  <c r="O4611" i="1"/>
  <c r="P4611" i="1"/>
  <c r="Q4611" i="1"/>
  <c r="O4612" i="1"/>
  <c r="P4612" i="1"/>
  <c r="Q4612" i="1"/>
  <c r="O4613" i="1"/>
  <c r="P4613" i="1"/>
  <c r="Q4613" i="1"/>
  <c r="O4614" i="1"/>
  <c r="P4614" i="1"/>
  <c r="Q4614" i="1"/>
  <c r="O4615" i="1"/>
  <c r="P4615" i="1"/>
  <c r="Q4615" i="1"/>
  <c r="O4616" i="1"/>
  <c r="P4616" i="1"/>
  <c r="Q4616" i="1"/>
  <c r="O4617" i="1"/>
  <c r="P4617" i="1"/>
  <c r="Q4617" i="1"/>
  <c r="O4618" i="1"/>
  <c r="P4618" i="1"/>
  <c r="Q4618" i="1"/>
  <c r="O4619" i="1"/>
  <c r="P4619" i="1"/>
  <c r="Q4619" i="1"/>
  <c r="O4620" i="1"/>
  <c r="P4620" i="1"/>
  <c r="Q4620" i="1"/>
  <c r="O4621" i="1"/>
  <c r="P4621" i="1"/>
  <c r="Q4621" i="1"/>
  <c r="O4622" i="1"/>
  <c r="P4622" i="1"/>
  <c r="Q4622" i="1"/>
  <c r="O4623" i="1"/>
  <c r="P4623" i="1"/>
  <c r="Q4623" i="1"/>
  <c r="O4624" i="1"/>
  <c r="P4624" i="1"/>
  <c r="Q4624" i="1"/>
  <c r="O4625" i="1"/>
  <c r="P4625" i="1"/>
  <c r="Q4625" i="1"/>
  <c r="O4626" i="1"/>
  <c r="P4626" i="1"/>
  <c r="Q4626" i="1"/>
  <c r="O4627" i="1"/>
  <c r="P4627" i="1"/>
  <c r="Q4627" i="1"/>
  <c r="O4628" i="1"/>
  <c r="P4628" i="1"/>
  <c r="Q4628" i="1"/>
  <c r="O4629" i="1"/>
  <c r="P4629" i="1"/>
  <c r="Q4629" i="1"/>
  <c r="O4630" i="1"/>
  <c r="P4630" i="1"/>
  <c r="Q4630" i="1"/>
  <c r="O4631" i="1"/>
  <c r="P4631" i="1"/>
  <c r="Q4631" i="1"/>
  <c r="O4632" i="1"/>
  <c r="P4632" i="1"/>
  <c r="Q4632" i="1"/>
  <c r="O4633" i="1"/>
  <c r="P4633" i="1"/>
  <c r="Q4633" i="1"/>
  <c r="O4634" i="1"/>
  <c r="P4634" i="1"/>
  <c r="Q4634" i="1"/>
  <c r="O4635" i="1"/>
  <c r="P4635" i="1"/>
  <c r="Q4635" i="1"/>
  <c r="O4636" i="1"/>
  <c r="P4636" i="1"/>
  <c r="Q4636" i="1"/>
  <c r="O4637" i="1"/>
  <c r="P4637" i="1"/>
  <c r="Q4637" i="1"/>
  <c r="O4638" i="1"/>
  <c r="P4638" i="1"/>
  <c r="Q4638" i="1"/>
  <c r="O4639" i="1"/>
  <c r="P4639" i="1"/>
  <c r="Q4639" i="1"/>
  <c r="O4640" i="1"/>
  <c r="P4640" i="1"/>
  <c r="Q4640" i="1"/>
  <c r="O4641" i="1"/>
  <c r="P4641" i="1"/>
  <c r="Q4641" i="1"/>
  <c r="O4642" i="1"/>
  <c r="P4642" i="1"/>
  <c r="Q4642" i="1"/>
  <c r="O4643" i="1"/>
  <c r="P4643" i="1"/>
  <c r="Q4643" i="1"/>
  <c r="O4644" i="1"/>
  <c r="P4644" i="1"/>
  <c r="Q4644" i="1"/>
  <c r="O4645" i="1"/>
  <c r="P4645" i="1"/>
  <c r="Q4645" i="1"/>
  <c r="O4646" i="1"/>
  <c r="P4646" i="1"/>
  <c r="Q4646" i="1"/>
  <c r="O4647" i="1"/>
  <c r="P4647" i="1"/>
  <c r="Q4647" i="1"/>
  <c r="O4648" i="1"/>
  <c r="P4648" i="1"/>
  <c r="Q4648" i="1"/>
  <c r="O4649" i="1"/>
  <c r="P4649" i="1"/>
  <c r="Q4649" i="1"/>
  <c r="O4650" i="1"/>
  <c r="P4650" i="1"/>
  <c r="Q4650" i="1"/>
  <c r="O4651" i="1"/>
  <c r="P4651" i="1"/>
  <c r="Q4651" i="1"/>
  <c r="O4652" i="1"/>
  <c r="P4652" i="1"/>
  <c r="Q4652" i="1"/>
  <c r="O4653" i="1"/>
  <c r="P4653" i="1"/>
  <c r="Q4653" i="1"/>
  <c r="O4654" i="1"/>
  <c r="P4654" i="1"/>
  <c r="Q4654" i="1"/>
  <c r="O4655" i="1"/>
  <c r="P4655" i="1"/>
  <c r="Q4655" i="1"/>
  <c r="O4656" i="1"/>
  <c r="P4656" i="1"/>
  <c r="Q4656" i="1"/>
  <c r="O4657" i="1"/>
  <c r="P4657" i="1"/>
  <c r="Q4657" i="1"/>
  <c r="O4658" i="1"/>
  <c r="P4658" i="1"/>
  <c r="Q4658" i="1"/>
  <c r="O4659" i="1"/>
  <c r="P4659" i="1"/>
  <c r="Q4659" i="1"/>
  <c r="O4660" i="1"/>
  <c r="P4660" i="1"/>
  <c r="Q4660" i="1"/>
  <c r="O4661" i="1"/>
  <c r="P4661" i="1"/>
  <c r="Q4661" i="1"/>
  <c r="O4662" i="1"/>
  <c r="P4662" i="1"/>
  <c r="Q4662" i="1"/>
  <c r="O4663" i="1"/>
  <c r="P4663" i="1"/>
  <c r="Q4663" i="1"/>
  <c r="O4664" i="1"/>
  <c r="P4664" i="1"/>
  <c r="Q4664" i="1"/>
  <c r="O4665" i="1"/>
  <c r="P4665" i="1"/>
  <c r="Q4665" i="1"/>
  <c r="O4666" i="1"/>
  <c r="P4666" i="1"/>
  <c r="Q4666" i="1"/>
  <c r="O4667" i="1"/>
  <c r="P4667" i="1"/>
  <c r="Q4667" i="1"/>
  <c r="O4668" i="1"/>
  <c r="P4668" i="1"/>
  <c r="Q4668" i="1"/>
  <c r="O4669" i="1"/>
  <c r="P4669" i="1"/>
  <c r="Q4669" i="1"/>
  <c r="O4670" i="1"/>
  <c r="P4670" i="1"/>
  <c r="Q4670" i="1"/>
  <c r="O4671" i="1"/>
  <c r="P4671" i="1"/>
  <c r="Q4671" i="1"/>
  <c r="O4672" i="1"/>
  <c r="P4672" i="1"/>
  <c r="Q4672" i="1"/>
  <c r="O4673" i="1"/>
  <c r="P4673" i="1"/>
  <c r="Q4673" i="1"/>
  <c r="O4674" i="1"/>
  <c r="P4674" i="1"/>
  <c r="Q4674" i="1"/>
  <c r="O4675" i="1"/>
  <c r="P4675" i="1"/>
  <c r="Q4675" i="1"/>
  <c r="O4676" i="1"/>
  <c r="P4676" i="1"/>
  <c r="Q4676" i="1"/>
  <c r="O4677" i="1"/>
  <c r="P4677" i="1"/>
  <c r="Q4677" i="1"/>
  <c r="O4678" i="1"/>
  <c r="P4678" i="1"/>
  <c r="Q4678" i="1"/>
  <c r="O4679" i="1"/>
  <c r="P4679" i="1"/>
  <c r="Q4679" i="1"/>
  <c r="O4680" i="1"/>
  <c r="P4680" i="1"/>
  <c r="Q4680" i="1"/>
  <c r="O4681" i="1"/>
  <c r="P4681" i="1"/>
  <c r="Q4681" i="1"/>
  <c r="O4682" i="1"/>
  <c r="P4682" i="1"/>
  <c r="Q4682" i="1"/>
  <c r="O4683" i="1"/>
  <c r="P4683" i="1"/>
  <c r="Q4683" i="1"/>
  <c r="O4684" i="1"/>
  <c r="P4684" i="1"/>
  <c r="Q4684" i="1"/>
  <c r="O4685" i="1"/>
  <c r="P4685" i="1"/>
  <c r="Q4685" i="1"/>
  <c r="O4686" i="1"/>
  <c r="P4686" i="1"/>
  <c r="Q4686" i="1"/>
  <c r="O4687" i="1"/>
  <c r="P4687" i="1"/>
  <c r="Q4687" i="1"/>
  <c r="O4688" i="1"/>
  <c r="P4688" i="1"/>
  <c r="Q4688" i="1"/>
  <c r="O4689" i="1"/>
  <c r="P4689" i="1"/>
  <c r="Q4689" i="1"/>
  <c r="O4690" i="1"/>
  <c r="P4690" i="1"/>
  <c r="Q4690" i="1"/>
  <c r="O4691" i="1"/>
  <c r="P4691" i="1"/>
  <c r="Q4691" i="1"/>
  <c r="O4692" i="1"/>
  <c r="P4692" i="1"/>
  <c r="Q4692" i="1"/>
  <c r="O4693" i="1"/>
  <c r="P4693" i="1"/>
  <c r="Q4693" i="1"/>
  <c r="O4694" i="1"/>
  <c r="P4694" i="1"/>
  <c r="Q4694" i="1"/>
  <c r="O4695" i="1"/>
  <c r="P4695" i="1"/>
  <c r="Q4695" i="1"/>
  <c r="O4696" i="1"/>
  <c r="P4696" i="1"/>
  <c r="Q4696" i="1"/>
  <c r="O4697" i="1"/>
  <c r="P4697" i="1"/>
  <c r="Q4697" i="1"/>
  <c r="O4698" i="1"/>
  <c r="P4698" i="1"/>
  <c r="Q4698" i="1"/>
  <c r="O4699" i="1"/>
  <c r="P4699" i="1"/>
  <c r="Q4699" i="1"/>
  <c r="O4700" i="1"/>
  <c r="P4700" i="1"/>
  <c r="Q4700" i="1"/>
  <c r="O4701" i="1"/>
  <c r="P4701" i="1"/>
  <c r="Q4701" i="1"/>
  <c r="O4702" i="1"/>
  <c r="P4702" i="1"/>
  <c r="Q4702" i="1"/>
  <c r="O4703" i="1"/>
  <c r="P4703" i="1"/>
  <c r="Q4703" i="1"/>
  <c r="O4704" i="1"/>
  <c r="P4704" i="1"/>
  <c r="Q4704" i="1"/>
  <c r="O4705" i="1"/>
  <c r="P4705" i="1"/>
  <c r="Q4705" i="1"/>
  <c r="O4706" i="1"/>
  <c r="P4706" i="1"/>
  <c r="Q4706" i="1"/>
  <c r="O4707" i="1"/>
  <c r="P4707" i="1"/>
  <c r="Q4707" i="1"/>
  <c r="O4708" i="1"/>
  <c r="P4708" i="1"/>
  <c r="Q4708" i="1"/>
  <c r="O4709" i="1"/>
  <c r="P4709" i="1"/>
  <c r="Q4709" i="1"/>
  <c r="O4710" i="1"/>
  <c r="P4710" i="1"/>
  <c r="Q4710" i="1"/>
  <c r="O4711" i="1"/>
  <c r="P4711" i="1"/>
  <c r="Q4711" i="1"/>
  <c r="O4712" i="1"/>
  <c r="P4712" i="1"/>
  <c r="Q4712" i="1"/>
  <c r="O4713" i="1"/>
  <c r="P4713" i="1"/>
  <c r="Q4713" i="1"/>
  <c r="O4714" i="1"/>
  <c r="P4714" i="1"/>
  <c r="Q4714" i="1"/>
  <c r="O4715" i="1"/>
  <c r="P4715" i="1"/>
  <c r="Q4715" i="1"/>
  <c r="O4716" i="1"/>
  <c r="P4716" i="1"/>
  <c r="Q4716" i="1"/>
  <c r="O4717" i="1"/>
  <c r="P4717" i="1"/>
  <c r="Q4717" i="1"/>
  <c r="O4718" i="1"/>
  <c r="P4718" i="1"/>
  <c r="Q4718" i="1"/>
  <c r="O4719" i="1"/>
  <c r="P4719" i="1"/>
  <c r="Q4719" i="1"/>
  <c r="O4720" i="1"/>
  <c r="P4720" i="1"/>
  <c r="Q4720" i="1"/>
  <c r="O4721" i="1"/>
  <c r="P4721" i="1"/>
  <c r="Q4721" i="1"/>
  <c r="O4722" i="1"/>
  <c r="P4722" i="1"/>
  <c r="Q4722" i="1"/>
  <c r="O4723" i="1"/>
  <c r="P4723" i="1"/>
  <c r="Q4723" i="1"/>
  <c r="O4724" i="1"/>
  <c r="P4724" i="1"/>
  <c r="Q4724" i="1"/>
  <c r="O4725" i="1"/>
  <c r="P4725" i="1"/>
  <c r="Q4725" i="1"/>
  <c r="O4726" i="1"/>
  <c r="P4726" i="1"/>
  <c r="Q4726" i="1"/>
  <c r="O4727" i="1"/>
  <c r="P4727" i="1"/>
  <c r="Q4727" i="1"/>
  <c r="O4728" i="1"/>
  <c r="P4728" i="1"/>
  <c r="Q4728" i="1"/>
  <c r="O4729" i="1"/>
  <c r="P4729" i="1"/>
  <c r="Q4729" i="1"/>
  <c r="O4730" i="1"/>
  <c r="P4730" i="1"/>
  <c r="Q4730" i="1"/>
  <c r="O4731" i="1"/>
  <c r="P4731" i="1"/>
  <c r="Q4731" i="1"/>
  <c r="O4732" i="1"/>
  <c r="P4732" i="1"/>
  <c r="Q4732" i="1"/>
  <c r="O4733" i="1"/>
  <c r="P4733" i="1"/>
  <c r="Q4733" i="1"/>
  <c r="O4734" i="1"/>
  <c r="P4734" i="1"/>
  <c r="Q4734" i="1"/>
  <c r="O4735" i="1"/>
  <c r="P4735" i="1"/>
  <c r="Q4735" i="1"/>
  <c r="O4736" i="1"/>
  <c r="P4736" i="1"/>
  <c r="Q4736" i="1"/>
  <c r="O4737" i="1"/>
  <c r="P4737" i="1"/>
  <c r="Q4737" i="1"/>
  <c r="O4738" i="1"/>
  <c r="P4738" i="1"/>
  <c r="Q4738" i="1"/>
  <c r="O4739" i="1"/>
  <c r="P4739" i="1"/>
  <c r="Q4739" i="1"/>
  <c r="O4740" i="1"/>
  <c r="P4740" i="1"/>
  <c r="Q4740" i="1"/>
  <c r="O4741" i="1"/>
  <c r="P4741" i="1"/>
  <c r="Q4741" i="1"/>
  <c r="O4742" i="1"/>
  <c r="P4742" i="1"/>
  <c r="Q4742" i="1"/>
  <c r="O4743" i="1"/>
  <c r="P4743" i="1"/>
  <c r="Q4743" i="1"/>
  <c r="O4744" i="1"/>
  <c r="P4744" i="1"/>
  <c r="Q4744" i="1"/>
  <c r="O4745" i="1"/>
  <c r="P4745" i="1"/>
  <c r="Q4745" i="1"/>
  <c r="O4746" i="1"/>
  <c r="P4746" i="1"/>
  <c r="Q4746" i="1"/>
  <c r="O4747" i="1"/>
  <c r="P4747" i="1"/>
  <c r="Q4747" i="1"/>
  <c r="O4748" i="1"/>
  <c r="P4748" i="1"/>
  <c r="Q4748" i="1"/>
  <c r="O4749" i="1"/>
  <c r="P4749" i="1"/>
  <c r="Q4749" i="1"/>
  <c r="O4750" i="1"/>
  <c r="P4750" i="1"/>
  <c r="Q4750" i="1"/>
  <c r="O4751" i="1"/>
  <c r="P4751" i="1"/>
  <c r="Q4751" i="1"/>
  <c r="O4752" i="1"/>
  <c r="P4752" i="1"/>
  <c r="Q4752" i="1"/>
  <c r="O4753" i="1"/>
  <c r="P4753" i="1"/>
  <c r="Q4753" i="1"/>
  <c r="O4754" i="1"/>
  <c r="P4754" i="1"/>
  <c r="Q4754" i="1"/>
  <c r="O4755" i="1"/>
  <c r="P4755" i="1"/>
  <c r="Q4755" i="1"/>
  <c r="O4756" i="1"/>
  <c r="P4756" i="1"/>
  <c r="Q4756" i="1"/>
  <c r="O4757" i="1"/>
  <c r="P4757" i="1"/>
  <c r="Q4757" i="1"/>
  <c r="O4758" i="1"/>
  <c r="P4758" i="1"/>
  <c r="Q4758" i="1"/>
  <c r="O4759" i="1"/>
  <c r="P4759" i="1"/>
  <c r="Q4759" i="1"/>
  <c r="O4760" i="1"/>
  <c r="P4760" i="1"/>
  <c r="Q4760" i="1"/>
  <c r="O4761" i="1"/>
  <c r="P4761" i="1"/>
  <c r="Q4761" i="1"/>
  <c r="O4762" i="1"/>
  <c r="P4762" i="1"/>
  <c r="Q4762" i="1"/>
  <c r="O4763" i="1"/>
  <c r="P4763" i="1"/>
  <c r="Q4763" i="1"/>
  <c r="O4764" i="1"/>
  <c r="P4764" i="1"/>
  <c r="Q4764" i="1"/>
  <c r="O4765" i="1"/>
  <c r="P4765" i="1"/>
  <c r="Q4765" i="1"/>
  <c r="O4766" i="1"/>
  <c r="P4766" i="1"/>
  <c r="Q4766" i="1"/>
  <c r="O4767" i="1"/>
  <c r="P4767" i="1"/>
  <c r="Q4767" i="1"/>
  <c r="O4768" i="1"/>
  <c r="P4768" i="1"/>
  <c r="Q4768" i="1"/>
  <c r="O4769" i="1"/>
  <c r="P4769" i="1"/>
  <c r="Q4769" i="1"/>
  <c r="O4770" i="1"/>
  <c r="P4770" i="1"/>
  <c r="Q4770" i="1"/>
  <c r="O4771" i="1"/>
  <c r="P4771" i="1"/>
  <c r="Q4771" i="1"/>
  <c r="O4772" i="1"/>
  <c r="P4772" i="1"/>
  <c r="Q4772" i="1"/>
  <c r="O4773" i="1"/>
  <c r="P4773" i="1"/>
  <c r="Q4773" i="1"/>
  <c r="O4774" i="1"/>
  <c r="P4774" i="1"/>
  <c r="Q4774" i="1"/>
  <c r="O4775" i="1"/>
  <c r="P4775" i="1"/>
  <c r="Q4775" i="1"/>
  <c r="O4776" i="1"/>
  <c r="P4776" i="1"/>
  <c r="Q4776" i="1"/>
  <c r="O4777" i="1"/>
  <c r="P4777" i="1"/>
  <c r="Q4777" i="1"/>
  <c r="O4778" i="1"/>
  <c r="P4778" i="1"/>
  <c r="Q4778" i="1"/>
  <c r="O4779" i="1"/>
  <c r="P4779" i="1"/>
  <c r="Q4779" i="1"/>
  <c r="O4780" i="1"/>
  <c r="P4780" i="1"/>
  <c r="Q4780" i="1"/>
  <c r="O4781" i="1"/>
  <c r="P4781" i="1"/>
  <c r="Q4781" i="1"/>
  <c r="O4782" i="1"/>
  <c r="P4782" i="1"/>
  <c r="Q4782" i="1"/>
  <c r="O4783" i="1"/>
  <c r="P4783" i="1"/>
  <c r="Q4783" i="1"/>
  <c r="O4784" i="1"/>
  <c r="P4784" i="1"/>
  <c r="Q4784" i="1"/>
  <c r="O4785" i="1"/>
  <c r="P4785" i="1"/>
  <c r="Q4785" i="1"/>
  <c r="O4786" i="1"/>
  <c r="P4786" i="1"/>
  <c r="Q4786" i="1"/>
  <c r="O4787" i="1"/>
  <c r="P4787" i="1"/>
  <c r="Q4787" i="1"/>
  <c r="O4788" i="1"/>
  <c r="P4788" i="1"/>
  <c r="Q4788" i="1"/>
  <c r="O4789" i="1"/>
  <c r="P4789" i="1"/>
  <c r="Q4789" i="1"/>
  <c r="O4790" i="1"/>
  <c r="P4790" i="1"/>
  <c r="Q4790" i="1"/>
  <c r="O4791" i="1"/>
  <c r="P4791" i="1"/>
  <c r="Q4791" i="1"/>
  <c r="O4792" i="1"/>
  <c r="P4792" i="1"/>
  <c r="Q4792" i="1"/>
  <c r="O4793" i="1"/>
  <c r="P4793" i="1"/>
  <c r="Q4793" i="1"/>
  <c r="O4794" i="1"/>
  <c r="P4794" i="1"/>
  <c r="Q4794" i="1"/>
  <c r="O4795" i="1"/>
  <c r="P4795" i="1"/>
  <c r="Q4795" i="1"/>
  <c r="O4796" i="1"/>
  <c r="P4796" i="1"/>
  <c r="Q4796" i="1"/>
  <c r="O4797" i="1"/>
  <c r="P4797" i="1"/>
  <c r="Q4797" i="1"/>
  <c r="O4798" i="1"/>
  <c r="P4798" i="1"/>
  <c r="Q4798" i="1"/>
  <c r="O4799" i="1"/>
  <c r="P4799" i="1"/>
  <c r="Q4799" i="1"/>
  <c r="O4800" i="1"/>
  <c r="P4800" i="1"/>
  <c r="Q4800" i="1"/>
  <c r="O4801" i="1"/>
  <c r="P4801" i="1"/>
  <c r="Q4801" i="1"/>
  <c r="O4802" i="1"/>
  <c r="P4802" i="1"/>
  <c r="Q4802" i="1"/>
  <c r="O4803" i="1"/>
  <c r="P4803" i="1"/>
  <c r="Q4803" i="1"/>
  <c r="O4804" i="1"/>
  <c r="P4804" i="1"/>
  <c r="Q4804" i="1"/>
  <c r="O4805" i="1"/>
  <c r="P4805" i="1"/>
  <c r="Q4805" i="1"/>
  <c r="O4806" i="1"/>
  <c r="P4806" i="1"/>
  <c r="Q4806" i="1"/>
  <c r="O4807" i="1"/>
  <c r="P4807" i="1"/>
  <c r="Q4807" i="1"/>
  <c r="O4808" i="1"/>
  <c r="P4808" i="1"/>
  <c r="Q4808" i="1"/>
  <c r="O4809" i="1"/>
  <c r="P4809" i="1"/>
  <c r="Q4809" i="1"/>
  <c r="O4810" i="1"/>
  <c r="P4810" i="1"/>
  <c r="Q4810" i="1"/>
  <c r="O4811" i="1"/>
  <c r="P4811" i="1"/>
  <c r="Q4811" i="1"/>
  <c r="O4812" i="1"/>
  <c r="P4812" i="1"/>
  <c r="Q4812" i="1"/>
  <c r="O4813" i="1"/>
  <c r="P4813" i="1"/>
  <c r="Q4813" i="1"/>
  <c r="O4814" i="1"/>
  <c r="P4814" i="1"/>
  <c r="Q4814" i="1"/>
  <c r="O4815" i="1"/>
  <c r="P4815" i="1"/>
  <c r="Q4815" i="1"/>
  <c r="O4816" i="1"/>
  <c r="P4816" i="1"/>
  <c r="Q4816" i="1"/>
  <c r="O4817" i="1"/>
  <c r="P4817" i="1"/>
  <c r="Q4817" i="1"/>
  <c r="O4818" i="1"/>
  <c r="P4818" i="1"/>
  <c r="Q4818" i="1"/>
  <c r="O4819" i="1"/>
  <c r="P4819" i="1"/>
  <c r="Q4819" i="1"/>
  <c r="O4820" i="1"/>
  <c r="P4820" i="1"/>
  <c r="Q4820" i="1"/>
  <c r="O4821" i="1"/>
  <c r="P4821" i="1"/>
  <c r="Q4821" i="1"/>
  <c r="O4822" i="1"/>
  <c r="P4822" i="1"/>
  <c r="Q4822" i="1"/>
  <c r="O4823" i="1"/>
  <c r="P4823" i="1"/>
  <c r="Q4823" i="1"/>
  <c r="O4824" i="1"/>
  <c r="P4824" i="1"/>
  <c r="Q4824" i="1"/>
  <c r="O4825" i="1"/>
  <c r="P4825" i="1"/>
  <c r="Q4825" i="1"/>
  <c r="O4826" i="1"/>
  <c r="P4826" i="1"/>
  <c r="Q4826" i="1"/>
  <c r="O4827" i="1"/>
  <c r="P4827" i="1"/>
  <c r="Q4827" i="1"/>
  <c r="O4828" i="1"/>
  <c r="P4828" i="1"/>
  <c r="Q4828" i="1"/>
  <c r="O4829" i="1"/>
  <c r="P4829" i="1"/>
  <c r="Q4829" i="1"/>
  <c r="O4830" i="1"/>
  <c r="P4830" i="1"/>
  <c r="Q4830" i="1"/>
  <c r="O4831" i="1"/>
  <c r="P4831" i="1"/>
  <c r="Q4831" i="1"/>
  <c r="O4832" i="1"/>
  <c r="P4832" i="1"/>
  <c r="Q4832" i="1"/>
  <c r="O4833" i="1"/>
  <c r="P4833" i="1"/>
  <c r="Q4833" i="1"/>
  <c r="O4834" i="1"/>
  <c r="P4834" i="1"/>
  <c r="Q4834" i="1"/>
  <c r="O4835" i="1"/>
  <c r="P4835" i="1"/>
  <c r="Q4835" i="1"/>
  <c r="O4836" i="1"/>
  <c r="P4836" i="1"/>
  <c r="Q4836" i="1"/>
  <c r="O4837" i="1"/>
  <c r="P4837" i="1"/>
  <c r="Q4837" i="1"/>
  <c r="O4838" i="1"/>
  <c r="P4838" i="1"/>
  <c r="Q4838" i="1"/>
  <c r="O4839" i="1"/>
  <c r="P4839" i="1"/>
  <c r="Q4839" i="1"/>
  <c r="O4840" i="1"/>
  <c r="P4840" i="1"/>
  <c r="Q4840" i="1"/>
  <c r="O4841" i="1"/>
  <c r="P4841" i="1"/>
  <c r="Q4841" i="1"/>
  <c r="O4842" i="1"/>
  <c r="P4842" i="1"/>
  <c r="Q4842" i="1"/>
  <c r="O4843" i="1"/>
  <c r="P4843" i="1"/>
  <c r="Q4843" i="1"/>
  <c r="O4844" i="1"/>
  <c r="P4844" i="1"/>
  <c r="Q4844" i="1"/>
  <c r="O4845" i="1"/>
  <c r="P4845" i="1"/>
  <c r="Q4845" i="1"/>
  <c r="O4846" i="1"/>
  <c r="P4846" i="1"/>
  <c r="Q4846" i="1"/>
  <c r="O4847" i="1"/>
  <c r="P4847" i="1"/>
  <c r="Q4847" i="1"/>
  <c r="O4848" i="1"/>
  <c r="P4848" i="1"/>
  <c r="Q4848" i="1"/>
  <c r="O4849" i="1"/>
  <c r="P4849" i="1"/>
  <c r="Q4849" i="1"/>
  <c r="O4850" i="1"/>
  <c r="P4850" i="1"/>
  <c r="Q4850" i="1"/>
  <c r="O4851" i="1"/>
  <c r="P4851" i="1"/>
  <c r="Q4851" i="1"/>
  <c r="O4852" i="1"/>
  <c r="P4852" i="1"/>
  <c r="Q4852" i="1"/>
  <c r="O4853" i="1"/>
  <c r="P4853" i="1"/>
  <c r="Q4853" i="1"/>
  <c r="O4854" i="1"/>
  <c r="P4854" i="1"/>
  <c r="Q4854" i="1"/>
  <c r="O4855" i="1"/>
  <c r="P4855" i="1"/>
  <c r="Q4855" i="1"/>
  <c r="O4856" i="1"/>
  <c r="P4856" i="1"/>
  <c r="Q4856" i="1"/>
  <c r="O4857" i="1"/>
  <c r="P4857" i="1"/>
  <c r="Q4857" i="1"/>
  <c r="O4858" i="1"/>
  <c r="P4858" i="1"/>
  <c r="Q4858" i="1"/>
  <c r="O4859" i="1"/>
  <c r="P4859" i="1"/>
  <c r="Q4859" i="1"/>
  <c r="O4860" i="1"/>
  <c r="P4860" i="1"/>
  <c r="Q4860" i="1"/>
  <c r="O4861" i="1"/>
  <c r="P4861" i="1"/>
  <c r="Q4861" i="1"/>
  <c r="O4862" i="1"/>
  <c r="P4862" i="1"/>
  <c r="Q4862" i="1"/>
  <c r="O4863" i="1"/>
  <c r="P4863" i="1"/>
  <c r="Q4863" i="1"/>
  <c r="O4864" i="1"/>
  <c r="P4864" i="1"/>
  <c r="Q4864" i="1"/>
  <c r="O4865" i="1"/>
  <c r="P4865" i="1"/>
  <c r="Q4865" i="1"/>
  <c r="O4866" i="1"/>
  <c r="P4866" i="1"/>
  <c r="Q4866" i="1"/>
  <c r="O4867" i="1"/>
  <c r="P4867" i="1"/>
  <c r="Q4867" i="1"/>
  <c r="O4868" i="1"/>
  <c r="P4868" i="1"/>
  <c r="Q4868" i="1"/>
  <c r="O4869" i="1"/>
  <c r="P4869" i="1"/>
  <c r="Q4869" i="1"/>
  <c r="O4870" i="1"/>
  <c r="P4870" i="1"/>
  <c r="Q4870" i="1"/>
  <c r="O4871" i="1"/>
  <c r="P4871" i="1"/>
  <c r="Q4871" i="1"/>
  <c r="O4872" i="1"/>
  <c r="P4872" i="1"/>
  <c r="Q4872" i="1"/>
  <c r="O4873" i="1"/>
  <c r="P4873" i="1"/>
  <c r="Q4873" i="1"/>
  <c r="O4874" i="1"/>
  <c r="P4874" i="1"/>
  <c r="Q4874" i="1"/>
  <c r="O4875" i="1"/>
  <c r="P4875" i="1"/>
  <c r="Q4875" i="1"/>
  <c r="O4876" i="1"/>
  <c r="P4876" i="1"/>
  <c r="Q4876" i="1"/>
  <c r="O4877" i="1"/>
  <c r="P4877" i="1"/>
  <c r="Q4877" i="1"/>
  <c r="O4878" i="1"/>
  <c r="P4878" i="1"/>
  <c r="Q4878" i="1"/>
  <c r="O4879" i="1"/>
  <c r="P4879" i="1"/>
  <c r="Q4879" i="1"/>
  <c r="O4880" i="1"/>
  <c r="P4880" i="1"/>
  <c r="Q4880" i="1"/>
  <c r="O4881" i="1"/>
  <c r="P4881" i="1"/>
  <c r="Q4881" i="1"/>
  <c r="O4882" i="1"/>
  <c r="P4882" i="1"/>
  <c r="Q4882" i="1"/>
  <c r="O4883" i="1"/>
  <c r="P4883" i="1"/>
  <c r="Q4883" i="1"/>
  <c r="O4884" i="1"/>
  <c r="P4884" i="1"/>
  <c r="Q4884" i="1"/>
  <c r="O4885" i="1"/>
  <c r="P4885" i="1"/>
  <c r="Q4885" i="1"/>
  <c r="O4886" i="1"/>
  <c r="P4886" i="1"/>
  <c r="Q4886" i="1"/>
  <c r="O4887" i="1"/>
  <c r="P4887" i="1"/>
  <c r="Q4887" i="1"/>
  <c r="O4888" i="1"/>
  <c r="P4888" i="1"/>
  <c r="Q4888" i="1"/>
  <c r="O4889" i="1"/>
  <c r="P4889" i="1"/>
  <c r="Q4889" i="1"/>
  <c r="O4890" i="1"/>
  <c r="P4890" i="1"/>
  <c r="Q4890" i="1"/>
  <c r="O4891" i="1"/>
  <c r="P4891" i="1"/>
  <c r="Q4891" i="1"/>
  <c r="O4892" i="1"/>
  <c r="P4892" i="1"/>
  <c r="Q4892" i="1"/>
  <c r="O4893" i="1"/>
  <c r="P4893" i="1"/>
  <c r="Q4893" i="1"/>
  <c r="O4894" i="1"/>
  <c r="P4894" i="1"/>
  <c r="Q4894" i="1"/>
  <c r="O4895" i="1"/>
  <c r="P4895" i="1"/>
  <c r="Q4895" i="1"/>
  <c r="O4896" i="1"/>
  <c r="P4896" i="1"/>
  <c r="Q4896" i="1"/>
  <c r="O4897" i="1"/>
  <c r="P4897" i="1"/>
  <c r="Q4897" i="1"/>
  <c r="O4898" i="1"/>
  <c r="P4898" i="1"/>
  <c r="Q4898" i="1"/>
  <c r="O4899" i="1"/>
  <c r="P4899" i="1"/>
  <c r="Q4899" i="1"/>
  <c r="O4900" i="1"/>
  <c r="P4900" i="1"/>
  <c r="Q4900" i="1"/>
  <c r="O4901" i="1"/>
  <c r="P4901" i="1"/>
  <c r="Q4901" i="1"/>
  <c r="O4902" i="1"/>
  <c r="P4902" i="1"/>
  <c r="Q4902" i="1"/>
  <c r="O4903" i="1"/>
  <c r="P4903" i="1"/>
  <c r="Q4903" i="1"/>
  <c r="O4904" i="1"/>
  <c r="P4904" i="1"/>
  <c r="Q4904" i="1"/>
  <c r="O4905" i="1"/>
  <c r="P4905" i="1"/>
  <c r="Q4905" i="1"/>
  <c r="O4906" i="1"/>
  <c r="P4906" i="1"/>
  <c r="Q4906" i="1"/>
  <c r="O4907" i="1"/>
  <c r="P4907" i="1"/>
  <c r="Q4907" i="1"/>
  <c r="O4908" i="1"/>
  <c r="P4908" i="1"/>
  <c r="Q4908" i="1"/>
  <c r="O4909" i="1"/>
  <c r="P4909" i="1"/>
  <c r="Q4909" i="1"/>
  <c r="O4910" i="1"/>
  <c r="P4910" i="1"/>
  <c r="Q4910" i="1"/>
  <c r="O4911" i="1"/>
  <c r="P4911" i="1"/>
  <c r="Q4911" i="1"/>
  <c r="O4912" i="1"/>
  <c r="P4912" i="1"/>
  <c r="Q4912" i="1"/>
  <c r="O4913" i="1"/>
  <c r="P4913" i="1"/>
  <c r="Q4913" i="1"/>
  <c r="O4914" i="1"/>
  <c r="P4914" i="1"/>
  <c r="Q4914" i="1"/>
  <c r="O4915" i="1"/>
  <c r="P4915" i="1"/>
  <c r="Q4915" i="1"/>
  <c r="O4916" i="1"/>
  <c r="P4916" i="1"/>
  <c r="Q4916" i="1"/>
  <c r="O4917" i="1"/>
  <c r="P4917" i="1"/>
  <c r="Q4917" i="1"/>
  <c r="O4918" i="1"/>
  <c r="P4918" i="1"/>
  <c r="Q4918" i="1"/>
  <c r="O4919" i="1"/>
  <c r="P4919" i="1"/>
  <c r="Q4919" i="1"/>
  <c r="O4920" i="1"/>
  <c r="P4920" i="1"/>
  <c r="Q4920" i="1"/>
  <c r="O4921" i="1"/>
  <c r="P4921" i="1"/>
  <c r="Q4921" i="1"/>
  <c r="O4922" i="1"/>
  <c r="P4922" i="1"/>
  <c r="Q4922" i="1"/>
  <c r="O4923" i="1"/>
  <c r="P4923" i="1"/>
  <c r="Q4923" i="1"/>
  <c r="O4924" i="1"/>
  <c r="P4924" i="1"/>
  <c r="Q4924" i="1"/>
  <c r="O4925" i="1"/>
  <c r="P4925" i="1"/>
  <c r="Q4925" i="1"/>
  <c r="O4926" i="1"/>
  <c r="P4926" i="1"/>
  <c r="Q4926" i="1"/>
  <c r="O4927" i="1"/>
  <c r="P4927" i="1"/>
  <c r="Q4927" i="1"/>
  <c r="O4928" i="1"/>
  <c r="P4928" i="1"/>
  <c r="Q4928" i="1"/>
  <c r="O4929" i="1"/>
  <c r="P4929" i="1"/>
  <c r="Q4929" i="1"/>
  <c r="O4930" i="1"/>
  <c r="P4930" i="1"/>
  <c r="Q4930" i="1"/>
  <c r="O4931" i="1"/>
  <c r="P4931" i="1"/>
  <c r="Q4931" i="1"/>
  <c r="O4932" i="1"/>
  <c r="P4932" i="1"/>
  <c r="Q4932" i="1"/>
  <c r="O4933" i="1"/>
  <c r="P4933" i="1"/>
  <c r="Q4933" i="1"/>
  <c r="O4934" i="1"/>
  <c r="P4934" i="1"/>
  <c r="Q4934" i="1"/>
  <c r="O4935" i="1"/>
  <c r="P4935" i="1"/>
  <c r="Q4935" i="1"/>
  <c r="O4936" i="1"/>
  <c r="P4936" i="1"/>
  <c r="Q4936" i="1"/>
  <c r="O4937" i="1"/>
  <c r="P4937" i="1"/>
  <c r="Q4937" i="1"/>
  <c r="O4938" i="1"/>
  <c r="P4938" i="1"/>
  <c r="Q4938" i="1"/>
  <c r="O4939" i="1"/>
  <c r="P4939" i="1"/>
  <c r="Q4939" i="1"/>
  <c r="O4940" i="1"/>
  <c r="P4940" i="1"/>
  <c r="Q4940" i="1"/>
  <c r="O4941" i="1"/>
  <c r="P4941" i="1"/>
  <c r="Q4941" i="1"/>
  <c r="O4942" i="1"/>
  <c r="P4942" i="1"/>
  <c r="Q4942" i="1"/>
  <c r="O4943" i="1"/>
  <c r="P4943" i="1"/>
  <c r="Q4943" i="1"/>
  <c r="O4944" i="1"/>
  <c r="P4944" i="1"/>
  <c r="Q4944" i="1"/>
  <c r="O4945" i="1"/>
  <c r="P4945" i="1"/>
  <c r="Q4945" i="1"/>
  <c r="O4946" i="1"/>
  <c r="P4946" i="1"/>
  <c r="Q4946" i="1"/>
  <c r="O4947" i="1"/>
  <c r="P4947" i="1"/>
  <c r="Q4947" i="1"/>
  <c r="O4948" i="1"/>
  <c r="P4948" i="1"/>
  <c r="Q4948" i="1"/>
  <c r="O4949" i="1"/>
  <c r="P4949" i="1"/>
  <c r="Q4949" i="1"/>
  <c r="O4950" i="1"/>
  <c r="P4950" i="1"/>
  <c r="Q4950" i="1"/>
  <c r="O4951" i="1"/>
  <c r="P4951" i="1"/>
  <c r="Q4951" i="1"/>
  <c r="O4952" i="1"/>
  <c r="P4952" i="1"/>
  <c r="Q4952" i="1"/>
  <c r="O4953" i="1"/>
  <c r="P4953" i="1"/>
  <c r="Q4953" i="1"/>
  <c r="O4954" i="1"/>
  <c r="P4954" i="1"/>
  <c r="Q4954" i="1"/>
  <c r="O4955" i="1"/>
  <c r="P4955" i="1"/>
  <c r="Q4955" i="1"/>
  <c r="O4956" i="1"/>
  <c r="P4956" i="1"/>
  <c r="Q4956" i="1"/>
  <c r="O4957" i="1"/>
  <c r="P4957" i="1"/>
  <c r="Q4957" i="1"/>
  <c r="O4958" i="1"/>
  <c r="P4958" i="1"/>
  <c r="Q4958" i="1"/>
  <c r="O4959" i="1"/>
  <c r="P4959" i="1"/>
  <c r="Q4959" i="1"/>
  <c r="O4960" i="1"/>
  <c r="P4960" i="1"/>
  <c r="Q4960" i="1"/>
  <c r="O4961" i="1"/>
  <c r="P4961" i="1"/>
  <c r="Q4961" i="1"/>
  <c r="O4962" i="1"/>
  <c r="P4962" i="1"/>
  <c r="Q4962" i="1"/>
  <c r="O4963" i="1"/>
  <c r="P4963" i="1"/>
  <c r="Q4963" i="1"/>
  <c r="O4964" i="1"/>
  <c r="P4964" i="1"/>
  <c r="Q4964" i="1"/>
  <c r="O4965" i="1"/>
  <c r="P4965" i="1"/>
  <c r="Q4965" i="1"/>
  <c r="O4966" i="1"/>
  <c r="P4966" i="1"/>
  <c r="Q4966" i="1"/>
  <c r="O4967" i="1"/>
  <c r="P4967" i="1"/>
  <c r="Q4967" i="1"/>
  <c r="O4968" i="1"/>
  <c r="P4968" i="1"/>
  <c r="Q4968" i="1"/>
  <c r="O4969" i="1"/>
  <c r="P4969" i="1"/>
  <c r="Q4969" i="1"/>
  <c r="O4970" i="1"/>
  <c r="P4970" i="1"/>
  <c r="Q4970" i="1"/>
  <c r="O4971" i="1"/>
  <c r="P4971" i="1"/>
  <c r="Q4971" i="1"/>
  <c r="O4972" i="1"/>
  <c r="P4972" i="1"/>
  <c r="Q4972" i="1"/>
  <c r="O4973" i="1"/>
  <c r="P4973" i="1"/>
  <c r="Q4973" i="1"/>
  <c r="O4974" i="1"/>
  <c r="P4974" i="1"/>
  <c r="Q4974" i="1"/>
  <c r="O4975" i="1"/>
  <c r="P4975" i="1"/>
  <c r="Q4975" i="1"/>
  <c r="O4976" i="1"/>
  <c r="P4976" i="1"/>
  <c r="Q4976" i="1"/>
  <c r="O4977" i="1"/>
  <c r="P4977" i="1"/>
  <c r="Q4977" i="1"/>
  <c r="O4978" i="1"/>
  <c r="P4978" i="1"/>
  <c r="Q4978" i="1"/>
  <c r="O4979" i="1"/>
  <c r="P4979" i="1"/>
  <c r="Q4979" i="1"/>
  <c r="O4980" i="1"/>
  <c r="P4980" i="1"/>
  <c r="Q4980" i="1"/>
  <c r="O4981" i="1"/>
  <c r="P4981" i="1"/>
  <c r="Q4981" i="1"/>
  <c r="O4982" i="1"/>
  <c r="P4982" i="1"/>
  <c r="Q4982" i="1"/>
  <c r="O4983" i="1"/>
  <c r="P4983" i="1"/>
  <c r="Q4983" i="1"/>
  <c r="O4984" i="1"/>
  <c r="P4984" i="1"/>
  <c r="Q4984" i="1"/>
  <c r="O4985" i="1"/>
  <c r="P4985" i="1"/>
  <c r="Q4985" i="1"/>
  <c r="O4986" i="1"/>
  <c r="P4986" i="1"/>
  <c r="Q4986" i="1"/>
  <c r="O4987" i="1"/>
  <c r="P4987" i="1"/>
  <c r="Q4987" i="1"/>
  <c r="O4988" i="1"/>
  <c r="P4988" i="1"/>
  <c r="Q4988" i="1"/>
  <c r="O4989" i="1"/>
  <c r="P4989" i="1"/>
  <c r="Q4989" i="1"/>
  <c r="O4990" i="1"/>
  <c r="P4990" i="1"/>
  <c r="Q4990" i="1"/>
  <c r="O4991" i="1"/>
  <c r="P4991" i="1"/>
  <c r="Q4991" i="1"/>
  <c r="O4992" i="1"/>
  <c r="P4992" i="1"/>
  <c r="Q4992" i="1"/>
  <c r="O4993" i="1"/>
  <c r="P4993" i="1"/>
  <c r="Q4993" i="1"/>
  <c r="O4994" i="1"/>
  <c r="P4994" i="1"/>
  <c r="Q4994" i="1"/>
  <c r="O4995" i="1"/>
  <c r="P4995" i="1"/>
  <c r="Q4995" i="1"/>
  <c r="O4996" i="1"/>
  <c r="P4996" i="1"/>
  <c r="Q4996" i="1"/>
  <c r="O4997" i="1"/>
  <c r="P4997" i="1"/>
  <c r="Q4997" i="1"/>
  <c r="O4998" i="1"/>
  <c r="P4998" i="1"/>
  <c r="Q4998" i="1"/>
  <c r="O4999" i="1"/>
  <c r="P4999" i="1"/>
  <c r="Q4999" i="1"/>
  <c r="O5000" i="1"/>
  <c r="P5000" i="1"/>
  <c r="Q5000" i="1"/>
  <c r="O5001" i="1"/>
  <c r="P5001" i="1"/>
  <c r="Q5001" i="1"/>
  <c r="O2" i="1"/>
  <c r="P2" i="1"/>
  <c r="Q2" i="1"/>
  <c r="R5000" i="1"/>
  <c r="B13" i="1"/>
  <c r="S5000" i="1"/>
  <c r="R4998" i="1"/>
  <c r="S4998" i="1"/>
  <c r="R4996" i="1"/>
  <c r="S4996" i="1"/>
  <c r="R4994" i="1"/>
  <c r="S4994" i="1"/>
  <c r="R4992" i="1"/>
  <c r="S4992" i="1"/>
  <c r="R4990" i="1"/>
  <c r="S4990" i="1"/>
  <c r="R4988" i="1"/>
  <c r="S4988" i="1"/>
  <c r="R4986" i="1"/>
  <c r="S4986" i="1"/>
  <c r="R4984" i="1"/>
  <c r="S4984" i="1"/>
  <c r="R4982" i="1"/>
  <c r="S4982" i="1"/>
  <c r="R4980" i="1"/>
  <c r="S4980" i="1"/>
  <c r="R4978" i="1"/>
  <c r="S4978" i="1"/>
  <c r="R4976" i="1"/>
  <c r="S4976" i="1"/>
  <c r="R4974" i="1"/>
  <c r="S4974" i="1"/>
  <c r="R4972" i="1"/>
  <c r="S4972" i="1"/>
  <c r="R4970" i="1"/>
  <c r="S4970" i="1"/>
  <c r="R4968" i="1"/>
  <c r="S4968" i="1"/>
  <c r="R4966" i="1"/>
  <c r="S4966" i="1"/>
  <c r="R4964" i="1"/>
  <c r="S4964" i="1"/>
  <c r="R4962" i="1"/>
  <c r="S4962" i="1"/>
  <c r="R4960" i="1"/>
  <c r="S4960" i="1"/>
  <c r="R4958" i="1"/>
  <c r="S4958" i="1"/>
  <c r="R4956" i="1"/>
  <c r="S4956" i="1"/>
  <c r="R4954" i="1"/>
  <c r="S4954" i="1"/>
  <c r="R4952" i="1"/>
  <c r="S4952" i="1"/>
  <c r="R4950" i="1"/>
  <c r="S4950" i="1"/>
  <c r="R4948" i="1"/>
  <c r="S4948" i="1"/>
  <c r="R4946" i="1"/>
  <c r="S4946" i="1"/>
  <c r="R4944" i="1"/>
  <c r="S4944" i="1"/>
  <c r="R4942" i="1"/>
  <c r="S4942" i="1"/>
  <c r="R4940" i="1"/>
  <c r="S4940" i="1"/>
  <c r="R4938" i="1"/>
  <c r="S4938" i="1"/>
  <c r="R4936" i="1"/>
  <c r="S4936" i="1"/>
  <c r="R4934" i="1"/>
  <c r="S4934" i="1"/>
  <c r="R4932" i="1"/>
  <c r="S4932" i="1"/>
  <c r="R4930" i="1"/>
  <c r="S4930" i="1"/>
  <c r="R4928" i="1"/>
  <c r="S4928" i="1"/>
  <c r="R4926" i="1"/>
  <c r="S4926" i="1"/>
  <c r="R4924" i="1"/>
  <c r="S4924" i="1"/>
  <c r="R4922" i="1"/>
  <c r="S4922" i="1"/>
  <c r="R4920" i="1"/>
  <c r="S4920" i="1"/>
  <c r="R4918" i="1"/>
  <c r="S4918" i="1"/>
  <c r="R4916" i="1"/>
  <c r="S4916" i="1"/>
  <c r="R4914" i="1"/>
  <c r="S4914" i="1"/>
  <c r="R4912" i="1"/>
  <c r="S4912" i="1"/>
  <c r="R4910" i="1"/>
  <c r="S4910" i="1"/>
  <c r="R4908" i="1"/>
  <c r="S4908" i="1"/>
  <c r="R4906" i="1"/>
  <c r="S4906" i="1"/>
  <c r="R4904" i="1"/>
  <c r="S4904" i="1"/>
  <c r="R4902" i="1"/>
  <c r="S4902" i="1"/>
  <c r="R4900" i="1"/>
  <c r="S4900" i="1"/>
  <c r="R4898" i="1"/>
  <c r="S4898" i="1"/>
  <c r="R4896" i="1"/>
  <c r="S4896" i="1"/>
  <c r="R4894" i="1"/>
  <c r="S4894" i="1"/>
  <c r="R4892" i="1"/>
  <c r="S4892" i="1"/>
  <c r="R4890" i="1"/>
  <c r="S4890" i="1"/>
  <c r="R4888" i="1"/>
  <c r="S4888" i="1"/>
  <c r="R4886" i="1"/>
  <c r="S4886" i="1"/>
  <c r="R4884" i="1"/>
  <c r="S4884" i="1"/>
  <c r="R4882" i="1"/>
  <c r="S4882" i="1"/>
  <c r="R4880" i="1"/>
  <c r="S4880" i="1"/>
  <c r="R4878" i="1"/>
  <c r="S4878" i="1"/>
  <c r="R4876" i="1"/>
  <c r="S4876" i="1"/>
  <c r="R4874" i="1"/>
  <c r="S4874" i="1"/>
  <c r="R4872" i="1"/>
  <c r="S4872" i="1"/>
  <c r="R4870" i="1"/>
  <c r="S4870" i="1"/>
  <c r="R4868" i="1"/>
  <c r="S4868" i="1"/>
  <c r="R4866" i="1"/>
  <c r="S4866" i="1"/>
  <c r="R4864" i="1"/>
  <c r="S4864" i="1"/>
  <c r="R4862" i="1"/>
  <c r="S4862" i="1"/>
  <c r="R4860" i="1"/>
  <c r="S4860" i="1"/>
  <c r="R4858" i="1"/>
  <c r="S4858" i="1"/>
  <c r="R4856" i="1"/>
  <c r="S4856" i="1"/>
  <c r="R4854" i="1"/>
  <c r="S4854" i="1"/>
  <c r="R4852" i="1"/>
  <c r="S4852" i="1"/>
  <c r="R4850" i="1"/>
  <c r="S4850" i="1"/>
  <c r="R4848" i="1"/>
  <c r="S4848" i="1"/>
  <c r="R4846" i="1"/>
  <c r="S4846" i="1"/>
  <c r="R4844" i="1"/>
  <c r="S4844" i="1"/>
  <c r="R4842" i="1"/>
  <c r="S4842" i="1"/>
  <c r="R4840" i="1"/>
  <c r="S4840" i="1"/>
  <c r="R4838" i="1"/>
  <c r="S4838" i="1"/>
  <c r="R4836" i="1"/>
  <c r="S4836" i="1"/>
  <c r="R4834" i="1"/>
  <c r="S4834" i="1"/>
  <c r="R4832" i="1"/>
  <c r="S4832" i="1"/>
  <c r="R4830" i="1"/>
  <c r="S4830" i="1"/>
  <c r="R4828" i="1"/>
  <c r="S4828" i="1"/>
  <c r="R4826" i="1"/>
  <c r="S4826" i="1"/>
  <c r="R4824" i="1"/>
  <c r="S4824" i="1"/>
  <c r="R4822" i="1"/>
  <c r="S4822" i="1"/>
  <c r="R4820" i="1"/>
  <c r="S4820" i="1"/>
  <c r="R4818" i="1"/>
  <c r="S4818" i="1"/>
  <c r="R4816" i="1"/>
  <c r="S4816" i="1"/>
  <c r="R4814" i="1"/>
  <c r="S4814" i="1"/>
  <c r="R4812" i="1"/>
  <c r="S4812" i="1"/>
  <c r="R4810" i="1"/>
  <c r="S4810" i="1"/>
  <c r="R4808" i="1"/>
  <c r="S4808" i="1"/>
  <c r="R4806" i="1"/>
  <c r="S4806" i="1"/>
  <c r="R4804" i="1"/>
  <c r="S4804" i="1"/>
  <c r="R4802" i="1"/>
  <c r="S4802" i="1"/>
  <c r="R4800" i="1"/>
  <c r="S4800" i="1"/>
  <c r="R4798" i="1"/>
  <c r="S4798" i="1"/>
  <c r="R4796" i="1"/>
  <c r="S4796" i="1"/>
  <c r="R4794" i="1"/>
  <c r="S4794" i="1"/>
  <c r="R4792" i="1"/>
  <c r="S4792" i="1"/>
  <c r="R4790" i="1"/>
  <c r="S4790" i="1"/>
  <c r="R4788" i="1"/>
  <c r="S4788" i="1"/>
  <c r="R4786" i="1"/>
  <c r="S4786" i="1"/>
  <c r="R4784" i="1"/>
  <c r="S4784" i="1"/>
  <c r="R4782" i="1"/>
  <c r="S4782" i="1"/>
  <c r="R4780" i="1"/>
  <c r="S4780" i="1"/>
  <c r="R4778" i="1"/>
  <c r="S4778" i="1"/>
  <c r="R4776" i="1"/>
  <c r="S4776" i="1"/>
  <c r="R4774" i="1"/>
  <c r="S4774" i="1"/>
  <c r="R4772" i="1"/>
  <c r="S4772" i="1"/>
  <c r="R4770" i="1"/>
  <c r="S4770" i="1"/>
  <c r="R4768" i="1"/>
  <c r="S4768" i="1"/>
  <c r="R4766" i="1"/>
  <c r="S4766" i="1"/>
  <c r="R4764" i="1"/>
  <c r="S4764" i="1"/>
  <c r="R4762" i="1"/>
  <c r="S4762" i="1"/>
  <c r="R4760" i="1"/>
  <c r="S4760" i="1"/>
  <c r="R4758" i="1"/>
  <c r="S4758" i="1"/>
  <c r="R4756" i="1"/>
  <c r="S4756" i="1"/>
  <c r="R4754" i="1"/>
  <c r="S4754" i="1"/>
  <c r="R4752" i="1"/>
  <c r="S4752" i="1"/>
  <c r="R4750" i="1"/>
  <c r="S4750" i="1"/>
  <c r="R4748" i="1"/>
  <c r="S4748" i="1"/>
  <c r="R4746" i="1"/>
  <c r="S4746" i="1"/>
  <c r="R4744" i="1"/>
  <c r="S4744" i="1"/>
  <c r="R4742" i="1"/>
  <c r="S4742" i="1"/>
  <c r="R4740" i="1"/>
  <c r="S4740" i="1"/>
  <c r="R4738" i="1"/>
  <c r="S4738" i="1"/>
  <c r="R4736" i="1"/>
  <c r="S4736" i="1"/>
  <c r="R4734" i="1"/>
  <c r="S4734" i="1"/>
  <c r="R4732" i="1"/>
  <c r="S4732" i="1"/>
  <c r="R4730" i="1"/>
  <c r="S4730" i="1"/>
  <c r="R4728" i="1"/>
  <c r="S4728" i="1"/>
  <c r="R4726" i="1"/>
  <c r="S4726" i="1"/>
  <c r="R4724" i="1"/>
  <c r="S4724" i="1"/>
  <c r="R4722" i="1"/>
  <c r="S4722" i="1"/>
  <c r="R4720" i="1"/>
  <c r="S4720" i="1"/>
  <c r="R4718" i="1"/>
  <c r="S4718" i="1"/>
  <c r="R4716" i="1"/>
  <c r="S4716" i="1"/>
  <c r="R4714" i="1"/>
  <c r="S4714" i="1"/>
  <c r="R4712" i="1"/>
  <c r="S4712" i="1"/>
  <c r="R4710" i="1"/>
  <c r="S4710" i="1"/>
  <c r="R4708" i="1"/>
  <c r="S4708" i="1"/>
  <c r="R4706" i="1"/>
  <c r="S4706" i="1"/>
  <c r="R4704" i="1"/>
  <c r="S4704" i="1"/>
  <c r="R4702" i="1"/>
  <c r="S4702" i="1"/>
  <c r="R4700" i="1"/>
  <c r="S4700" i="1"/>
  <c r="R4698" i="1"/>
  <c r="S4698" i="1"/>
  <c r="R4696" i="1"/>
  <c r="S4696" i="1"/>
  <c r="R4694" i="1"/>
  <c r="S4694" i="1"/>
  <c r="R4692" i="1"/>
  <c r="S4692" i="1"/>
  <c r="R4690" i="1"/>
  <c r="S4690" i="1"/>
  <c r="R4688" i="1"/>
  <c r="S4688" i="1"/>
  <c r="R4686" i="1"/>
  <c r="S4686" i="1"/>
  <c r="R4684" i="1"/>
  <c r="S4684" i="1"/>
  <c r="R4682" i="1"/>
  <c r="S4682" i="1"/>
  <c r="R4680" i="1"/>
  <c r="S4680" i="1"/>
  <c r="R4678" i="1"/>
  <c r="S4678" i="1"/>
  <c r="R4676" i="1"/>
  <c r="S4676" i="1"/>
  <c r="R4674" i="1"/>
  <c r="S4674" i="1"/>
  <c r="R4672" i="1"/>
  <c r="S4672" i="1"/>
  <c r="R4670" i="1"/>
  <c r="S4670" i="1"/>
  <c r="R4668" i="1"/>
  <c r="S4668" i="1"/>
  <c r="R4666" i="1"/>
  <c r="S4666" i="1"/>
  <c r="R4664" i="1"/>
  <c r="S4664" i="1"/>
  <c r="R4662" i="1"/>
  <c r="S4662" i="1"/>
  <c r="R4660" i="1"/>
  <c r="S4660" i="1"/>
  <c r="R4658" i="1"/>
  <c r="S4658" i="1"/>
  <c r="R4656" i="1"/>
  <c r="S4656" i="1"/>
  <c r="R4654" i="1"/>
  <c r="S4654" i="1"/>
  <c r="R4652" i="1"/>
  <c r="S4652" i="1"/>
  <c r="R4650" i="1"/>
  <c r="S4650" i="1"/>
  <c r="R4648" i="1"/>
  <c r="S4648" i="1"/>
  <c r="R4646" i="1"/>
  <c r="S4646" i="1"/>
  <c r="R4644" i="1"/>
  <c r="S4644" i="1"/>
  <c r="R4642" i="1"/>
  <c r="S4642" i="1"/>
  <c r="R4640" i="1"/>
  <c r="S4640" i="1"/>
  <c r="R4638" i="1"/>
  <c r="S4638" i="1"/>
  <c r="R4636" i="1"/>
  <c r="S4636" i="1"/>
  <c r="R4634" i="1"/>
  <c r="S4634" i="1"/>
  <c r="R4632" i="1"/>
  <c r="S4632" i="1"/>
  <c r="R4630" i="1"/>
  <c r="S4630" i="1"/>
  <c r="R4628" i="1"/>
  <c r="S4628" i="1"/>
  <c r="R4626" i="1"/>
  <c r="S4626" i="1"/>
  <c r="R4624" i="1"/>
  <c r="S4624" i="1"/>
  <c r="R4622" i="1"/>
  <c r="S4622" i="1"/>
  <c r="R4620" i="1"/>
  <c r="S4620" i="1"/>
  <c r="R4618" i="1"/>
  <c r="S4618" i="1"/>
  <c r="R4616" i="1"/>
  <c r="S4616" i="1"/>
  <c r="R4614" i="1"/>
  <c r="S4614" i="1"/>
  <c r="R4612" i="1"/>
  <c r="S4612" i="1"/>
  <c r="R4610" i="1"/>
  <c r="S4610" i="1"/>
  <c r="R4608" i="1"/>
  <c r="S4608" i="1"/>
  <c r="R4606" i="1"/>
  <c r="S4606" i="1"/>
  <c r="R4604" i="1"/>
  <c r="S4604" i="1"/>
  <c r="R4602" i="1"/>
  <c r="S4602" i="1"/>
  <c r="R4600" i="1"/>
  <c r="S4600" i="1"/>
  <c r="R4598" i="1"/>
  <c r="S4598" i="1"/>
  <c r="R4596" i="1"/>
  <c r="S4596" i="1"/>
  <c r="R4594" i="1"/>
  <c r="S4594" i="1"/>
  <c r="R4592" i="1"/>
  <c r="S4592" i="1"/>
  <c r="R4590" i="1"/>
  <c r="S4590" i="1"/>
  <c r="R4588" i="1"/>
  <c r="S4588" i="1"/>
  <c r="R4586" i="1"/>
  <c r="S4586" i="1"/>
  <c r="R4584" i="1"/>
  <c r="S4584" i="1"/>
  <c r="R4582" i="1"/>
  <c r="S4582" i="1"/>
  <c r="R4580" i="1"/>
  <c r="S4580" i="1"/>
  <c r="R4578" i="1"/>
  <c r="S4578" i="1"/>
  <c r="R4576" i="1"/>
  <c r="S4576" i="1"/>
  <c r="R4574" i="1"/>
  <c r="S4574" i="1"/>
  <c r="R4572" i="1"/>
  <c r="S4572" i="1"/>
  <c r="R4570" i="1"/>
  <c r="S4570" i="1"/>
  <c r="R4568" i="1"/>
  <c r="S4568" i="1"/>
  <c r="R4566" i="1"/>
  <c r="S4566" i="1"/>
  <c r="R4564" i="1"/>
  <c r="S4564" i="1"/>
  <c r="R4562" i="1"/>
  <c r="S4562" i="1"/>
  <c r="R4560" i="1"/>
  <c r="S4560" i="1"/>
  <c r="R4558" i="1"/>
  <c r="S4558" i="1"/>
  <c r="R4556" i="1"/>
  <c r="S4556" i="1"/>
  <c r="R4554" i="1"/>
  <c r="S4554" i="1"/>
  <c r="R4552" i="1"/>
  <c r="S4552" i="1"/>
  <c r="R4550" i="1"/>
  <c r="S4550" i="1"/>
  <c r="R4548" i="1"/>
  <c r="S4548" i="1"/>
  <c r="R4546" i="1"/>
  <c r="S4546" i="1"/>
  <c r="R4544" i="1"/>
  <c r="S4544" i="1"/>
  <c r="R4542" i="1"/>
  <c r="S4542" i="1"/>
  <c r="R4540" i="1"/>
  <c r="S4540" i="1"/>
  <c r="R4538" i="1"/>
  <c r="S4538" i="1"/>
  <c r="R4536" i="1"/>
  <c r="S4536" i="1"/>
  <c r="R4534" i="1"/>
  <c r="S4534" i="1"/>
  <c r="R4532" i="1"/>
  <c r="S4532" i="1"/>
  <c r="R4530" i="1"/>
  <c r="S4530" i="1"/>
  <c r="R4528" i="1"/>
  <c r="S4528" i="1"/>
  <c r="R4526" i="1"/>
  <c r="S4526" i="1"/>
  <c r="R4524" i="1"/>
  <c r="S4524" i="1"/>
  <c r="R4522" i="1"/>
  <c r="S4522" i="1"/>
  <c r="R4520" i="1"/>
  <c r="S4520" i="1"/>
  <c r="R4518" i="1"/>
  <c r="S4518" i="1"/>
  <c r="R4516" i="1"/>
  <c r="S4516" i="1"/>
  <c r="R4514" i="1"/>
  <c r="S4514" i="1"/>
  <c r="R4512" i="1"/>
  <c r="S4512" i="1"/>
  <c r="R4510" i="1"/>
  <c r="S4510" i="1"/>
  <c r="R4508" i="1"/>
  <c r="S4508" i="1"/>
  <c r="R4506" i="1"/>
  <c r="S4506" i="1"/>
  <c r="R4504" i="1"/>
  <c r="S4504" i="1"/>
  <c r="R4502" i="1"/>
  <c r="S4502" i="1"/>
  <c r="R4500" i="1"/>
  <c r="S4500" i="1"/>
  <c r="R4498" i="1"/>
  <c r="S4498" i="1"/>
  <c r="R4496" i="1"/>
  <c r="S4496" i="1"/>
  <c r="R4494" i="1"/>
  <c r="S4494" i="1"/>
  <c r="R4492" i="1"/>
  <c r="S4492" i="1"/>
  <c r="R4490" i="1"/>
  <c r="S4490" i="1"/>
  <c r="R4488" i="1"/>
  <c r="S4488" i="1"/>
  <c r="R4486" i="1"/>
  <c r="S4486" i="1"/>
  <c r="R4484" i="1"/>
  <c r="S4484" i="1"/>
  <c r="R4482" i="1"/>
  <c r="S4482" i="1"/>
  <c r="R4480" i="1"/>
  <c r="S4480" i="1"/>
  <c r="R4478" i="1"/>
  <c r="S4478" i="1"/>
  <c r="R4476" i="1"/>
  <c r="S4476" i="1"/>
  <c r="R4474" i="1"/>
  <c r="S4474" i="1"/>
  <c r="R4472" i="1"/>
  <c r="S4472" i="1"/>
  <c r="R4470" i="1"/>
  <c r="S4470" i="1"/>
  <c r="R4468" i="1"/>
  <c r="S4468" i="1"/>
  <c r="R4466" i="1"/>
  <c r="S4466" i="1"/>
  <c r="R4464" i="1"/>
  <c r="S4464" i="1"/>
  <c r="R4462" i="1"/>
  <c r="S4462" i="1"/>
  <c r="R4460" i="1"/>
  <c r="S4460" i="1"/>
  <c r="R4458" i="1"/>
  <c r="S4458" i="1"/>
  <c r="R4456" i="1"/>
  <c r="S4456" i="1"/>
  <c r="R4454" i="1"/>
  <c r="S4454" i="1"/>
  <c r="R4452" i="1"/>
  <c r="S4452" i="1"/>
  <c r="R4450" i="1"/>
  <c r="S4450" i="1"/>
  <c r="R4448" i="1"/>
  <c r="S4448" i="1"/>
  <c r="R4446" i="1"/>
  <c r="S4446" i="1"/>
  <c r="R4444" i="1"/>
  <c r="S4444" i="1"/>
  <c r="R4442" i="1"/>
  <c r="S4442" i="1"/>
  <c r="R4440" i="1"/>
  <c r="S4440" i="1"/>
  <c r="R4438" i="1"/>
  <c r="S4438" i="1"/>
  <c r="R4436" i="1"/>
  <c r="S4436" i="1"/>
  <c r="R4434" i="1"/>
  <c r="S4434" i="1"/>
  <c r="R4432" i="1"/>
  <c r="S4432" i="1"/>
  <c r="R4430" i="1"/>
  <c r="S4430" i="1"/>
  <c r="R4428" i="1"/>
  <c r="S4428" i="1"/>
  <c r="R4426" i="1"/>
  <c r="S4426" i="1"/>
  <c r="R4424" i="1"/>
  <c r="S4424" i="1"/>
  <c r="R4422" i="1"/>
  <c r="S4422" i="1"/>
  <c r="R4420" i="1"/>
  <c r="S4420" i="1"/>
  <c r="R4418" i="1"/>
  <c r="S4418" i="1"/>
  <c r="R4416" i="1"/>
  <c r="S4416" i="1"/>
  <c r="R4414" i="1"/>
  <c r="S4414" i="1"/>
  <c r="R4412" i="1"/>
  <c r="S4412" i="1"/>
  <c r="R4410" i="1"/>
  <c r="S4410" i="1"/>
  <c r="R4408" i="1"/>
  <c r="S4408" i="1"/>
  <c r="R4406" i="1"/>
  <c r="S4406" i="1"/>
  <c r="R4404" i="1"/>
  <c r="S4404" i="1"/>
  <c r="R4402" i="1"/>
  <c r="S4402" i="1"/>
  <c r="R4400" i="1"/>
  <c r="S4400" i="1"/>
  <c r="R4398" i="1"/>
  <c r="S4398" i="1"/>
  <c r="R4396" i="1"/>
  <c r="S4396" i="1"/>
  <c r="R4394" i="1"/>
  <c r="S4394" i="1"/>
  <c r="R4392" i="1"/>
  <c r="S4392" i="1"/>
  <c r="R4390" i="1"/>
  <c r="S4390" i="1"/>
  <c r="R4388" i="1"/>
  <c r="S4388" i="1"/>
  <c r="R4386" i="1"/>
  <c r="S4386" i="1"/>
  <c r="R4384" i="1"/>
  <c r="S4384" i="1"/>
  <c r="R4382" i="1"/>
  <c r="S4382" i="1"/>
  <c r="R4380" i="1"/>
  <c r="S4380" i="1"/>
  <c r="R4378" i="1"/>
  <c r="S4378" i="1"/>
  <c r="R4376" i="1"/>
  <c r="S4376" i="1"/>
  <c r="R4374" i="1"/>
  <c r="S4374" i="1"/>
  <c r="R4372" i="1"/>
  <c r="S4372" i="1"/>
  <c r="R4370" i="1"/>
  <c r="S4370" i="1"/>
  <c r="R4368" i="1"/>
  <c r="S4368" i="1"/>
  <c r="R4366" i="1"/>
  <c r="S4366" i="1"/>
  <c r="R4364" i="1"/>
  <c r="S4364" i="1"/>
  <c r="R4362" i="1"/>
  <c r="S4362" i="1"/>
  <c r="R4360" i="1"/>
  <c r="S4360" i="1"/>
  <c r="R4358" i="1"/>
  <c r="S4358" i="1"/>
  <c r="R4356" i="1"/>
  <c r="S4356" i="1"/>
  <c r="R4354" i="1"/>
  <c r="S4354" i="1"/>
  <c r="R4352" i="1"/>
  <c r="S4352" i="1"/>
  <c r="R4350" i="1"/>
  <c r="S4350" i="1"/>
  <c r="R4348" i="1"/>
  <c r="S4348" i="1"/>
  <c r="R4346" i="1"/>
  <c r="S4346" i="1"/>
  <c r="R4344" i="1"/>
  <c r="S4344" i="1"/>
  <c r="R4342" i="1"/>
  <c r="S4342" i="1"/>
  <c r="R4340" i="1"/>
  <c r="S4340" i="1"/>
  <c r="R4338" i="1"/>
  <c r="S4338" i="1"/>
  <c r="R4336" i="1"/>
  <c r="S4336" i="1"/>
  <c r="R4334" i="1"/>
  <c r="S4334" i="1"/>
  <c r="R4332" i="1"/>
  <c r="S4332" i="1"/>
  <c r="R4330" i="1"/>
  <c r="S4330" i="1"/>
  <c r="R4328" i="1"/>
  <c r="S4328" i="1"/>
  <c r="R4326" i="1"/>
  <c r="S4326" i="1"/>
  <c r="R4324" i="1"/>
  <c r="S4324" i="1"/>
  <c r="R4322" i="1"/>
  <c r="S4322" i="1"/>
  <c r="R4320" i="1"/>
  <c r="S4320" i="1"/>
  <c r="R4318" i="1"/>
  <c r="S4318" i="1"/>
  <c r="R4316" i="1"/>
  <c r="S4316" i="1"/>
  <c r="R4314" i="1"/>
  <c r="S4314" i="1"/>
  <c r="R4312" i="1"/>
  <c r="S4312" i="1"/>
  <c r="R4310" i="1"/>
  <c r="S4310" i="1"/>
  <c r="R4308" i="1"/>
  <c r="S4308" i="1"/>
  <c r="R4306" i="1"/>
  <c r="S4306" i="1"/>
  <c r="R4304" i="1"/>
  <c r="S4304" i="1"/>
  <c r="R4302" i="1"/>
  <c r="S4302" i="1"/>
  <c r="R4300" i="1"/>
  <c r="S4300" i="1"/>
  <c r="R4298" i="1"/>
  <c r="S4298" i="1"/>
  <c r="R4296" i="1"/>
  <c r="S4296" i="1"/>
  <c r="R4294" i="1"/>
  <c r="S4294" i="1"/>
  <c r="R4292" i="1"/>
  <c r="S4292" i="1"/>
  <c r="R4290" i="1"/>
  <c r="S4290" i="1"/>
  <c r="R4288" i="1"/>
  <c r="S4288" i="1"/>
  <c r="R4286" i="1"/>
  <c r="S4286" i="1"/>
  <c r="R4284" i="1"/>
  <c r="S4284" i="1"/>
  <c r="R4282" i="1"/>
  <c r="S4282" i="1"/>
  <c r="R4280" i="1"/>
  <c r="S4280" i="1"/>
  <c r="R4278" i="1"/>
  <c r="S4278" i="1"/>
  <c r="R4276" i="1"/>
  <c r="S4276" i="1"/>
  <c r="R4274" i="1"/>
  <c r="S4274" i="1"/>
  <c r="R4272" i="1"/>
  <c r="S4272" i="1"/>
  <c r="R4270" i="1"/>
  <c r="S4270" i="1"/>
  <c r="R4268" i="1"/>
  <c r="S4268" i="1"/>
  <c r="R4266" i="1"/>
  <c r="S4266" i="1"/>
  <c r="R4264" i="1"/>
  <c r="S4264" i="1"/>
  <c r="R4262" i="1"/>
  <c r="S4262" i="1"/>
  <c r="R4260" i="1"/>
  <c r="S4260" i="1"/>
  <c r="R4258" i="1"/>
  <c r="S4258" i="1"/>
  <c r="R4256" i="1"/>
  <c r="S4256" i="1"/>
  <c r="R4254" i="1"/>
  <c r="S4254" i="1"/>
  <c r="R4252" i="1"/>
  <c r="S4252" i="1"/>
  <c r="R4250" i="1"/>
  <c r="S4250" i="1"/>
  <c r="R4248" i="1"/>
  <c r="S4248" i="1"/>
  <c r="R4246" i="1"/>
  <c r="S4246" i="1"/>
  <c r="R4244" i="1"/>
  <c r="S4244" i="1"/>
  <c r="R4242" i="1"/>
  <c r="S4242" i="1"/>
  <c r="R4240" i="1"/>
  <c r="S4240" i="1"/>
  <c r="R4238" i="1"/>
  <c r="S4238" i="1"/>
  <c r="R4236" i="1"/>
  <c r="S4236" i="1"/>
  <c r="R4234" i="1"/>
  <c r="S4234" i="1"/>
  <c r="R4232" i="1"/>
  <c r="S4232" i="1"/>
  <c r="R4230" i="1"/>
  <c r="S4230" i="1"/>
  <c r="R4228" i="1"/>
  <c r="S4228" i="1"/>
  <c r="R4226" i="1"/>
  <c r="S4226" i="1"/>
  <c r="R4224" i="1"/>
  <c r="S4224" i="1"/>
  <c r="R4222" i="1"/>
  <c r="S4222" i="1"/>
  <c r="R4220" i="1"/>
  <c r="S4220" i="1"/>
  <c r="R4218" i="1"/>
  <c r="S4218" i="1"/>
  <c r="R4216" i="1"/>
  <c r="S4216" i="1"/>
  <c r="R4214" i="1"/>
  <c r="S4214" i="1"/>
  <c r="R4212" i="1"/>
  <c r="S4212" i="1"/>
  <c r="R4210" i="1"/>
  <c r="S4210" i="1"/>
  <c r="R4208" i="1"/>
  <c r="S4208" i="1"/>
  <c r="R4206" i="1"/>
  <c r="S4206" i="1"/>
  <c r="R4204" i="1"/>
  <c r="S4204" i="1"/>
  <c r="R4202" i="1"/>
  <c r="S4202" i="1"/>
  <c r="R4200" i="1"/>
  <c r="S4200" i="1"/>
  <c r="R4198" i="1"/>
  <c r="S4198" i="1"/>
  <c r="R4196" i="1"/>
  <c r="S4196" i="1"/>
  <c r="R4194" i="1"/>
  <c r="S4194" i="1"/>
  <c r="R4192" i="1"/>
  <c r="S4192" i="1"/>
  <c r="R4190" i="1"/>
  <c r="S4190" i="1"/>
  <c r="R4188" i="1"/>
  <c r="S4188" i="1"/>
  <c r="R4186" i="1"/>
  <c r="S4186" i="1"/>
  <c r="R4184" i="1"/>
  <c r="S4184" i="1"/>
  <c r="R4182" i="1"/>
  <c r="S4182" i="1"/>
  <c r="R4180" i="1"/>
  <c r="S4180" i="1"/>
  <c r="R4178" i="1"/>
  <c r="S4178" i="1"/>
  <c r="R4176" i="1"/>
  <c r="S4176" i="1"/>
  <c r="R4174" i="1"/>
  <c r="S4174" i="1"/>
  <c r="R4172" i="1"/>
  <c r="S4172" i="1"/>
  <c r="R4170" i="1"/>
  <c r="S4170" i="1"/>
  <c r="R4168" i="1"/>
  <c r="S4168" i="1"/>
  <c r="R4166" i="1"/>
  <c r="S4166" i="1"/>
  <c r="R4164" i="1"/>
  <c r="S4164" i="1"/>
  <c r="R4162" i="1"/>
  <c r="S4162" i="1"/>
  <c r="R4160" i="1"/>
  <c r="S4160" i="1"/>
  <c r="R4158" i="1"/>
  <c r="S4158" i="1"/>
  <c r="R4156" i="1"/>
  <c r="S4156" i="1"/>
  <c r="R4154" i="1"/>
  <c r="S4154" i="1"/>
  <c r="R4152" i="1"/>
  <c r="S4152" i="1"/>
  <c r="R4150" i="1"/>
  <c r="S4150" i="1"/>
  <c r="R4148" i="1"/>
  <c r="S4148" i="1"/>
  <c r="R4146" i="1"/>
  <c r="S4146" i="1"/>
  <c r="R4144" i="1"/>
  <c r="S4144" i="1"/>
  <c r="R4142" i="1"/>
  <c r="S4142" i="1"/>
  <c r="R4140" i="1"/>
  <c r="S4140" i="1"/>
  <c r="R4138" i="1"/>
  <c r="S4138" i="1"/>
  <c r="R4136" i="1"/>
  <c r="S4136" i="1"/>
  <c r="R4134" i="1"/>
  <c r="S4134" i="1"/>
  <c r="R4132" i="1"/>
  <c r="S4132" i="1"/>
  <c r="R4130" i="1"/>
  <c r="S4130" i="1"/>
  <c r="R4128" i="1"/>
  <c r="S4128" i="1"/>
  <c r="R4126" i="1"/>
  <c r="S4126" i="1"/>
  <c r="R4124" i="1"/>
  <c r="S4124" i="1"/>
  <c r="R4122" i="1"/>
  <c r="S4122" i="1"/>
  <c r="R4120" i="1"/>
  <c r="S4120" i="1"/>
  <c r="R4118" i="1"/>
  <c r="S4118" i="1"/>
  <c r="R4116" i="1"/>
  <c r="S4116" i="1"/>
  <c r="R4114" i="1"/>
  <c r="S4114" i="1"/>
  <c r="R4112" i="1"/>
  <c r="S4112" i="1"/>
  <c r="R4110" i="1"/>
  <c r="S4110" i="1"/>
  <c r="R4108" i="1"/>
  <c r="S4108" i="1"/>
  <c r="R4106" i="1"/>
  <c r="S4106" i="1"/>
  <c r="R4104" i="1"/>
  <c r="S4104" i="1"/>
  <c r="R4102" i="1"/>
  <c r="S4102" i="1"/>
  <c r="R4100" i="1"/>
  <c r="S4100" i="1"/>
  <c r="R4098" i="1"/>
  <c r="S4098" i="1"/>
  <c r="R4096" i="1"/>
  <c r="S4096" i="1"/>
  <c r="R4094" i="1"/>
  <c r="S4094" i="1"/>
  <c r="R4092" i="1"/>
  <c r="S4092" i="1"/>
  <c r="R4090" i="1"/>
  <c r="S4090" i="1"/>
  <c r="R4088" i="1"/>
  <c r="S4088" i="1"/>
  <c r="R4086" i="1"/>
  <c r="S4086" i="1"/>
  <c r="R4084" i="1"/>
  <c r="S4084" i="1"/>
  <c r="R4082" i="1"/>
  <c r="S4082" i="1"/>
  <c r="R4080" i="1"/>
  <c r="S4080" i="1"/>
  <c r="R4078" i="1"/>
  <c r="S4078" i="1"/>
  <c r="R4076" i="1"/>
  <c r="S4076" i="1"/>
  <c r="R4074" i="1"/>
  <c r="S4074" i="1"/>
  <c r="R4072" i="1"/>
  <c r="S4072" i="1"/>
  <c r="R4070" i="1"/>
  <c r="S4070" i="1"/>
  <c r="R4068" i="1"/>
  <c r="S4068" i="1"/>
  <c r="R4066" i="1"/>
  <c r="S4066" i="1"/>
  <c r="R4064" i="1"/>
  <c r="S4064" i="1"/>
  <c r="R4062" i="1"/>
  <c r="S4062" i="1"/>
  <c r="R4060" i="1"/>
  <c r="S4060" i="1"/>
  <c r="R4058" i="1"/>
  <c r="S4058" i="1"/>
  <c r="R4056" i="1"/>
  <c r="S4056" i="1"/>
  <c r="R4054" i="1"/>
  <c r="S4054" i="1"/>
  <c r="R4052" i="1"/>
  <c r="S4052" i="1"/>
  <c r="R4050" i="1"/>
  <c r="S4050" i="1"/>
  <c r="R4048" i="1"/>
  <c r="S4048" i="1"/>
  <c r="R4046" i="1"/>
  <c r="S4046" i="1"/>
  <c r="R4044" i="1"/>
  <c r="S4044" i="1"/>
  <c r="R4042" i="1"/>
  <c r="S4042" i="1"/>
  <c r="R4040" i="1"/>
  <c r="S4040" i="1"/>
  <c r="R4038" i="1"/>
  <c r="S4038" i="1"/>
  <c r="R4036" i="1"/>
  <c r="S4036" i="1"/>
  <c r="R4034" i="1"/>
  <c r="S4034" i="1"/>
  <c r="R4032" i="1"/>
  <c r="S4032" i="1"/>
  <c r="R4030" i="1"/>
  <c r="S4030" i="1"/>
  <c r="R4028" i="1"/>
  <c r="S4028" i="1"/>
  <c r="R4026" i="1"/>
  <c r="S4026" i="1"/>
  <c r="R4024" i="1"/>
  <c r="S4024" i="1"/>
  <c r="R4022" i="1"/>
  <c r="S4022" i="1"/>
  <c r="R4020" i="1"/>
  <c r="S4020" i="1"/>
  <c r="R4018" i="1"/>
  <c r="S4018" i="1"/>
  <c r="R4016" i="1"/>
  <c r="S4016" i="1"/>
  <c r="R4014" i="1"/>
  <c r="S4014" i="1"/>
  <c r="R4012" i="1"/>
  <c r="S4012" i="1"/>
  <c r="R4010" i="1"/>
  <c r="S4010" i="1"/>
  <c r="R4006" i="1"/>
  <c r="S4006" i="1"/>
  <c r="R4004" i="1"/>
  <c r="S4004" i="1"/>
  <c r="R4002" i="1"/>
  <c r="S4002" i="1"/>
  <c r="R3998" i="1"/>
  <c r="S3998" i="1"/>
  <c r="R3996" i="1"/>
  <c r="S3996" i="1"/>
  <c r="R3994" i="1"/>
  <c r="S3994" i="1"/>
  <c r="R3990" i="1"/>
  <c r="S3990" i="1"/>
  <c r="R3988" i="1"/>
  <c r="S3988" i="1"/>
  <c r="R3986" i="1"/>
  <c r="S3986" i="1"/>
  <c r="R3982" i="1"/>
  <c r="S3982" i="1"/>
  <c r="R3980" i="1"/>
  <c r="S3980" i="1"/>
  <c r="R3978" i="1"/>
  <c r="S3978" i="1"/>
  <c r="R3974" i="1"/>
  <c r="S3974" i="1"/>
  <c r="R3972" i="1"/>
  <c r="S3972" i="1"/>
  <c r="R3970" i="1"/>
  <c r="S3970" i="1"/>
  <c r="R3966" i="1"/>
  <c r="S3966" i="1"/>
  <c r="R3964" i="1"/>
  <c r="S3964" i="1"/>
  <c r="R3962" i="1"/>
  <c r="S3962" i="1"/>
  <c r="R3958" i="1"/>
  <c r="S3958" i="1"/>
  <c r="R3956" i="1"/>
  <c r="S3956" i="1"/>
  <c r="R3954" i="1"/>
  <c r="S3954" i="1"/>
  <c r="R3950" i="1"/>
  <c r="S3950" i="1"/>
  <c r="R3948" i="1"/>
  <c r="S3948" i="1"/>
  <c r="R3946" i="1"/>
  <c r="S3946" i="1"/>
  <c r="R3942" i="1"/>
  <c r="S3942" i="1"/>
  <c r="R3940" i="1"/>
  <c r="S3940" i="1"/>
  <c r="R3938" i="1"/>
  <c r="S3938" i="1"/>
  <c r="R3934" i="1"/>
  <c r="S3934" i="1"/>
  <c r="R3932" i="1"/>
  <c r="S3932" i="1"/>
  <c r="R3930" i="1"/>
  <c r="S3930" i="1"/>
  <c r="R3926" i="1"/>
  <c r="S3926" i="1"/>
  <c r="R3924" i="1"/>
  <c r="S3924" i="1"/>
  <c r="R3922" i="1"/>
  <c r="S3922" i="1"/>
  <c r="R3918" i="1"/>
  <c r="S3918" i="1"/>
  <c r="R3916" i="1"/>
  <c r="S3916" i="1"/>
  <c r="R3914" i="1"/>
  <c r="S3914" i="1"/>
  <c r="R3910" i="1"/>
  <c r="S3910" i="1"/>
  <c r="R3908" i="1"/>
  <c r="S3908" i="1"/>
  <c r="R3906" i="1"/>
  <c r="S3906" i="1"/>
  <c r="R3902" i="1"/>
  <c r="S3902" i="1"/>
  <c r="R3900" i="1"/>
  <c r="S3900" i="1"/>
  <c r="R3898" i="1"/>
  <c r="S3898" i="1"/>
  <c r="R3894" i="1"/>
  <c r="S3894" i="1"/>
  <c r="R3892" i="1"/>
  <c r="S3892" i="1"/>
  <c r="R3890" i="1"/>
  <c r="S3890" i="1"/>
  <c r="R3886" i="1"/>
  <c r="S3886" i="1"/>
  <c r="R3884" i="1"/>
  <c r="S3884" i="1"/>
  <c r="R3882" i="1"/>
  <c r="S3882" i="1"/>
  <c r="R3878" i="1"/>
  <c r="S3878" i="1"/>
  <c r="R3876" i="1"/>
  <c r="S3876" i="1"/>
  <c r="R3874" i="1"/>
  <c r="S3874" i="1"/>
  <c r="R3870" i="1"/>
  <c r="S3870" i="1"/>
  <c r="R3868" i="1"/>
  <c r="S3868" i="1"/>
  <c r="R3866" i="1"/>
  <c r="S3866" i="1"/>
  <c r="R3862" i="1"/>
  <c r="S3862" i="1"/>
  <c r="R3860" i="1"/>
  <c r="S3860" i="1"/>
  <c r="R3858" i="1"/>
  <c r="S3858" i="1"/>
  <c r="R3854" i="1"/>
  <c r="S3854" i="1"/>
  <c r="R3852" i="1"/>
  <c r="S3852" i="1"/>
  <c r="R3850" i="1"/>
  <c r="S3850" i="1"/>
  <c r="R3846" i="1"/>
  <c r="S3846" i="1"/>
  <c r="R3844" i="1"/>
  <c r="S3844" i="1"/>
  <c r="R3842" i="1"/>
  <c r="S3842" i="1"/>
  <c r="R3838" i="1"/>
  <c r="S3838" i="1"/>
  <c r="R3836" i="1"/>
  <c r="S3836" i="1"/>
  <c r="R3834" i="1"/>
  <c r="S3834" i="1"/>
  <c r="R3830" i="1"/>
  <c r="S3830" i="1"/>
  <c r="R3828" i="1"/>
  <c r="S3828" i="1"/>
  <c r="R3826" i="1"/>
  <c r="S3826" i="1"/>
  <c r="R3822" i="1"/>
  <c r="S3822" i="1"/>
  <c r="R3820" i="1"/>
  <c r="S3820" i="1"/>
  <c r="R3818" i="1"/>
  <c r="S3818" i="1"/>
  <c r="R3814" i="1"/>
  <c r="S3814" i="1"/>
  <c r="R3812" i="1"/>
  <c r="S3812" i="1"/>
  <c r="R3810" i="1"/>
  <c r="S3810" i="1"/>
  <c r="R3806" i="1"/>
  <c r="S3806" i="1"/>
  <c r="R3804" i="1"/>
  <c r="S3804" i="1"/>
  <c r="R3802" i="1"/>
  <c r="S3802" i="1"/>
  <c r="R3798" i="1"/>
  <c r="S3798" i="1"/>
  <c r="R3796" i="1"/>
  <c r="S3796" i="1"/>
  <c r="R3794" i="1"/>
  <c r="S3794" i="1"/>
  <c r="R3790" i="1"/>
  <c r="S3790" i="1"/>
  <c r="R3788" i="1"/>
  <c r="S3788" i="1"/>
  <c r="R3786" i="1"/>
  <c r="S3786" i="1"/>
  <c r="R3782" i="1"/>
  <c r="S3782" i="1"/>
  <c r="R3780" i="1"/>
  <c r="S3780" i="1"/>
  <c r="R3778" i="1"/>
  <c r="S3778" i="1"/>
  <c r="R3774" i="1"/>
  <c r="S3774" i="1"/>
  <c r="R3772" i="1"/>
  <c r="S3772" i="1"/>
  <c r="R3770" i="1"/>
  <c r="S3770" i="1"/>
  <c r="R3766" i="1"/>
  <c r="S3766" i="1"/>
  <c r="R3764" i="1"/>
  <c r="S3764" i="1"/>
  <c r="R3762" i="1"/>
  <c r="S3762" i="1"/>
  <c r="R3758" i="1"/>
  <c r="S3758" i="1"/>
  <c r="R3756" i="1"/>
  <c r="S3756" i="1"/>
  <c r="R3754" i="1"/>
  <c r="S3754" i="1"/>
  <c r="R3750" i="1"/>
  <c r="S3750" i="1"/>
  <c r="R3748" i="1"/>
  <c r="S3748" i="1"/>
  <c r="R3746" i="1"/>
  <c r="S3746" i="1"/>
  <c r="R3742" i="1"/>
  <c r="S3742" i="1"/>
  <c r="R3740" i="1"/>
  <c r="S3740" i="1"/>
  <c r="R3738" i="1"/>
  <c r="S3738" i="1"/>
  <c r="R3734" i="1"/>
  <c r="S3734" i="1"/>
  <c r="R3732" i="1"/>
  <c r="S3732" i="1"/>
  <c r="R3730" i="1"/>
  <c r="S3730" i="1"/>
  <c r="R3726" i="1"/>
  <c r="S3726" i="1"/>
  <c r="R3724" i="1"/>
  <c r="S3724" i="1"/>
  <c r="R3722" i="1"/>
  <c r="S3722" i="1"/>
  <c r="R3718" i="1"/>
  <c r="S3718" i="1"/>
  <c r="R3716" i="1"/>
  <c r="S3716" i="1"/>
  <c r="R3714" i="1"/>
  <c r="S3714" i="1"/>
  <c r="R3710" i="1"/>
  <c r="S3710" i="1"/>
  <c r="R3708" i="1"/>
  <c r="S3708" i="1"/>
  <c r="R3706" i="1"/>
  <c r="S3706" i="1"/>
  <c r="R3702" i="1"/>
  <c r="S3702" i="1"/>
  <c r="R3700" i="1"/>
  <c r="S3700" i="1"/>
  <c r="R3698" i="1"/>
  <c r="S3698" i="1"/>
  <c r="R3694" i="1"/>
  <c r="S3694" i="1"/>
  <c r="R3692" i="1"/>
  <c r="S3692" i="1"/>
  <c r="R3690" i="1"/>
  <c r="S3690" i="1"/>
  <c r="R3686" i="1"/>
  <c r="S3686" i="1"/>
  <c r="R3684" i="1"/>
  <c r="S3684" i="1"/>
  <c r="R3682" i="1"/>
  <c r="S3682" i="1"/>
  <c r="R3678" i="1"/>
  <c r="S3678" i="1"/>
  <c r="R3676" i="1"/>
  <c r="S3676" i="1"/>
  <c r="R3674" i="1"/>
  <c r="S3674" i="1"/>
  <c r="R3670" i="1"/>
  <c r="S3670" i="1"/>
  <c r="R3668" i="1"/>
  <c r="S3668" i="1"/>
  <c r="R3666" i="1"/>
  <c r="S3666" i="1"/>
  <c r="R3662" i="1"/>
  <c r="S3662" i="1"/>
  <c r="R3660" i="1"/>
  <c r="S3660" i="1"/>
  <c r="R3658" i="1"/>
  <c r="S3658" i="1"/>
  <c r="R3654" i="1"/>
  <c r="S3654" i="1"/>
  <c r="R3652" i="1"/>
  <c r="S3652" i="1"/>
  <c r="R3650" i="1"/>
  <c r="S3650" i="1"/>
  <c r="R3646" i="1"/>
  <c r="S3646" i="1"/>
  <c r="R3644" i="1"/>
  <c r="S3644" i="1"/>
  <c r="R3642" i="1"/>
  <c r="S3642" i="1"/>
  <c r="R3638" i="1"/>
  <c r="S3638" i="1"/>
  <c r="R3636" i="1"/>
  <c r="S3636" i="1"/>
  <c r="R3634" i="1"/>
  <c r="S3634" i="1"/>
  <c r="R3630" i="1"/>
  <c r="S3630" i="1"/>
  <c r="R3628" i="1"/>
  <c r="S3628" i="1"/>
  <c r="R3626" i="1"/>
  <c r="S3626" i="1"/>
  <c r="R3622" i="1"/>
  <c r="S3622" i="1"/>
  <c r="R3620" i="1"/>
  <c r="S3620" i="1"/>
  <c r="R3618" i="1"/>
  <c r="S3618" i="1"/>
  <c r="R3614" i="1"/>
  <c r="S3614" i="1"/>
  <c r="R3612" i="1"/>
  <c r="S3612" i="1"/>
  <c r="R3610" i="1"/>
  <c r="S3610" i="1"/>
  <c r="R3606" i="1"/>
  <c r="S3606" i="1"/>
  <c r="R3604" i="1"/>
  <c r="S3604" i="1"/>
  <c r="R3602" i="1"/>
  <c r="S3602" i="1"/>
  <c r="R3598" i="1"/>
  <c r="S3598" i="1"/>
  <c r="R3596" i="1"/>
  <c r="S3596" i="1"/>
  <c r="R3594" i="1"/>
  <c r="S3594" i="1"/>
  <c r="R3590" i="1"/>
  <c r="S3590" i="1"/>
  <c r="R3588" i="1"/>
  <c r="S3588" i="1"/>
  <c r="R3586" i="1"/>
  <c r="S3586" i="1"/>
  <c r="R3582" i="1"/>
  <c r="S3582" i="1"/>
  <c r="R3580" i="1"/>
  <c r="S3580" i="1"/>
  <c r="R3578" i="1"/>
  <c r="S3578" i="1"/>
  <c r="R3574" i="1"/>
  <c r="S3574" i="1"/>
  <c r="R3572" i="1"/>
  <c r="S3572" i="1"/>
  <c r="R3570" i="1"/>
  <c r="S3570" i="1"/>
  <c r="R3566" i="1"/>
  <c r="S3566" i="1"/>
  <c r="R3564" i="1"/>
  <c r="S3564" i="1"/>
  <c r="R3562" i="1"/>
  <c r="S3562" i="1"/>
  <c r="R3558" i="1"/>
  <c r="S3558" i="1"/>
  <c r="R3556" i="1"/>
  <c r="S3556" i="1"/>
  <c r="R3554" i="1"/>
  <c r="S3554" i="1"/>
  <c r="R3550" i="1"/>
  <c r="S3550" i="1"/>
  <c r="R3548" i="1"/>
  <c r="S3548" i="1"/>
  <c r="R3546" i="1"/>
  <c r="S3546" i="1"/>
  <c r="R3542" i="1"/>
  <c r="S3542" i="1"/>
  <c r="R3540" i="1"/>
  <c r="S3540" i="1"/>
  <c r="R3538" i="1"/>
  <c r="S3538" i="1"/>
  <c r="R3534" i="1"/>
  <c r="S3534" i="1"/>
  <c r="R3532" i="1"/>
  <c r="S3532" i="1"/>
  <c r="R3530" i="1"/>
  <c r="S3530" i="1"/>
  <c r="R3526" i="1"/>
  <c r="S3526" i="1"/>
  <c r="R3524" i="1"/>
  <c r="S3524" i="1"/>
  <c r="R3522" i="1"/>
  <c r="S3522" i="1"/>
  <c r="R3518" i="1"/>
  <c r="S3518" i="1"/>
  <c r="R3516" i="1"/>
  <c r="S3516" i="1"/>
  <c r="R3514" i="1"/>
  <c r="S3514" i="1"/>
  <c r="R3510" i="1"/>
  <c r="S3510" i="1"/>
  <c r="R3508" i="1"/>
  <c r="S3508" i="1"/>
  <c r="R3506" i="1"/>
  <c r="S3506" i="1"/>
  <c r="R3502" i="1"/>
  <c r="S3502" i="1"/>
  <c r="R3500" i="1"/>
  <c r="S3500" i="1"/>
  <c r="R3498" i="1"/>
  <c r="S3498" i="1"/>
  <c r="R3494" i="1"/>
  <c r="S3494" i="1"/>
  <c r="R3492" i="1"/>
  <c r="S3492" i="1"/>
  <c r="R3490" i="1"/>
  <c r="S3490" i="1"/>
  <c r="R3486" i="1"/>
  <c r="S3486" i="1"/>
  <c r="R3484" i="1"/>
  <c r="S3484" i="1"/>
  <c r="R3482" i="1"/>
  <c r="S3482" i="1"/>
  <c r="R3478" i="1"/>
  <c r="S3478" i="1"/>
  <c r="R3476" i="1"/>
  <c r="S3476" i="1"/>
  <c r="R3474" i="1"/>
  <c r="S3474" i="1"/>
  <c r="R3470" i="1"/>
  <c r="S3470" i="1"/>
  <c r="R3468" i="1"/>
  <c r="S3468" i="1"/>
  <c r="R3466" i="1"/>
  <c r="S3466" i="1"/>
  <c r="R3462" i="1"/>
  <c r="S3462" i="1"/>
  <c r="R3460" i="1"/>
  <c r="S3460" i="1"/>
  <c r="R3458" i="1"/>
  <c r="S3458" i="1"/>
  <c r="R3454" i="1"/>
  <c r="S3454" i="1"/>
  <c r="R3452" i="1"/>
  <c r="S3452" i="1"/>
  <c r="R3450" i="1"/>
  <c r="S3450" i="1"/>
  <c r="R3446" i="1"/>
  <c r="S3446" i="1"/>
  <c r="R3444" i="1"/>
  <c r="S3444" i="1"/>
  <c r="R3442" i="1"/>
  <c r="S3442" i="1"/>
  <c r="R3438" i="1"/>
  <c r="S3438" i="1"/>
  <c r="R3436" i="1"/>
  <c r="S3436" i="1"/>
  <c r="R3434" i="1"/>
  <c r="S3434" i="1"/>
  <c r="R3430" i="1"/>
  <c r="S3430" i="1"/>
  <c r="R3428" i="1"/>
  <c r="S3428" i="1"/>
  <c r="R3426" i="1"/>
  <c r="S3426" i="1"/>
  <c r="R3422" i="1"/>
  <c r="S3422" i="1"/>
  <c r="R3420" i="1"/>
  <c r="S3420" i="1"/>
  <c r="R3418" i="1"/>
  <c r="S3418" i="1"/>
  <c r="R3414" i="1"/>
  <c r="S3414" i="1"/>
  <c r="R3412" i="1"/>
  <c r="S3412" i="1"/>
  <c r="R3410" i="1"/>
  <c r="S3410" i="1"/>
  <c r="R3406" i="1"/>
  <c r="S3406" i="1"/>
  <c r="R3404" i="1"/>
  <c r="S3404" i="1"/>
  <c r="R3402" i="1"/>
  <c r="S3402" i="1"/>
  <c r="R3398" i="1"/>
  <c r="S3398" i="1"/>
  <c r="R3396" i="1"/>
  <c r="S3396" i="1"/>
  <c r="R3394" i="1"/>
  <c r="S3394" i="1"/>
  <c r="R3390" i="1"/>
  <c r="S3390" i="1"/>
  <c r="R3388" i="1"/>
  <c r="S3388" i="1"/>
  <c r="R3386" i="1"/>
  <c r="S3386" i="1"/>
  <c r="R3382" i="1"/>
  <c r="S3382" i="1"/>
  <c r="R3380" i="1"/>
  <c r="S3380" i="1"/>
  <c r="R3378" i="1"/>
  <c r="S3378" i="1"/>
  <c r="R3374" i="1"/>
  <c r="S3374" i="1"/>
  <c r="R3372" i="1"/>
  <c r="S3372" i="1"/>
  <c r="R3370" i="1"/>
  <c r="S3370" i="1"/>
  <c r="R3366" i="1"/>
  <c r="S3366" i="1"/>
  <c r="R3364" i="1"/>
  <c r="S3364" i="1"/>
  <c r="R3362" i="1"/>
  <c r="S3362" i="1"/>
  <c r="R3358" i="1"/>
  <c r="S3358" i="1"/>
  <c r="R3356" i="1"/>
  <c r="S3356" i="1"/>
  <c r="R3354" i="1"/>
  <c r="S3354" i="1"/>
  <c r="R3350" i="1"/>
  <c r="S3350" i="1"/>
  <c r="R3348" i="1"/>
  <c r="S3348" i="1"/>
  <c r="R3346" i="1"/>
  <c r="S3346" i="1"/>
  <c r="R3342" i="1"/>
  <c r="S3342" i="1"/>
  <c r="R3340" i="1"/>
  <c r="S3340" i="1"/>
  <c r="R3338" i="1"/>
  <c r="S3338" i="1"/>
  <c r="R3334" i="1"/>
  <c r="S3334" i="1"/>
  <c r="R3332" i="1"/>
  <c r="S3332" i="1"/>
  <c r="R3330" i="1"/>
  <c r="S3330" i="1"/>
  <c r="R3326" i="1"/>
  <c r="S3326" i="1"/>
  <c r="R3324" i="1"/>
  <c r="S3324" i="1"/>
  <c r="R3322" i="1"/>
  <c r="S3322" i="1"/>
  <c r="R3318" i="1"/>
  <c r="S3318" i="1"/>
  <c r="R3316" i="1"/>
  <c r="S3316" i="1"/>
  <c r="R3314" i="1"/>
  <c r="S3314" i="1"/>
  <c r="R3310" i="1"/>
  <c r="S3310" i="1"/>
  <c r="R3308" i="1"/>
  <c r="S3308" i="1"/>
  <c r="R3306" i="1"/>
  <c r="S3306" i="1"/>
  <c r="R3302" i="1"/>
  <c r="S3302" i="1"/>
  <c r="R3300" i="1"/>
  <c r="S3300" i="1"/>
  <c r="R3298" i="1"/>
  <c r="S3298" i="1"/>
  <c r="R3294" i="1"/>
  <c r="S3294" i="1"/>
  <c r="R3292" i="1"/>
  <c r="S3292" i="1"/>
  <c r="R3290" i="1"/>
  <c r="S3290" i="1"/>
  <c r="R3286" i="1"/>
  <c r="S3286" i="1"/>
  <c r="R3284" i="1"/>
  <c r="S3284" i="1"/>
  <c r="R3282" i="1"/>
  <c r="S3282" i="1"/>
  <c r="R3278" i="1"/>
  <c r="S3278" i="1"/>
  <c r="R3276" i="1"/>
  <c r="S3276" i="1"/>
  <c r="R3274" i="1"/>
  <c r="S3274" i="1"/>
  <c r="R3270" i="1"/>
  <c r="S3270" i="1"/>
  <c r="R3268" i="1"/>
  <c r="S3268" i="1"/>
  <c r="R3266" i="1"/>
  <c r="S3266" i="1"/>
  <c r="R3262" i="1"/>
  <c r="S3262" i="1"/>
  <c r="R3260" i="1"/>
  <c r="S3260" i="1"/>
  <c r="R3258" i="1"/>
  <c r="S3258" i="1"/>
  <c r="R3254" i="1"/>
  <c r="S3254" i="1"/>
  <c r="R3252" i="1"/>
  <c r="S3252" i="1"/>
  <c r="R3250" i="1"/>
  <c r="S3250" i="1"/>
  <c r="R3246" i="1"/>
  <c r="S3246" i="1"/>
  <c r="R3244" i="1"/>
  <c r="S3244" i="1"/>
  <c r="R3242" i="1"/>
  <c r="S3242" i="1"/>
  <c r="R3238" i="1"/>
  <c r="S3238" i="1"/>
  <c r="R3236" i="1"/>
  <c r="S3236" i="1"/>
  <c r="R3234" i="1"/>
  <c r="S3234" i="1"/>
  <c r="R3230" i="1"/>
  <c r="S3230" i="1"/>
  <c r="R3228" i="1"/>
  <c r="S3228" i="1"/>
  <c r="R3226" i="1"/>
  <c r="S3226" i="1"/>
  <c r="R3222" i="1"/>
  <c r="S3222" i="1"/>
  <c r="R3220" i="1"/>
  <c r="S3220" i="1"/>
  <c r="R3218" i="1"/>
  <c r="S3218" i="1"/>
  <c r="R3214" i="1"/>
  <c r="S3214" i="1"/>
  <c r="R3212" i="1"/>
  <c r="S3212" i="1"/>
  <c r="R3210" i="1"/>
  <c r="S3210" i="1"/>
  <c r="R3206" i="1"/>
  <c r="S3206" i="1"/>
  <c r="R3204" i="1"/>
  <c r="S3204" i="1"/>
  <c r="R3202" i="1"/>
  <c r="S3202" i="1"/>
  <c r="R3198" i="1"/>
  <c r="S3198" i="1"/>
  <c r="R3196" i="1"/>
  <c r="S3196" i="1"/>
  <c r="R3194" i="1"/>
  <c r="S3194" i="1"/>
  <c r="R3190" i="1"/>
  <c r="S3190" i="1"/>
  <c r="R3188" i="1"/>
  <c r="S3188" i="1"/>
  <c r="R3186" i="1"/>
  <c r="S3186" i="1"/>
  <c r="R3182" i="1"/>
  <c r="S3182" i="1"/>
  <c r="R3180" i="1"/>
  <c r="S3180" i="1"/>
  <c r="R3178" i="1"/>
  <c r="S3178" i="1"/>
  <c r="R3174" i="1"/>
  <c r="S3174" i="1"/>
  <c r="R3172" i="1"/>
  <c r="S3172" i="1"/>
  <c r="R3170" i="1"/>
  <c r="S3170" i="1"/>
  <c r="R3166" i="1"/>
  <c r="S3166" i="1"/>
  <c r="R3164" i="1"/>
  <c r="S3164" i="1"/>
  <c r="R3162" i="1"/>
  <c r="S3162" i="1"/>
  <c r="R3158" i="1"/>
  <c r="S3158" i="1"/>
  <c r="R3156" i="1"/>
  <c r="S3156" i="1"/>
  <c r="R3154" i="1"/>
  <c r="S3154" i="1"/>
  <c r="R3150" i="1"/>
  <c r="S3150" i="1"/>
  <c r="R3148" i="1"/>
  <c r="S3148" i="1"/>
  <c r="R3146" i="1"/>
  <c r="S3146" i="1"/>
  <c r="R3142" i="1"/>
  <c r="S3142" i="1"/>
  <c r="R3140" i="1"/>
  <c r="S3140" i="1"/>
  <c r="R3138" i="1"/>
  <c r="S3138" i="1"/>
  <c r="R3134" i="1"/>
  <c r="S3134" i="1"/>
  <c r="R3132" i="1"/>
  <c r="S3132" i="1"/>
  <c r="R3130" i="1"/>
  <c r="S3130" i="1"/>
  <c r="R3126" i="1"/>
  <c r="S3126" i="1"/>
  <c r="R3124" i="1"/>
  <c r="S3124" i="1"/>
  <c r="R3122" i="1"/>
  <c r="S3122" i="1"/>
  <c r="R3118" i="1"/>
  <c r="S3118" i="1"/>
  <c r="R3116" i="1"/>
  <c r="S3116" i="1"/>
  <c r="R3114" i="1"/>
  <c r="S3114" i="1"/>
  <c r="R3110" i="1"/>
  <c r="S3110" i="1"/>
  <c r="R3108" i="1"/>
  <c r="S3108" i="1"/>
  <c r="R3106" i="1"/>
  <c r="S3106" i="1"/>
  <c r="R3102" i="1"/>
  <c r="S3102" i="1"/>
  <c r="R3100" i="1"/>
  <c r="S3100" i="1"/>
  <c r="R3098" i="1"/>
  <c r="S3098" i="1"/>
  <c r="R3094" i="1"/>
  <c r="S3094" i="1"/>
  <c r="R3092" i="1"/>
  <c r="S3092" i="1"/>
  <c r="R3090" i="1"/>
  <c r="S3090" i="1"/>
  <c r="R3086" i="1"/>
  <c r="S3086" i="1"/>
  <c r="R3084" i="1"/>
  <c r="S3084" i="1"/>
  <c r="R3082" i="1"/>
  <c r="S3082" i="1"/>
  <c r="R3078" i="1"/>
  <c r="S3078" i="1"/>
  <c r="R3076" i="1"/>
  <c r="S3076" i="1"/>
  <c r="R3074" i="1"/>
  <c r="S3074" i="1"/>
  <c r="R3070" i="1"/>
  <c r="S3070" i="1"/>
  <c r="R3068" i="1"/>
  <c r="S3068" i="1"/>
  <c r="R3066" i="1"/>
  <c r="S3066" i="1"/>
  <c r="R3062" i="1"/>
  <c r="S3062" i="1"/>
  <c r="R3060" i="1"/>
  <c r="S3060" i="1"/>
  <c r="R3058" i="1"/>
  <c r="S3058" i="1"/>
  <c r="R3054" i="1"/>
  <c r="S3054" i="1"/>
  <c r="R3052" i="1"/>
  <c r="S3052" i="1"/>
  <c r="R3050" i="1"/>
  <c r="S3050" i="1"/>
  <c r="R3046" i="1"/>
  <c r="S3046" i="1"/>
  <c r="R3044" i="1"/>
  <c r="S3044" i="1"/>
  <c r="R3042" i="1"/>
  <c r="S3042" i="1"/>
  <c r="R3038" i="1"/>
  <c r="S3038" i="1"/>
  <c r="R3036" i="1"/>
  <c r="S3036" i="1"/>
  <c r="R3034" i="1"/>
  <c r="S3034" i="1"/>
  <c r="R3030" i="1"/>
  <c r="S3030" i="1"/>
  <c r="R3028" i="1"/>
  <c r="S3028" i="1"/>
  <c r="R3026" i="1"/>
  <c r="S3026" i="1"/>
  <c r="R3022" i="1"/>
  <c r="S3022" i="1"/>
  <c r="R3020" i="1"/>
  <c r="S3020" i="1"/>
  <c r="R3018" i="1"/>
  <c r="S3018" i="1"/>
  <c r="R3014" i="1"/>
  <c r="S3014" i="1"/>
  <c r="R3012" i="1"/>
  <c r="S3012" i="1"/>
  <c r="R3010" i="1"/>
  <c r="S3010" i="1"/>
  <c r="R3006" i="1"/>
  <c r="S3006" i="1"/>
  <c r="R3004" i="1"/>
  <c r="S3004" i="1"/>
  <c r="R3002" i="1"/>
  <c r="S3002" i="1"/>
  <c r="R2998" i="1"/>
  <c r="S2998" i="1"/>
  <c r="R2996" i="1"/>
  <c r="S2996" i="1"/>
  <c r="R2994" i="1"/>
  <c r="S2994" i="1"/>
  <c r="R2990" i="1"/>
  <c r="S2990" i="1"/>
  <c r="R2988" i="1"/>
  <c r="S2988" i="1"/>
  <c r="R2986" i="1"/>
  <c r="S2986" i="1"/>
  <c r="R2982" i="1"/>
  <c r="S2982" i="1"/>
  <c r="R2980" i="1"/>
  <c r="S2980" i="1"/>
  <c r="R2978" i="1"/>
  <c r="S2978" i="1"/>
  <c r="R2974" i="1"/>
  <c r="S2974" i="1"/>
  <c r="R2972" i="1"/>
  <c r="S2972" i="1"/>
  <c r="R2970" i="1"/>
  <c r="S2970" i="1"/>
  <c r="R2966" i="1"/>
  <c r="S2966" i="1"/>
  <c r="R2964" i="1"/>
  <c r="S2964" i="1"/>
  <c r="R2962" i="1"/>
  <c r="S2962" i="1"/>
  <c r="R2958" i="1"/>
  <c r="S2958" i="1"/>
  <c r="R2956" i="1"/>
  <c r="S2956" i="1"/>
  <c r="R2954" i="1"/>
  <c r="S2954" i="1"/>
  <c r="R2950" i="1"/>
  <c r="S2950" i="1"/>
  <c r="R2948" i="1"/>
  <c r="S2948" i="1"/>
  <c r="R2946" i="1"/>
  <c r="S2946" i="1"/>
  <c r="R2942" i="1"/>
  <c r="S2942" i="1"/>
  <c r="R2940" i="1"/>
  <c r="S2940" i="1"/>
  <c r="R2938" i="1"/>
  <c r="S2938" i="1"/>
  <c r="R2934" i="1"/>
  <c r="S2934" i="1"/>
  <c r="R2932" i="1"/>
  <c r="S2932" i="1"/>
  <c r="R2930" i="1"/>
  <c r="S2930" i="1"/>
  <c r="R2926" i="1"/>
  <c r="S2926" i="1"/>
  <c r="R2924" i="1"/>
  <c r="S2924" i="1"/>
  <c r="R2922" i="1"/>
  <c r="S2922" i="1"/>
  <c r="R2918" i="1"/>
  <c r="S2918" i="1"/>
  <c r="R2916" i="1"/>
  <c r="S2916" i="1"/>
  <c r="R2914" i="1"/>
  <c r="S2914" i="1"/>
  <c r="R2910" i="1"/>
  <c r="S2910" i="1"/>
  <c r="R2908" i="1"/>
  <c r="S2908" i="1"/>
  <c r="R2906" i="1"/>
  <c r="S2906" i="1"/>
  <c r="R2902" i="1"/>
  <c r="S2902" i="1"/>
  <c r="R2900" i="1"/>
  <c r="S2900" i="1"/>
  <c r="R2898" i="1"/>
  <c r="S2898" i="1"/>
  <c r="R2894" i="1"/>
  <c r="S2894" i="1"/>
  <c r="R2892" i="1"/>
  <c r="S2892" i="1"/>
  <c r="R2890" i="1"/>
  <c r="S2890" i="1"/>
  <c r="R2886" i="1"/>
  <c r="S2886" i="1"/>
  <c r="R2884" i="1"/>
  <c r="S2884" i="1"/>
  <c r="R2882" i="1"/>
  <c r="S2882" i="1"/>
  <c r="R2878" i="1"/>
  <c r="S2878" i="1"/>
  <c r="R2876" i="1"/>
  <c r="S2876" i="1"/>
  <c r="R2874" i="1"/>
  <c r="S2874" i="1"/>
  <c r="R2870" i="1"/>
  <c r="S2870" i="1"/>
  <c r="R2868" i="1"/>
  <c r="S2868" i="1"/>
  <c r="R2866" i="1"/>
  <c r="S2866" i="1"/>
  <c r="R2862" i="1"/>
  <c r="S2862" i="1"/>
  <c r="R2860" i="1"/>
  <c r="S2860" i="1"/>
  <c r="R2858" i="1"/>
  <c r="S2858" i="1"/>
  <c r="R2854" i="1"/>
  <c r="S2854" i="1"/>
  <c r="R2852" i="1"/>
  <c r="S2852" i="1"/>
  <c r="R2850" i="1"/>
  <c r="S2850" i="1"/>
  <c r="R2846" i="1"/>
  <c r="S2846" i="1"/>
  <c r="R2844" i="1"/>
  <c r="S2844" i="1"/>
  <c r="R2842" i="1"/>
  <c r="S2842" i="1"/>
  <c r="R2838" i="1"/>
  <c r="S2838" i="1"/>
  <c r="R2836" i="1"/>
  <c r="S2836" i="1"/>
  <c r="R2834" i="1"/>
  <c r="S2834" i="1"/>
  <c r="R2830" i="1"/>
  <c r="S2830" i="1"/>
  <c r="R2828" i="1"/>
  <c r="S2828" i="1"/>
  <c r="R2826" i="1"/>
  <c r="S2826" i="1"/>
  <c r="R2822" i="1"/>
  <c r="S2822" i="1"/>
  <c r="R2820" i="1"/>
  <c r="S2820" i="1"/>
  <c r="R2818" i="1"/>
  <c r="S2818" i="1"/>
  <c r="R2814" i="1"/>
  <c r="S2814" i="1"/>
  <c r="R2812" i="1"/>
  <c r="S2812" i="1"/>
  <c r="R2810" i="1"/>
  <c r="S2810" i="1"/>
  <c r="R2806" i="1"/>
  <c r="S2806" i="1"/>
  <c r="R2804" i="1"/>
  <c r="S2804" i="1"/>
  <c r="R2802" i="1"/>
  <c r="S2802" i="1"/>
  <c r="R2798" i="1"/>
  <c r="S2798" i="1"/>
  <c r="R2796" i="1"/>
  <c r="S2796" i="1"/>
  <c r="R2794" i="1"/>
  <c r="S2794" i="1"/>
  <c r="R2790" i="1"/>
  <c r="S2790" i="1"/>
  <c r="R2788" i="1"/>
  <c r="S2788" i="1"/>
  <c r="R2786" i="1"/>
  <c r="S2786" i="1"/>
  <c r="R2782" i="1"/>
  <c r="S2782" i="1"/>
  <c r="R2780" i="1"/>
  <c r="S2780" i="1"/>
  <c r="R2778" i="1"/>
  <c r="S2778" i="1"/>
  <c r="R2776" i="1"/>
  <c r="S2776" i="1"/>
  <c r="R2774" i="1"/>
  <c r="S2774" i="1"/>
  <c r="R2772" i="1"/>
  <c r="S2772" i="1"/>
  <c r="R2770" i="1"/>
  <c r="S2770" i="1"/>
  <c r="R2768" i="1"/>
  <c r="S2768" i="1"/>
  <c r="R2766" i="1"/>
  <c r="S2766" i="1"/>
  <c r="R2764" i="1"/>
  <c r="S2764" i="1"/>
  <c r="R2762" i="1"/>
  <c r="S2762" i="1"/>
  <c r="R2760" i="1"/>
  <c r="S2760" i="1"/>
  <c r="R2758" i="1"/>
  <c r="S2758" i="1"/>
  <c r="R2756" i="1"/>
  <c r="S2756" i="1"/>
  <c r="R2754" i="1"/>
  <c r="S2754" i="1"/>
  <c r="R2752" i="1"/>
  <c r="S2752" i="1"/>
  <c r="R2750" i="1"/>
  <c r="S2750" i="1"/>
  <c r="R2748" i="1"/>
  <c r="S2748" i="1"/>
  <c r="R2746" i="1"/>
  <c r="S2746" i="1"/>
  <c r="R2744" i="1"/>
  <c r="S2744" i="1"/>
  <c r="R2742" i="1"/>
  <c r="S2742" i="1"/>
  <c r="R2740" i="1"/>
  <c r="S2740" i="1"/>
  <c r="R2738" i="1"/>
  <c r="S2738" i="1"/>
  <c r="R2736" i="1"/>
  <c r="S2736" i="1"/>
  <c r="R2734" i="1"/>
  <c r="S2734" i="1"/>
  <c r="R2732" i="1"/>
  <c r="S2732" i="1"/>
  <c r="R2730" i="1"/>
  <c r="S2730" i="1"/>
  <c r="R2728" i="1"/>
  <c r="S2728" i="1"/>
  <c r="R2726" i="1"/>
  <c r="S2726" i="1"/>
  <c r="R2724" i="1"/>
  <c r="S2724" i="1"/>
  <c r="R2722" i="1"/>
  <c r="S2722" i="1"/>
  <c r="R2720" i="1"/>
  <c r="S2720" i="1"/>
  <c r="R2718" i="1"/>
  <c r="S2718" i="1"/>
  <c r="R2716" i="1"/>
  <c r="S2716" i="1"/>
  <c r="R2714" i="1"/>
  <c r="S2714" i="1"/>
  <c r="R2712" i="1"/>
  <c r="S2712" i="1"/>
  <c r="R2710" i="1"/>
  <c r="S2710" i="1"/>
  <c r="R2708" i="1"/>
  <c r="S2708" i="1"/>
  <c r="R2706" i="1"/>
  <c r="S2706" i="1"/>
  <c r="R2704" i="1"/>
  <c r="S2704" i="1"/>
  <c r="R2702" i="1"/>
  <c r="S2702" i="1"/>
  <c r="R2700" i="1"/>
  <c r="S2700" i="1"/>
  <c r="R2698" i="1"/>
  <c r="S2698" i="1"/>
  <c r="R2696" i="1"/>
  <c r="S2696" i="1"/>
  <c r="R2694" i="1"/>
  <c r="S2694" i="1"/>
  <c r="R2692" i="1"/>
  <c r="S2692" i="1"/>
  <c r="R2690" i="1"/>
  <c r="S2690" i="1"/>
  <c r="R2688" i="1"/>
  <c r="S2688" i="1"/>
  <c r="R2686" i="1"/>
  <c r="S2686" i="1"/>
  <c r="R2684" i="1"/>
  <c r="S2684" i="1"/>
  <c r="R2682" i="1"/>
  <c r="S2682" i="1"/>
  <c r="R2680" i="1"/>
  <c r="S2680" i="1"/>
  <c r="R2678" i="1"/>
  <c r="S2678" i="1"/>
  <c r="R2676" i="1"/>
  <c r="S2676" i="1"/>
  <c r="R2674" i="1"/>
  <c r="S2674" i="1"/>
  <c r="R2672" i="1"/>
  <c r="S2672" i="1"/>
  <c r="R2670" i="1"/>
  <c r="S2670" i="1"/>
  <c r="R2668" i="1"/>
  <c r="S2668" i="1"/>
  <c r="R2666" i="1"/>
  <c r="S2666" i="1"/>
  <c r="R2664" i="1"/>
  <c r="S2664" i="1"/>
  <c r="R2662" i="1"/>
  <c r="S2662" i="1"/>
  <c r="R2660" i="1"/>
  <c r="S2660" i="1"/>
  <c r="R2658" i="1"/>
  <c r="S2658" i="1"/>
  <c r="R2656" i="1"/>
  <c r="S2656" i="1"/>
  <c r="R2654" i="1"/>
  <c r="S2654" i="1"/>
  <c r="R2652" i="1"/>
  <c r="S2652" i="1"/>
  <c r="R2650" i="1"/>
  <c r="S2650" i="1"/>
  <c r="R2648" i="1"/>
  <c r="S2648" i="1"/>
  <c r="R2646" i="1"/>
  <c r="S2646" i="1"/>
  <c r="R2644" i="1"/>
  <c r="S2644" i="1"/>
  <c r="R2642" i="1"/>
  <c r="S2642" i="1"/>
  <c r="R2640" i="1"/>
  <c r="S2640" i="1"/>
  <c r="R2638" i="1"/>
  <c r="S2638" i="1"/>
  <c r="R2636" i="1"/>
  <c r="S2636" i="1"/>
  <c r="R2634" i="1"/>
  <c r="S2634" i="1"/>
  <c r="R2632" i="1"/>
  <c r="S2632" i="1"/>
  <c r="R2630" i="1"/>
  <c r="S2630" i="1"/>
  <c r="R2628" i="1"/>
  <c r="S2628" i="1"/>
  <c r="R2626" i="1"/>
  <c r="S2626" i="1"/>
  <c r="R2624" i="1"/>
  <c r="S2624" i="1"/>
  <c r="R2622" i="1"/>
  <c r="S2622" i="1"/>
  <c r="R2620" i="1"/>
  <c r="S2620" i="1"/>
  <c r="R2618" i="1"/>
  <c r="S2618" i="1"/>
  <c r="R2616" i="1"/>
  <c r="S2616" i="1"/>
  <c r="R2614" i="1"/>
  <c r="S2614" i="1"/>
  <c r="R2612" i="1"/>
  <c r="S2612" i="1"/>
  <c r="R2610" i="1"/>
  <c r="S2610" i="1"/>
  <c r="R2608" i="1"/>
  <c r="S2608" i="1"/>
  <c r="R2606" i="1"/>
  <c r="S2606" i="1"/>
  <c r="R2604" i="1"/>
  <c r="S2604" i="1"/>
  <c r="R2602" i="1"/>
  <c r="S2602" i="1"/>
  <c r="R2600" i="1"/>
  <c r="S2600" i="1"/>
  <c r="R2598" i="1"/>
  <c r="S2598" i="1"/>
  <c r="R2596" i="1"/>
  <c r="S2596" i="1"/>
  <c r="R2594" i="1"/>
  <c r="S2594" i="1"/>
  <c r="R2592" i="1"/>
  <c r="S2592" i="1"/>
  <c r="R2590" i="1"/>
  <c r="S2590" i="1"/>
  <c r="R2588" i="1"/>
  <c r="S2588" i="1"/>
  <c r="R2586" i="1"/>
  <c r="S2586" i="1"/>
  <c r="R2584" i="1"/>
  <c r="S2584" i="1"/>
  <c r="R2582" i="1"/>
  <c r="S2582" i="1"/>
  <c r="R2580" i="1"/>
  <c r="S2580" i="1"/>
  <c r="R2578" i="1"/>
  <c r="S2578" i="1"/>
  <c r="R2576" i="1"/>
  <c r="S2576" i="1"/>
  <c r="R2574" i="1"/>
  <c r="S2574" i="1"/>
  <c r="R2572" i="1"/>
  <c r="S2572" i="1"/>
  <c r="R2570" i="1"/>
  <c r="S2570" i="1"/>
  <c r="R2568" i="1"/>
  <c r="S2568" i="1"/>
  <c r="R2566" i="1"/>
  <c r="S2566" i="1"/>
  <c r="R2564" i="1"/>
  <c r="S2564" i="1"/>
  <c r="R2562" i="1"/>
  <c r="S2562" i="1"/>
  <c r="R2560" i="1"/>
  <c r="S2560" i="1"/>
  <c r="R2558" i="1"/>
  <c r="S2558" i="1"/>
  <c r="R2556" i="1"/>
  <c r="S2556" i="1"/>
  <c r="R2554" i="1"/>
  <c r="S2554" i="1"/>
  <c r="R2552" i="1"/>
  <c r="S2552" i="1"/>
  <c r="R2550" i="1"/>
  <c r="S2550" i="1"/>
  <c r="R2548" i="1"/>
  <c r="S2548" i="1"/>
  <c r="R2546" i="1"/>
  <c r="S2546" i="1"/>
  <c r="R2544" i="1"/>
  <c r="S2544" i="1"/>
  <c r="R2542" i="1"/>
  <c r="S2542" i="1"/>
  <c r="R2540" i="1"/>
  <c r="S2540" i="1"/>
  <c r="R2538" i="1"/>
  <c r="S2538" i="1"/>
  <c r="R2536" i="1"/>
  <c r="S2536" i="1"/>
  <c r="R2534" i="1"/>
  <c r="S2534" i="1"/>
  <c r="R2532" i="1"/>
  <c r="S2532" i="1"/>
  <c r="R2530" i="1"/>
  <c r="S2530" i="1"/>
  <c r="R2528" i="1"/>
  <c r="S2528" i="1"/>
  <c r="R2526" i="1"/>
  <c r="S2526" i="1"/>
  <c r="R2524" i="1"/>
  <c r="S2524" i="1"/>
  <c r="R2522" i="1"/>
  <c r="S2522" i="1"/>
  <c r="R2520" i="1"/>
  <c r="S2520" i="1"/>
  <c r="R2518" i="1"/>
  <c r="S2518" i="1"/>
  <c r="R2516" i="1"/>
  <c r="S2516" i="1"/>
  <c r="R2514" i="1"/>
  <c r="S2514" i="1"/>
  <c r="R2512" i="1"/>
  <c r="S2512" i="1"/>
  <c r="R2510" i="1"/>
  <c r="S2510" i="1"/>
  <c r="R2508" i="1"/>
  <c r="S2508" i="1"/>
  <c r="R2506" i="1"/>
  <c r="S2506" i="1"/>
  <c r="R2504" i="1"/>
  <c r="S2504" i="1"/>
  <c r="R2502" i="1"/>
  <c r="S2502" i="1"/>
  <c r="R2500" i="1"/>
  <c r="S2500" i="1"/>
  <c r="R2498" i="1"/>
  <c r="S2498" i="1"/>
  <c r="R2496" i="1"/>
  <c r="S2496" i="1"/>
  <c r="R2494" i="1"/>
  <c r="S2494" i="1"/>
  <c r="R2492" i="1"/>
  <c r="S2492" i="1"/>
  <c r="R2490" i="1"/>
  <c r="S2490" i="1"/>
  <c r="R2488" i="1"/>
  <c r="S2488" i="1"/>
  <c r="R2486" i="1"/>
  <c r="S2486" i="1"/>
  <c r="R2484" i="1"/>
  <c r="S2484" i="1"/>
  <c r="R2482" i="1"/>
  <c r="S2482" i="1"/>
  <c r="R2480" i="1"/>
  <c r="S2480" i="1"/>
  <c r="R2478" i="1"/>
  <c r="S2478" i="1"/>
  <c r="R2476" i="1"/>
  <c r="S2476" i="1"/>
  <c r="R2474" i="1"/>
  <c r="S2474" i="1"/>
  <c r="R2472" i="1"/>
  <c r="S2472" i="1"/>
  <c r="R2470" i="1"/>
  <c r="S2470" i="1"/>
  <c r="R2468" i="1"/>
  <c r="S2468" i="1"/>
  <c r="R2466" i="1"/>
  <c r="S2466" i="1"/>
  <c r="R2464" i="1"/>
  <c r="S2464" i="1"/>
  <c r="R2462" i="1"/>
  <c r="S2462" i="1"/>
  <c r="R2460" i="1"/>
  <c r="S2460" i="1"/>
  <c r="R2458" i="1"/>
  <c r="S2458" i="1"/>
  <c r="R2456" i="1"/>
  <c r="S2456" i="1"/>
  <c r="R2454" i="1"/>
  <c r="S2454" i="1"/>
  <c r="R2452" i="1"/>
  <c r="S2452" i="1"/>
  <c r="R2450" i="1"/>
  <c r="S2450" i="1"/>
  <c r="R2448" i="1"/>
  <c r="S2448" i="1"/>
  <c r="R2446" i="1"/>
  <c r="S2446" i="1"/>
  <c r="R2444" i="1"/>
  <c r="S2444" i="1"/>
  <c r="R2442" i="1"/>
  <c r="S2442" i="1"/>
  <c r="R2440" i="1"/>
  <c r="S2440" i="1"/>
  <c r="R2438" i="1"/>
  <c r="S2438" i="1"/>
  <c r="R2436" i="1"/>
  <c r="S2436" i="1"/>
  <c r="R2434" i="1"/>
  <c r="S2434" i="1"/>
  <c r="R2432" i="1"/>
  <c r="S2432" i="1"/>
  <c r="R2430" i="1"/>
  <c r="S2430" i="1"/>
  <c r="R2428" i="1"/>
  <c r="S2428" i="1"/>
  <c r="R2426" i="1"/>
  <c r="S2426" i="1"/>
  <c r="R2424" i="1"/>
  <c r="S2424" i="1"/>
  <c r="R2422" i="1"/>
  <c r="S2422" i="1"/>
  <c r="R2420" i="1"/>
  <c r="S2420" i="1"/>
  <c r="R2418" i="1"/>
  <c r="S2418" i="1"/>
  <c r="R2416" i="1"/>
  <c r="S2416" i="1"/>
  <c r="R2414" i="1"/>
  <c r="S2414" i="1"/>
  <c r="R2412" i="1"/>
  <c r="S2412" i="1"/>
  <c r="R2410" i="1"/>
  <c r="S2410" i="1"/>
  <c r="R2408" i="1"/>
  <c r="S2408" i="1"/>
  <c r="R2406" i="1"/>
  <c r="S2406" i="1"/>
  <c r="R2404" i="1"/>
  <c r="S2404" i="1"/>
  <c r="R2402" i="1"/>
  <c r="S2402" i="1"/>
  <c r="R2400" i="1"/>
  <c r="S2400" i="1"/>
  <c r="R2398" i="1"/>
  <c r="S2398" i="1"/>
  <c r="R2396" i="1"/>
  <c r="S2396" i="1"/>
  <c r="R2394" i="1"/>
  <c r="S2394" i="1"/>
  <c r="R2392" i="1"/>
  <c r="S2392" i="1"/>
  <c r="R2390" i="1"/>
  <c r="S2390" i="1"/>
  <c r="R2388" i="1"/>
  <c r="S2388" i="1"/>
  <c r="R2386" i="1"/>
  <c r="S2386" i="1"/>
  <c r="R2384" i="1"/>
  <c r="S2384" i="1"/>
  <c r="R2382" i="1"/>
  <c r="S2382" i="1"/>
  <c r="R2380" i="1"/>
  <c r="S2380" i="1"/>
  <c r="R2378" i="1"/>
  <c r="S2378" i="1"/>
  <c r="R2376" i="1"/>
  <c r="S2376" i="1"/>
  <c r="R2374" i="1"/>
  <c r="S2374" i="1"/>
  <c r="R2372" i="1"/>
  <c r="S2372" i="1"/>
  <c r="R2370" i="1"/>
  <c r="S2370" i="1"/>
  <c r="R2368" i="1"/>
  <c r="S2368" i="1"/>
  <c r="R2366" i="1"/>
  <c r="S2366" i="1"/>
  <c r="R2364" i="1"/>
  <c r="S2364" i="1"/>
  <c r="R2362" i="1"/>
  <c r="S2362" i="1"/>
  <c r="R2360" i="1"/>
  <c r="S2360" i="1"/>
  <c r="R2358" i="1"/>
  <c r="S2358" i="1"/>
  <c r="R2356" i="1"/>
  <c r="S2356" i="1"/>
  <c r="R2354" i="1"/>
  <c r="S2354" i="1"/>
  <c r="R2352" i="1"/>
  <c r="S2352" i="1"/>
  <c r="R2350" i="1"/>
  <c r="S2350" i="1"/>
  <c r="R2348" i="1"/>
  <c r="S2348" i="1"/>
  <c r="R2346" i="1"/>
  <c r="S2346" i="1"/>
  <c r="R2344" i="1"/>
  <c r="S2344" i="1"/>
  <c r="R2342" i="1"/>
  <c r="S2342" i="1"/>
  <c r="R2340" i="1"/>
  <c r="S2340" i="1"/>
  <c r="R2338" i="1"/>
  <c r="S2338" i="1"/>
  <c r="R2336" i="1"/>
  <c r="S2336" i="1"/>
  <c r="R2334" i="1"/>
  <c r="S2334" i="1"/>
  <c r="R2332" i="1"/>
  <c r="S2332" i="1"/>
  <c r="R2330" i="1"/>
  <c r="S2330" i="1"/>
  <c r="R2328" i="1"/>
  <c r="S2328" i="1"/>
  <c r="R2326" i="1"/>
  <c r="S2326" i="1"/>
  <c r="R2324" i="1"/>
  <c r="S2324" i="1"/>
  <c r="R2322" i="1"/>
  <c r="S2322" i="1"/>
  <c r="R2320" i="1"/>
  <c r="S2320" i="1"/>
  <c r="R2318" i="1"/>
  <c r="S2318" i="1"/>
  <c r="R2316" i="1"/>
  <c r="S2316" i="1"/>
  <c r="R2314" i="1"/>
  <c r="S2314" i="1"/>
  <c r="R2312" i="1"/>
  <c r="S2312" i="1"/>
  <c r="R2310" i="1"/>
  <c r="S2310" i="1"/>
  <c r="R2308" i="1"/>
  <c r="S2308" i="1"/>
  <c r="R2306" i="1"/>
  <c r="S2306" i="1"/>
  <c r="R2304" i="1"/>
  <c r="S2304" i="1"/>
  <c r="R2302" i="1"/>
  <c r="S2302" i="1"/>
  <c r="R2300" i="1"/>
  <c r="S2300" i="1"/>
  <c r="R2298" i="1"/>
  <c r="S2298" i="1"/>
  <c r="R2296" i="1"/>
  <c r="S2296" i="1"/>
  <c r="R2294" i="1"/>
  <c r="S2294" i="1"/>
  <c r="R2292" i="1"/>
  <c r="S2292" i="1"/>
  <c r="R2290" i="1"/>
  <c r="S2290" i="1"/>
  <c r="R2288" i="1"/>
  <c r="S2288" i="1"/>
  <c r="R2286" i="1"/>
  <c r="S2286" i="1"/>
  <c r="R2284" i="1"/>
  <c r="S2284" i="1"/>
  <c r="R2282" i="1"/>
  <c r="S2282" i="1"/>
  <c r="R2280" i="1"/>
  <c r="S2280" i="1"/>
  <c r="R2278" i="1"/>
  <c r="S2278" i="1"/>
  <c r="R2276" i="1"/>
  <c r="S2276" i="1"/>
  <c r="R2274" i="1"/>
  <c r="S2274" i="1"/>
  <c r="R2272" i="1"/>
  <c r="S2272" i="1"/>
  <c r="R2270" i="1"/>
  <c r="S2270" i="1"/>
  <c r="R2268" i="1"/>
  <c r="S2268" i="1"/>
  <c r="R2266" i="1"/>
  <c r="S2266" i="1"/>
  <c r="R2264" i="1"/>
  <c r="S2264" i="1"/>
  <c r="R2262" i="1"/>
  <c r="S2262" i="1"/>
  <c r="R2260" i="1"/>
  <c r="S2260" i="1"/>
  <c r="R2258" i="1"/>
  <c r="S2258" i="1"/>
  <c r="R2256" i="1"/>
  <c r="S2256" i="1"/>
  <c r="R2254" i="1"/>
  <c r="S2254" i="1"/>
  <c r="R2252" i="1"/>
  <c r="S2252" i="1"/>
  <c r="R2250" i="1"/>
  <c r="S2250" i="1"/>
  <c r="R2248" i="1"/>
  <c r="S2248" i="1"/>
  <c r="R2246" i="1"/>
  <c r="S2246" i="1"/>
  <c r="R2244" i="1"/>
  <c r="S2244" i="1"/>
  <c r="R2242" i="1"/>
  <c r="S2242" i="1"/>
  <c r="R2240" i="1"/>
  <c r="S2240" i="1"/>
  <c r="R2238" i="1"/>
  <c r="S2238" i="1"/>
  <c r="R2236" i="1"/>
  <c r="S2236" i="1"/>
  <c r="R2234" i="1"/>
  <c r="S2234" i="1"/>
  <c r="R2232" i="1"/>
  <c r="S2232" i="1"/>
  <c r="R2230" i="1"/>
  <c r="S2230" i="1"/>
  <c r="R2228" i="1"/>
  <c r="S2228" i="1"/>
  <c r="R2226" i="1"/>
  <c r="S2226" i="1"/>
  <c r="R2224" i="1"/>
  <c r="S2224" i="1"/>
  <c r="R2222" i="1"/>
  <c r="S2222" i="1"/>
  <c r="R2220" i="1"/>
  <c r="S2220" i="1"/>
  <c r="R2218" i="1"/>
  <c r="S2218" i="1"/>
  <c r="R2216" i="1"/>
  <c r="S2216" i="1"/>
  <c r="R2214" i="1"/>
  <c r="S2214" i="1"/>
  <c r="R2212" i="1"/>
  <c r="S2212" i="1"/>
  <c r="R2210" i="1"/>
  <c r="S2210" i="1"/>
  <c r="R2208" i="1"/>
  <c r="S2208" i="1"/>
  <c r="R2206" i="1"/>
  <c r="S2206" i="1"/>
  <c r="R2204" i="1"/>
  <c r="S2204" i="1"/>
  <c r="R2202" i="1"/>
  <c r="S2202" i="1"/>
  <c r="R2200" i="1"/>
  <c r="S2200" i="1"/>
  <c r="R2198" i="1"/>
  <c r="S2198" i="1"/>
  <c r="R2196" i="1"/>
  <c r="S2196" i="1"/>
  <c r="R2194" i="1"/>
  <c r="S2194" i="1"/>
  <c r="R2192" i="1"/>
  <c r="S2192" i="1"/>
  <c r="R2190" i="1"/>
  <c r="S2190" i="1"/>
  <c r="R2188" i="1"/>
  <c r="S2188" i="1"/>
  <c r="R2186" i="1"/>
  <c r="S2186" i="1"/>
  <c r="R2184" i="1"/>
  <c r="S2184" i="1"/>
  <c r="R2182" i="1"/>
  <c r="S2182" i="1"/>
  <c r="R2180" i="1"/>
  <c r="S2180" i="1"/>
  <c r="R2178" i="1"/>
  <c r="S2178" i="1"/>
  <c r="R2176" i="1"/>
  <c r="S2176" i="1"/>
  <c r="R2174" i="1"/>
  <c r="S2174" i="1"/>
  <c r="R2172" i="1"/>
  <c r="S2172" i="1"/>
  <c r="R2170" i="1"/>
  <c r="S2170" i="1"/>
  <c r="R2168" i="1"/>
  <c r="S2168" i="1"/>
  <c r="R2166" i="1"/>
  <c r="S2166" i="1"/>
  <c r="R2164" i="1"/>
  <c r="S2164" i="1"/>
  <c r="R2162" i="1"/>
  <c r="S2162" i="1"/>
  <c r="R2160" i="1"/>
  <c r="S2160" i="1"/>
  <c r="R2158" i="1"/>
  <c r="S2158" i="1"/>
  <c r="R2156" i="1"/>
  <c r="S2156" i="1"/>
  <c r="R2154" i="1"/>
  <c r="S2154" i="1"/>
  <c r="R2152" i="1"/>
  <c r="S2152" i="1"/>
  <c r="R2150" i="1"/>
  <c r="S2150" i="1"/>
  <c r="R2148" i="1"/>
  <c r="S2148" i="1"/>
  <c r="R2146" i="1"/>
  <c r="S2146" i="1"/>
  <c r="R2144" i="1"/>
  <c r="S2144" i="1"/>
  <c r="R2142" i="1"/>
  <c r="S2142" i="1"/>
  <c r="R2140" i="1"/>
  <c r="S2140" i="1"/>
  <c r="R2138" i="1"/>
  <c r="S2138" i="1"/>
  <c r="R2136" i="1"/>
  <c r="S2136" i="1"/>
  <c r="R2134" i="1"/>
  <c r="S2134" i="1"/>
  <c r="R2132" i="1"/>
  <c r="S2132" i="1"/>
  <c r="R2130" i="1"/>
  <c r="S2130" i="1"/>
  <c r="R2128" i="1"/>
  <c r="S2128" i="1"/>
  <c r="R2126" i="1"/>
  <c r="S2126" i="1"/>
  <c r="R2124" i="1"/>
  <c r="S2124" i="1"/>
  <c r="R2122" i="1"/>
  <c r="S2122" i="1"/>
  <c r="R2120" i="1"/>
  <c r="S2120" i="1"/>
  <c r="R2118" i="1"/>
  <c r="S2118" i="1"/>
  <c r="R2116" i="1"/>
  <c r="S2116" i="1"/>
  <c r="R2114" i="1"/>
  <c r="S2114" i="1"/>
  <c r="R2112" i="1"/>
  <c r="S2112" i="1"/>
  <c r="R2110" i="1"/>
  <c r="S2110" i="1"/>
  <c r="R2108" i="1"/>
  <c r="S2108" i="1"/>
  <c r="R2106" i="1"/>
  <c r="S2106" i="1"/>
  <c r="R2104" i="1"/>
  <c r="S2104" i="1"/>
  <c r="R2102" i="1"/>
  <c r="S2102" i="1"/>
  <c r="R2100" i="1"/>
  <c r="S2100" i="1"/>
  <c r="R2098" i="1"/>
  <c r="S2098" i="1"/>
  <c r="R2096" i="1"/>
  <c r="S2096" i="1"/>
  <c r="R2094" i="1"/>
  <c r="S2094" i="1"/>
  <c r="R2092" i="1"/>
  <c r="S2092" i="1"/>
  <c r="R2090" i="1"/>
  <c r="S2090" i="1"/>
  <c r="R2088" i="1"/>
  <c r="S2088" i="1"/>
  <c r="R2086" i="1"/>
  <c r="S2086" i="1"/>
  <c r="R2084" i="1"/>
  <c r="S2084" i="1"/>
  <c r="R2082" i="1"/>
  <c r="S2082" i="1"/>
  <c r="R2080" i="1"/>
  <c r="S2080" i="1"/>
  <c r="R2078" i="1"/>
  <c r="S2078" i="1"/>
  <c r="R2076" i="1"/>
  <c r="S2076" i="1"/>
  <c r="R2074" i="1"/>
  <c r="S2074" i="1"/>
  <c r="R2072" i="1"/>
  <c r="S2072" i="1"/>
  <c r="R2070" i="1"/>
  <c r="S2070" i="1"/>
  <c r="R2068" i="1"/>
  <c r="S2068" i="1"/>
  <c r="R2066" i="1"/>
  <c r="S2066" i="1"/>
  <c r="R2064" i="1"/>
  <c r="S2064" i="1"/>
  <c r="R2062" i="1"/>
  <c r="S2062" i="1"/>
  <c r="R2060" i="1"/>
  <c r="S2060" i="1"/>
  <c r="R2058" i="1"/>
  <c r="S2058" i="1"/>
  <c r="R2056" i="1"/>
  <c r="S2056" i="1"/>
  <c r="R2054" i="1"/>
  <c r="S2054" i="1"/>
  <c r="R2052" i="1"/>
  <c r="S2052" i="1"/>
  <c r="R2050" i="1"/>
  <c r="S2050" i="1"/>
  <c r="R2048" i="1"/>
  <c r="S2048" i="1"/>
  <c r="R2046" i="1"/>
  <c r="S2046" i="1"/>
  <c r="R2044" i="1"/>
  <c r="S2044" i="1"/>
  <c r="R2042" i="1"/>
  <c r="S2042" i="1"/>
  <c r="R2040" i="1"/>
  <c r="S2040" i="1"/>
  <c r="R2038" i="1"/>
  <c r="S2038" i="1"/>
  <c r="R2036" i="1"/>
  <c r="S2036" i="1"/>
  <c r="R2034" i="1"/>
  <c r="S2034" i="1"/>
  <c r="R2032" i="1"/>
  <c r="S2032" i="1"/>
  <c r="R2030" i="1"/>
  <c r="S2030" i="1"/>
  <c r="R2028" i="1"/>
  <c r="S2028" i="1"/>
  <c r="R2026" i="1"/>
  <c r="S2026" i="1"/>
  <c r="R2024" i="1"/>
  <c r="S2024" i="1"/>
  <c r="R2022" i="1"/>
  <c r="S2022" i="1"/>
  <c r="R2020" i="1"/>
  <c r="S2020" i="1"/>
  <c r="R2018" i="1"/>
  <c r="S2018" i="1"/>
  <c r="R2016" i="1"/>
  <c r="S2016" i="1"/>
  <c r="R2014" i="1"/>
  <c r="S2014" i="1"/>
  <c r="R2012" i="1"/>
  <c r="S2012" i="1"/>
  <c r="R2010" i="1"/>
  <c r="S2010" i="1"/>
  <c r="R2008" i="1"/>
  <c r="S2008" i="1"/>
  <c r="R2006" i="1"/>
  <c r="S2006" i="1"/>
  <c r="R2004" i="1"/>
  <c r="S2004" i="1"/>
  <c r="R2002" i="1"/>
  <c r="S2002" i="1"/>
  <c r="R2000" i="1"/>
  <c r="S2000" i="1"/>
  <c r="R1998" i="1"/>
  <c r="S1998" i="1"/>
  <c r="R1996" i="1"/>
  <c r="S1996" i="1"/>
  <c r="R1994" i="1"/>
  <c r="S1994" i="1"/>
  <c r="R1992" i="1"/>
  <c r="S1992" i="1"/>
  <c r="R1990" i="1"/>
  <c r="S1990" i="1"/>
  <c r="R1988" i="1"/>
  <c r="S1988" i="1"/>
  <c r="R1986" i="1"/>
  <c r="S1986" i="1"/>
  <c r="R1984" i="1"/>
  <c r="S1984" i="1"/>
  <c r="R1982" i="1"/>
  <c r="S1982" i="1"/>
  <c r="R1980" i="1"/>
  <c r="S1980" i="1"/>
  <c r="R1978" i="1"/>
  <c r="S1978" i="1"/>
  <c r="R1976" i="1"/>
  <c r="S1976" i="1"/>
  <c r="R1974" i="1"/>
  <c r="S1974" i="1"/>
  <c r="R1972" i="1"/>
  <c r="S1972" i="1"/>
  <c r="R1970" i="1"/>
  <c r="S1970" i="1"/>
  <c r="R1968" i="1"/>
  <c r="S1968" i="1"/>
  <c r="R1966" i="1"/>
  <c r="S1966" i="1"/>
  <c r="R1964" i="1"/>
  <c r="S1964" i="1"/>
  <c r="R1962" i="1"/>
  <c r="S1962" i="1"/>
  <c r="R1960" i="1"/>
  <c r="S1960" i="1"/>
  <c r="R1958" i="1"/>
  <c r="S1958" i="1"/>
  <c r="R1956" i="1"/>
  <c r="S1956" i="1"/>
  <c r="R1954" i="1"/>
  <c r="S1954" i="1"/>
  <c r="R1952" i="1"/>
  <c r="S1952" i="1"/>
  <c r="R1950" i="1"/>
  <c r="S1950" i="1"/>
  <c r="R1948" i="1"/>
  <c r="S1948" i="1"/>
  <c r="R1946" i="1"/>
  <c r="S1946" i="1"/>
  <c r="R1944" i="1"/>
  <c r="S1944" i="1"/>
  <c r="R1942" i="1"/>
  <c r="S1942" i="1"/>
  <c r="R1940" i="1"/>
  <c r="S1940" i="1"/>
  <c r="R1938" i="1"/>
  <c r="S1938" i="1"/>
  <c r="R1936" i="1"/>
  <c r="S1936" i="1"/>
  <c r="R1934" i="1"/>
  <c r="S1934" i="1"/>
  <c r="R1932" i="1"/>
  <c r="S1932" i="1"/>
  <c r="R1930" i="1"/>
  <c r="S1930" i="1"/>
  <c r="R1928" i="1"/>
  <c r="S1928" i="1"/>
  <c r="R1926" i="1"/>
  <c r="S1926" i="1"/>
  <c r="R1924" i="1"/>
  <c r="S1924" i="1"/>
  <c r="R1922" i="1"/>
  <c r="S1922" i="1"/>
  <c r="R1920" i="1"/>
  <c r="S1920" i="1"/>
  <c r="R1918" i="1"/>
  <c r="S1918" i="1"/>
  <c r="R1916" i="1"/>
  <c r="S1916" i="1"/>
  <c r="R1914" i="1"/>
  <c r="S1914" i="1"/>
  <c r="R1912" i="1"/>
  <c r="S1912" i="1"/>
  <c r="R1910" i="1"/>
  <c r="S1910" i="1"/>
  <c r="R1908" i="1"/>
  <c r="S1908" i="1"/>
  <c r="R1906" i="1"/>
  <c r="S1906" i="1"/>
  <c r="R1904" i="1"/>
  <c r="S1904" i="1"/>
  <c r="R1902" i="1"/>
  <c r="S1902" i="1"/>
  <c r="R1900" i="1"/>
  <c r="S1900" i="1"/>
  <c r="R1898" i="1"/>
  <c r="S1898" i="1"/>
  <c r="R1896" i="1"/>
  <c r="S1896" i="1"/>
  <c r="R1894" i="1"/>
  <c r="S1894" i="1"/>
  <c r="R1892" i="1"/>
  <c r="S1892" i="1"/>
  <c r="R1890" i="1"/>
  <c r="S1890" i="1"/>
  <c r="R1888" i="1"/>
  <c r="S1888" i="1"/>
  <c r="R1886" i="1"/>
  <c r="S1886" i="1"/>
  <c r="R1884" i="1"/>
  <c r="S1884" i="1"/>
  <c r="R1882" i="1"/>
  <c r="S1882" i="1"/>
  <c r="R1880" i="1"/>
  <c r="S1880" i="1"/>
  <c r="R1878" i="1"/>
  <c r="S1878" i="1"/>
  <c r="R1876" i="1"/>
  <c r="S1876" i="1"/>
  <c r="R1874" i="1"/>
  <c r="S1874" i="1"/>
  <c r="R1872" i="1"/>
  <c r="S1872" i="1"/>
  <c r="R1870" i="1"/>
  <c r="S1870" i="1"/>
  <c r="R1868" i="1"/>
  <c r="S1868" i="1"/>
  <c r="R1866" i="1"/>
  <c r="S1866" i="1"/>
  <c r="R1864" i="1"/>
  <c r="S1864" i="1"/>
  <c r="R1862" i="1"/>
  <c r="S1862" i="1"/>
  <c r="R1860" i="1"/>
  <c r="S1860" i="1"/>
  <c r="R1858" i="1"/>
  <c r="S1858" i="1"/>
  <c r="R1856" i="1"/>
  <c r="S1856" i="1"/>
  <c r="R1854" i="1"/>
  <c r="S1854" i="1"/>
  <c r="R1852" i="1"/>
  <c r="S1852" i="1"/>
  <c r="R1850" i="1"/>
  <c r="S1850" i="1"/>
  <c r="R1848" i="1"/>
  <c r="S1848" i="1"/>
  <c r="R1846" i="1"/>
  <c r="S1846" i="1"/>
  <c r="R1844" i="1"/>
  <c r="S1844" i="1"/>
  <c r="R1842" i="1"/>
  <c r="S1842" i="1"/>
  <c r="R1840" i="1"/>
  <c r="S1840" i="1"/>
  <c r="R1838" i="1"/>
  <c r="S1838" i="1"/>
  <c r="R1836" i="1"/>
  <c r="S1836" i="1"/>
  <c r="R1834" i="1"/>
  <c r="S1834" i="1"/>
  <c r="R1832" i="1"/>
  <c r="S1832" i="1"/>
  <c r="R1830" i="1"/>
  <c r="S1830" i="1"/>
  <c r="R1828" i="1"/>
  <c r="S1828" i="1"/>
  <c r="R1826" i="1"/>
  <c r="S1826" i="1"/>
  <c r="R1824" i="1"/>
  <c r="S1824" i="1"/>
  <c r="R1822" i="1"/>
  <c r="S1822" i="1"/>
  <c r="R1820" i="1"/>
  <c r="S1820" i="1"/>
  <c r="R1818" i="1"/>
  <c r="S1818" i="1"/>
  <c r="R1816" i="1"/>
  <c r="S1816" i="1"/>
  <c r="R1814" i="1"/>
  <c r="S1814" i="1"/>
  <c r="R1812" i="1"/>
  <c r="S1812" i="1"/>
  <c r="R1810" i="1"/>
  <c r="S1810" i="1"/>
  <c r="R1808" i="1"/>
  <c r="S1808" i="1"/>
  <c r="R1806" i="1"/>
  <c r="S1806" i="1"/>
  <c r="R1804" i="1"/>
  <c r="S1804" i="1"/>
  <c r="R1802" i="1"/>
  <c r="S1802" i="1"/>
  <c r="R1800" i="1"/>
  <c r="S1800" i="1"/>
  <c r="R1798" i="1"/>
  <c r="S1798" i="1"/>
  <c r="R1796" i="1"/>
  <c r="S1796" i="1"/>
  <c r="R1794" i="1"/>
  <c r="S1794" i="1"/>
  <c r="R1792" i="1"/>
  <c r="S1792" i="1"/>
  <c r="R1790" i="1"/>
  <c r="S1790" i="1"/>
  <c r="R1788" i="1"/>
  <c r="S1788" i="1"/>
  <c r="R1786" i="1"/>
  <c r="S1786" i="1"/>
  <c r="R1784" i="1"/>
  <c r="S1784" i="1"/>
  <c r="R1782" i="1"/>
  <c r="S1782" i="1"/>
  <c r="R1780" i="1"/>
  <c r="S1780" i="1"/>
  <c r="R1778" i="1"/>
  <c r="S1778" i="1"/>
  <c r="R1776" i="1"/>
  <c r="S1776" i="1"/>
  <c r="R1774" i="1"/>
  <c r="S1774" i="1"/>
  <c r="R1772" i="1"/>
  <c r="S1772" i="1"/>
  <c r="R1770" i="1"/>
  <c r="S1770" i="1"/>
  <c r="R1768" i="1"/>
  <c r="S1768" i="1"/>
  <c r="R1766" i="1"/>
  <c r="S1766" i="1"/>
  <c r="R1764" i="1"/>
  <c r="S1764" i="1"/>
  <c r="R1762" i="1"/>
  <c r="S1762" i="1"/>
  <c r="R1760" i="1"/>
  <c r="S1760" i="1"/>
  <c r="R1758" i="1"/>
  <c r="S1758" i="1"/>
  <c r="R1756" i="1"/>
  <c r="S1756" i="1"/>
  <c r="R1754" i="1"/>
  <c r="S1754" i="1"/>
  <c r="R1752" i="1"/>
  <c r="S1752" i="1"/>
  <c r="R1750" i="1"/>
  <c r="S1750" i="1"/>
  <c r="R1748" i="1"/>
  <c r="S1748" i="1"/>
  <c r="R1746" i="1"/>
  <c r="S1746" i="1"/>
  <c r="R1744" i="1"/>
  <c r="S1744" i="1"/>
  <c r="R1742" i="1"/>
  <c r="S1742" i="1"/>
  <c r="R1740" i="1"/>
  <c r="S1740" i="1"/>
  <c r="R1738" i="1"/>
  <c r="S1738" i="1"/>
  <c r="R1736" i="1"/>
  <c r="S1736" i="1"/>
  <c r="R1734" i="1"/>
  <c r="S1734" i="1"/>
  <c r="R1732" i="1"/>
  <c r="S1732" i="1"/>
  <c r="R1730" i="1"/>
  <c r="S1730" i="1"/>
  <c r="R1728" i="1"/>
  <c r="S1728" i="1"/>
  <c r="R1726" i="1"/>
  <c r="S1726" i="1"/>
  <c r="R1724" i="1"/>
  <c r="S1724" i="1"/>
  <c r="R1722" i="1"/>
  <c r="S1722" i="1"/>
  <c r="R1720" i="1"/>
  <c r="S1720" i="1"/>
  <c r="R1718" i="1"/>
  <c r="S1718" i="1"/>
  <c r="R1716" i="1"/>
  <c r="S1716" i="1"/>
  <c r="R1714" i="1"/>
  <c r="S1714" i="1"/>
  <c r="R1712" i="1"/>
  <c r="S1712" i="1"/>
  <c r="R1710" i="1"/>
  <c r="S1710" i="1"/>
  <c r="R1708" i="1"/>
  <c r="S1708" i="1"/>
  <c r="R1706" i="1"/>
  <c r="S1706" i="1"/>
  <c r="R1704" i="1"/>
  <c r="S1704" i="1"/>
  <c r="R1702" i="1"/>
  <c r="S1702" i="1"/>
  <c r="R1700" i="1"/>
  <c r="S1700" i="1"/>
  <c r="R1698" i="1"/>
  <c r="S1698" i="1"/>
  <c r="R1696" i="1"/>
  <c r="S1696" i="1"/>
  <c r="R1694" i="1"/>
  <c r="S1694" i="1"/>
  <c r="R1692" i="1"/>
  <c r="S1692" i="1"/>
  <c r="R1690" i="1"/>
  <c r="S1690" i="1"/>
  <c r="R1688" i="1"/>
  <c r="S1688" i="1"/>
  <c r="R1686" i="1"/>
  <c r="S1686" i="1"/>
  <c r="R1684" i="1"/>
  <c r="S1684" i="1"/>
  <c r="R1682" i="1"/>
  <c r="S1682" i="1"/>
  <c r="R1680" i="1"/>
  <c r="S1680" i="1"/>
  <c r="R1678" i="1"/>
  <c r="S1678" i="1"/>
  <c r="R1676" i="1"/>
  <c r="S1676" i="1"/>
  <c r="R1674" i="1"/>
  <c r="S1674" i="1"/>
  <c r="R1672" i="1"/>
  <c r="S1672" i="1"/>
  <c r="R1670" i="1"/>
  <c r="S1670" i="1"/>
  <c r="R1668" i="1"/>
  <c r="S1668" i="1"/>
  <c r="R1666" i="1"/>
  <c r="S1666" i="1"/>
  <c r="R1664" i="1"/>
  <c r="S1664" i="1"/>
  <c r="R1662" i="1"/>
  <c r="S1662" i="1"/>
  <c r="R1660" i="1"/>
  <c r="S1660" i="1"/>
  <c r="R1658" i="1"/>
  <c r="S1658" i="1"/>
  <c r="R1656" i="1"/>
  <c r="S1656" i="1"/>
  <c r="R1654" i="1"/>
  <c r="S1654" i="1"/>
  <c r="R1652" i="1"/>
  <c r="S1652" i="1"/>
  <c r="R1650" i="1"/>
  <c r="S1650" i="1"/>
  <c r="R1648" i="1"/>
  <c r="S1648" i="1"/>
  <c r="R1646" i="1"/>
  <c r="S1646" i="1"/>
  <c r="R1644" i="1"/>
  <c r="S1644" i="1"/>
  <c r="R1642" i="1"/>
  <c r="S1642" i="1"/>
  <c r="R1640" i="1"/>
  <c r="S1640" i="1"/>
  <c r="R1638" i="1"/>
  <c r="S1638" i="1"/>
  <c r="R1636" i="1"/>
  <c r="S1636" i="1"/>
  <c r="R1634" i="1"/>
  <c r="S1634" i="1"/>
  <c r="R1632" i="1"/>
  <c r="S1632" i="1"/>
  <c r="R1630" i="1"/>
  <c r="S1630" i="1"/>
  <c r="R1628" i="1"/>
  <c r="S1628" i="1"/>
  <c r="R1626" i="1"/>
  <c r="S1626" i="1"/>
  <c r="R1624" i="1"/>
  <c r="S1624" i="1"/>
  <c r="R1622" i="1"/>
  <c r="S1622" i="1"/>
  <c r="R1620" i="1"/>
  <c r="S1620" i="1"/>
  <c r="R1618" i="1"/>
  <c r="S1618" i="1"/>
  <c r="R1616" i="1"/>
  <c r="S1616" i="1"/>
  <c r="R1614" i="1"/>
  <c r="S1614" i="1"/>
  <c r="R1612" i="1"/>
  <c r="S1612" i="1"/>
  <c r="R1610" i="1"/>
  <c r="S1610" i="1"/>
  <c r="R1608" i="1"/>
  <c r="S1608" i="1"/>
  <c r="R1606" i="1"/>
  <c r="S1606" i="1"/>
  <c r="R1604" i="1"/>
  <c r="S1604" i="1"/>
  <c r="R1602" i="1"/>
  <c r="S1602" i="1"/>
  <c r="R1600" i="1"/>
  <c r="S1600" i="1"/>
  <c r="R1598" i="1"/>
  <c r="S1598" i="1"/>
  <c r="R1596" i="1"/>
  <c r="S1596" i="1"/>
  <c r="R1594" i="1"/>
  <c r="S1594" i="1"/>
  <c r="R1592" i="1"/>
  <c r="S1592" i="1"/>
  <c r="R1590" i="1"/>
  <c r="S1590" i="1"/>
  <c r="R1588" i="1"/>
  <c r="S1588" i="1"/>
  <c r="R1586" i="1"/>
  <c r="S1586" i="1"/>
  <c r="R1584" i="1"/>
  <c r="S1584" i="1"/>
  <c r="R1582" i="1"/>
  <c r="S1582" i="1"/>
  <c r="R1580" i="1"/>
  <c r="S1580" i="1"/>
  <c r="R1578" i="1"/>
  <c r="S1578" i="1"/>
  <c r="R1576" i="1"/>
  <c r="S1576" i="1"/>
  <c r="R1574" i="1"/>
  <c r="S1574" i="1"/>
  <c r="R1572" i="1"/>
  <c r="S1572" i="1"/>
  <c r="R1570" i="1"/>
  <c r="S1570" i="1"/>
  <c r="R1568" i="1"/>
  <c r="S1568" i="1"/>
  <c r="R1566" i="1"/>
  <c r="S1566" i="1"/>
  <c r="R1564" i="1"/>
  <c r="S1564" i="1"/>
  <c r="R1562" i="1"/>
  <c r="S1562" i="1"/>
  <c r="R1560" i="1"/>
  <c r="S1560" i="1"/>
  <c r="R1558" i="1"/>
  <c r="S1558" i="1"/>
  <c r="R1556" i="1"/>
  <c r="S1556" i="1"/>
  <c r="R1554" i="1"/>
  <c r="S1554" i="1"/>
  <c r="R1552" i="1"/>
  <c r="S1552" i="1"/>
  <c r="R1550" i="1"/>
  <c r="S1550" i="1"/>
  <c r="R1548" i="1"/>
  <c r="S1548" i="1"/>
  <c r="R1546" i="1"/>
  <c r="S1546" i="1"/>
  <c r="R1544" i="1"/>
  <c r="S1544" i="1"/>
  <c r="R1542" i="1"/>
  <c r="S1542" i="1"/>
  <c r="R1540" i="1"/>
  <c r="S1540" i="1"/>
  <c r="R1538" i="1"/>
  <c r="S1538" i="1"/>
  <c r="R1536" i="1"/>
  <c r="S1536" i="1"/>
  <c r="R1534" i="1"/>
  <c r="S1534" i="1"/>
  <c r="R1532" i="1"/>
  <c r="S1532" i="1"/>
  <c r="R1530" i="1"/>
  <c r="S1530" i="1"/>
  <c r="R1528" i="1"/>
  <c r="S1528" i="1"/>
  <c r="R1526" i="1"/>
  <c r="S1526" i="1"/>
  <c r="R1524" i="1"/>
  <c r="S1524" i="1"/>
  <c r="R1522" i="1"/>
  <c r="S1522" i="1"/>
  <c r="R1520" i="1"/>
  <c r="S1520" i="1"/>
  <c r="R1518" i="1"/>
  <c r="S1518" i="1"/>
  <c r="R1516" i="1"/>
  <c r="S1516" i="1"/>
  <c r="R1514" i="1"/>
  <c r="S1514" i="1"/>
  <c r="R1512" i="1"/>
  <c r="S1512" i="1"/>
  <c r="R1510" i="1"/>
  <c r="S1510" i="1"/>
  <c r="R1508" i="1"/>
  <c r="S1508" i="1"/>
  <c r="R1506" i="1"/>
  <c r="S1506" i="1"/>
  <c r="R1504" i="1"/>
  <c r="S1504" i="1"/>
  <c r="R1502" i="1"/>
  <c r="S1502" i="1"/>
  <c r="R1500" i="1"/>
  <c r="S1500" i="1"/>
  <c r="R1498" i="1"/>
  <c r="S1498" i="1"/>
  <c r="R1496" i="1"/>
  <c r="S1496" i="1"/>
  <c r="R1494" i="1"/>
  <c r="S1494" i="1"/>
  <c r="R1492" i="1"/>
  <c r="S1492" i="1"/>
  <c r="R1490" i="1"/>
  <c r="S1490" i="1"/>
  <c r="R1488" i="1"/>
  <c r="S1488" i="1"/>
  <c r="R1486" i="1"/>
  <c r="S1486" i="1"/>
  <c r="R1484" i="1"/>
  <c r="S1484" i="1"/>
  <c r="R1482" i="1"/>
  <c r="S1482" i="1"/>
  <c r="R1480" i="1"/>
  <c r="S1480" i="1"/>
  <c r="R1478" i="1"/>
  <c r="S1478" i="1"/>
  <c r="R1476" i="1"/>
  <c r="S1476" i="1"/>
  <c r="R1474" i="1"/>
  <c r="S1474" i="1"/>
  <c r="R1472" i="1"/>
  <c r="S1472" i="1"/>
  <c r="R1470" i="1"/>
  <c r="S1470" i="1"/>
  <c r="R1468" i="1"/>
  <c r="S1468" i="1"/>
  <c r="R1466" i="1"/>
  <c r="S1466" i="1"/>
  <c r="R1464" i="1"/>
  <c r="S1464" i="1"/>
  <c r="R1462" i="1"/>
  <c r="S1462" i="1"/>
  <c r="R1460" i="1"/>
  <c r="S1460" i="1"/>
  <c r="R1458" i="1"/>
  <c r="S1458" i="1"/>
  <c r="R1456" i="1"/>
  <c r="S1456" i="1"/>
  <c r="R1454" i="1"/>
  <c r="S1454" i="1"/>
  <c r="R1452" i="1"/>
  <c r="S1452" i="1"/>
  <c r="R1450" i="1"/>
  <c r="S1450" i="1"/>
  <c r="R1448" i="1"/>
  <c r="S1448" i="1"/>
  <c r="R1446" i="1"/>
  <c r="S1446" i="1"/>
  <c r="R1444" i="1"/>
  <c r="S1444" i="1"/>
  <c r="R1442" i="1"/>
  <c r="S1442" i="1"/>
  <c r="R1440" i="1"/>
  <c r="S1440" i="1"/>
  <c r="R1438" i="1"/>
  <c r="S1438" i="1"/>
  <c r="R1436" i="1"/>
  <c r="S1436" i="1"/>
  <c r="R1434" i="1"/>
  <c r="S1434" i="1"/>
  <c r="R1432" i="1"/>
  <c r="S1432" i="1"/>
  <c r="R1430" i="1"/>
  <c r="S1430" i="1"/>
  <c r="R1428" i="1"/>
  <c r="S1428" i="1"/>
  <c r="R1426" i="1"/>
  <c r="S1426" i="1"/>
  <c r="R1424" i="1"/>
  <c r="S1424" i="1"/>
  <c r="R1422" i="1"/>
  <c r="S1422" i="1"/>
  <c r="R1420" i="1"/>
  <c r="S1420" i="1"/>
  <c r="R1418" i="1"/>
  <c r="S1418" i="1"/>
  <c r="R1416" i="1"/>
  <c r="S1416" i="1"/>
  <c r="R1414" i="1"/>
  <c r="S1414" i="1"/>
  <c r="R1412" i="1"/>
  <c r="S1412" i="1"/>
  <c r="R1410" i="1"/>
  <c r="S1410" i="1"/>
  <c r="R1408" i="1"/>
  <c r="S1408" i="1"/>
  <c r="R1406" i="1"/>
  <c r="S1406" i="1"/>
  <c r="R1404" i="1"/>
  <c r="S1404" i="1"/>
  <c r="R1402" i="1"/>
  <c r="S1402" i="1"/>
  <c r="R1400" i="1"/>
  <c r="S1400" i="1"/>
  <c r="R1398" i="1"/>
  <c r="S1398" i="1"/>
  <c r="R1396" i="1"/>
  <c r="S1396" i="1"/>
  <c r="R1394" i="1"/>
  <c r="S1394" i="1"/>
  <c r="R1392" i="1"/>
  <c r="S1392" i="1"/>
  <c r="R1390" i="1"/>
  <c r="S1390" i="1"/>
  <c r="R1388" i="1"/>
  <c r="S1388" i="1"/>
  <c r="R1386" i="1"/>
  <c r="S1386" i="1"/>
  <c r="R1384" i="1"/>
  <c r="S1384" i="1"/>
  <c r="R1382" i="1"/>
  <c r="S1382" i="1"/>
  <c r="R1380" i="1"/>
  <c r="S1380" i="1"/>
  <c r="R1378" i="1"/>
  <c r="S1378" i="1"/>
  <c r="R1376" i="1"/>
  <c r="S1376" i="1"/>
  <c r="R1374" i="1"/>
  <c r="S1374" i="1"/>
  <c r="R1372" i="1"/>
  <c r="S1372" i="1"/>
  <c r="R1370" i="1"/>
  <c r="S1370" i="1"/>
  <c r="R1368" i="1"/>
  <c r="S1368" i="1"/>
  <c r="R1366" i="1"/>
  <c r="S1366" i="1"/>
  <c r="R1364" i="1"/>
  <c r="S1364" i="1"/>
  <c r="R1362" i="1"/>
  <c r="S1362" i="1"/>
  <c r="R1360" i="1"/>
  <c r="S1360" i="1"/>
  <c r="R1358" i="1"/>
  <c r="S1358" i="1"/>
  <c r="R1356" i="1"/>
  <c r="S1356" i="1"/>
  <c r="R1354" i="1"/>
  <c r="S1354" i="1"/>
  <c r="R1352" i="1"/>
  <c r="S1352" i="1"/>
  <c r="R1350" i="1"/>
  <c r="S1350" i="1"/>
  <c r="R1348" i="1"/>
  <c r="S1348" i="1"/>
  <c r="R1346" i="1"/>
  <c r="S1346" i="1"/>
  <c r="R1344" i="1"/>
  <c r="S1344" i="1"/>
  <c r="R1342" i="1"/>
  <c r="S1342" i="1"/>
  <c r="R1340" i="1"/>
  <c r="S1340" i="1"/>
  <c r="R1338" i="1"/>
  <c r="S1338" i="1"/>
  <c r="R1336" i="1"/>
  <c r="S1336" i="1"/>
  <c r="R1334" i="1"/>
  <c r="S1334" i="1"/>
  <c r="R1332" i="1"/>
  <c r="S1332" i="1"/>
  <c r="R1330" i="1"/>
  <c r="S1330" i="1"/>
  <c r="R1328" i="1"/>
  <c r="S1328" i="1"/>
  <c r="R1326" i="1"/>
  <c r="S1326" i="1"/>
  <c r="R1324" i="1"/>
  <c r="S1324" i="1"/>
  <c r="R1322" i="1"/>
  <c r="S1322" i="1"/>
  <c r="R1320" i="1"/>
  <c r="S1320" i="1"/>
  <c r="R1318" i="1"/>
  <c r="S1318" i="1"/>
  <c r="R1316" i="1"/>
  <c r="S1316" i="1"/>
  <c r="R1314" i="1"/>
  <c r="S1314" i="1"/>
  <c r="R1312" i="1"/>
  <c r="S1312" i="1"/>
  <c r="R1310" i="1"/>
  <c r="S1310" i="1"/>
  <c r="R1308" i="1"/>
  <c r="S1308" i="1"/>
  <c r="R1306" i="1"/>
  <c r="S1306" i="1"/>
  <c r="R1304" i="1"/>
  <c r="S1304" i="1"/>
  <c r="R1302" i="1"/>
  <c r="S1302" i="1"/>
  <c r="R1300" i="1"/>
  <c r="S1300" i="1"/>
  <c r="R1298" i="1"/>
  <c r="S1298" i="1"/>
  <c r="R1296" i="1"/>
  <c r="S1296" i="1"/>
  <c r="R1294" i="1"/>
  <c r="S1294" i="1"/>
  <c r="R1292" i="1"/>
  <c r="S1292" i="1"/>
  <c r="R1290" i="1"/>
  <c r="S1290" i="1"/>
  <c r="R1288" i="1"/>
  <c r="S1288" i="1"/>
  <c r="R1286" i="1"/>
  <c r="S1286" i="1"/>
  <c r="R1284" i="1"/>
  <c r="S1284" i="1"/>
  <c r="R1282" i="1"/>
  <c r="S1282" i="1"/>
  <c r="R1280" i="1"/>
  <c r="S1280" i="1"/>
  <c r="R1278" i="1"/>
  <c r="S1278" i="1"/>
  <c r="R1276" i="1"/>
  <c r="S1276" i="1"/>
  <c r="R1274" i="1"/>
  <c r="S1274" i="1"/>
  <c r="R1272" i="1"/>
  <c r="S1272" i="1"/>
  <c r="R1270" i="1"/>
  <c r="S1270" i="1"/>
  <c r="R1268" i="1"/>
  <c r="S1268" i="1"/>
  <c r="R1266" i="1"/>
  <c r="S1266" i="1"/>
  <c r="R1264" i="1"/>
  <c r="S1264" i="1"/>
  <c r="R1262" i="1"/>
  <c r="S1262" i="1"/>
  <c r="R1260" i="1"/>
  <c r="S1260" i="1"/>
  <c r="R1258" i="1"/>
  <c r="S1258" i="1"/>
  <c r="R1256" i="1"/>
  <c r="S1256" i="1"/>
  <c r="R1254" i="1"/>
  <c r="S1254" i="1"/>
  <c r="R1252" i="1"/>
  <c r="S1252" i="1"/>
  <c r="R1250" i="1"/>
  <c r="S1250" i="1"/>
  <c r="R1248" i="1"/>
  <c r="S1248" i="1"/>
  <c r="R1246" i="1"/>
  <c r="S1246" i="1"/>
  <c r="R1244" i="1"/>
  <c r="S1244" i="1"/>
  <c r="R1242" i="1"/>
  <c r="S1242" i="1"/>
  <c r="R1240" i="1"/>
  <c r="S1240" i="1"/>
  <c r="R1238" i="1"/>
  <c r="S1238" i="1"/>
  <c r="R1236" i="1"/>
  <c r="S1236" i="1"/>
  <c r="R1234" i="1"/>
  <c r="S1234" i="1"/>
  <c r="R1232" i="1"/>
  <c r="S1232" i="1"/>
  <c r="R1230" i="1"/>
  <c r="S1230" i="1"/>
  <c r="R1228" i="1"/>
  <c r="S1228" i="1"/>
  <c r="R1226" i="1"/>
  <c r="S1226" i="1"/>
  <c r="R1224" i="1"/>
  <c r="S1224" i="1"/>
  <c r="R1222" i="1"/>
  <c r="S1222" i="1"/>
  <c r="R1220" i="1"/>
  <c r="S1220" i="1"/>
  <c r="R1218" i="1"/>
  <c r="S1218" i="1"/>
  <c r="R1216" i="1"/>
  <c r="S1216" i="1"/>
  <c r="R1214" i="1"/>
  <c r="S1214" i="1"/>
  <c r="R1212" i="1"/>
  <c r="S1212" i="1"/>
  <c r="R1210" i="1"/>
  <c r="S1210" i="1"/>
  <c r="R1208" i="1"/>
  <c r="S1208" i="1"/>
  <c r="R1206" i="1"/>
  <c r="S1206" i="1"/>
  <c r="R1204" i="1"/>
  <c r="S1204" i="1"/>
  <c r="R1202" i="1"/>
  <c r="S1202" i="1"/>
  <c r="R1200" i="1"/>
  <c r="S1200" i="1"/>
  <c r="R1198" i="1"/>
  <c r="S1198" i="1"/>
  <c r="R1196" i="1"/>
  <c r="S1196" i="1"/>
  <c r="R1194" i="1"/>
  <c r="S1194" i="1"/>
  <c r="R1192" i="1"/>
  <c r="S1192" i="1"/>
  <c r="R1190" i="1"/>
  <c r="S1190" i="1"/>
  <c r="R1188" i="1"/>
  <c r="S1188" i="1"/>
  <c r="R1186" i="1"/>
  <c r="S1186" i="1"/>
  <c r="R1184" i="1"/>
  <c r="S1184" i="1"/>
  <c r="R1182" i="1"/>
  <c r="S1182" i="1"/>
  <c r="R1180" i="1"/>
  <c r="S1180" i="1"/>
  <c r="R1178" i="1"/>
  <c r="S1178" i="1"/>
  <c r="R1176" i="1"/>
  <c r="S1176" i="1"/>
  <c r="R1174" i="1"/>
  <c r="S1174" i="1"/>
  <c r="R1172" i="1"/>
  <c r="S1172" i="1"/>
  <c r="R1170" i="1"/>
  <c r="S1170" i="1"/>
  <c r="R1168" i="1"/>
  <c r="S1168" i="1"/>
  <c r="R1166" i="1"/>
  <c r="S1166" i="1"/>
  <c r="R1164" i="1"/>
  <c r="S1164" i="1"/>
  <c r="R1162" i="1"/>
  <c r="S1162" i="1"/>
  <c r="R1160" i="1"/>
  <c r="S1160" i="1"/>
  <c r="R1158" i="1"/>
  <c r="S1158" i="1"/>
  <c r="R1156" i="1"/>
  <c r="S1156" i="1"/>
  <c r="R1154" i="1"/>
  <c r="S1154" i="1"/>
  <c r="R1152" i="1"/>
  <c r="S1152" i="1"/>
  <c r="R1150" i="1"/>
  <c r="S1150" i="1"/>
  <c r="R1148" i="1"/>
  <c r="S1148" i="1"/>
  <c r="R1146" i="1"/>
  <c r="S1146" i="1"/>
  <c r="R1144" i="1"/>
  <c r="S1144" i="1"/>
  <c r="R1142" i="1"/>
  <c r="S1142" i="1"/>
  <c r="R1140" i="1"/>
  <c r="S1140" i="1"/>
  <c r="R1138" i="1"/>
  <c r="S1138" i="1"/>
  <c r="R1136" i="1"/>
  <c r="S1136" i="1"/>
  <c r="R1134" i="1"/>
  <c r="S1134" i="1"/>
  <c r="R1132" i="1"/>
  <c r="S1132" i="1"/>
  <c r="R1130" i="1"/>
  <c r="S1130" i="1"/>
  <c r="R1128" i="1"/>
  <c r="S1128" i="1"/>
  <c r="R1126" i="1"/>
  <c r="S1126" i="1"/>
  <c r="R1124" i="1"/>
  <c r="S1124" i="1"/>
  <c r="R1122" i="1"/>
  <c r="S1122" i="1"/>
  <c r="R1120" i="1"/>
  <c r="S1120" i="1"/>
  <c r="R1118" i="1"/>
  <c r="S1118" i="1"/>
  <c r="R1116" i="1"/>
  <c r="S1116" i="1"/>
  <c r="R1114" i="1"/>
  <c r="S1114" i="1"/>
  <c r="R1112" i="1"/>
  <c r="S1112" i="1"/>
  <c r="R1110" i="1"/>
  <c r="S1110" i="1"/>
  <c r="R1108" i="1"/>
  <c r="S1108" i="1"/>
  <c r="R1106" i="1"/>
  <c r="S1106" i="1"/>
  <c r="R1104" i="1"/>
  <c r="S1104" i="1"/>
  <c r="R1102" i="1"/>
  <c r="S1102" i="1"/>
  <c r="R1100" i="1"/>
  <c r="S1100" i="1"/>
  <c r="R1098" i="1"/>
  <c r="S1098" i="1"/>
  <c r="R1096" i="1"/>
  <c r="S1096" i="1"/>
  <c r="R1094" i="1"/>
  <c r="S1094" i="1"/>
  <c r="R1092" i="1"/>
  <c r="S1092" i="1"/>
  <c r="R1090" i="1"/>
  <c r="S1090" i="1"/>
  <c r="R1088" i="1"/>
  <c r="S1088" i="1"/>
  <c r="R1086" i="1"/>
  <c r="S1086" i="1"/>
  <c r="R1084" i="1"/>
  <c r="S1084" i="1"/>
  <c r="R1082" i="1"/>
  <c r="S1082" i="1"/>
  <c r="R1080" i="1"/>
  <c r="S1080" i="1"/>
  <c r="R1078" i="1"/>
  <c r="S1078" i="1"/>
  <c r="R1076" i="1"/>
  <c r="S1076" i="1"/>
  <c r="R1074" i="1"/>
  <c r="S1074" i="1"/>
  <c r="R1072" i="1"/>
  <c r="S1072" i="1"/>
  <c r="R1070" i="1"/>
  <c r="S1070" i="1"/>
  <c r="R1068" i="1"/>
  <c r="S1068" i="1"/>
  <c r="R1066" i="1"/>
  <c r="S1066" i="1"/>
  <c r="R1064" i="1"/>
  <c r="S1064" i="1"/>
  <c r="R1062" i="1"/>
  <c r="S1062" i="1"/>
  <c r="R1060" i="1"/>
  <c r="S1060" i="1"/>
  <c r="R1058" i="1"/>
  <c r="S1058" i="1"/>
  <c r="R1056" i="1"/>
  <c r="S1056" i="1"/>
  <c r="R1054" i="1"/>
  <c r="S1054" i="1"/>
  <c r="R1052" i="1"/>
  <c r="S1052" i="1"/>
  <c r="R1050" i="1"/>
  <c r="S1050" i="1"/>
  <c r="R1048" i="1"/>
  <c r="S1048" i="1"/>
  <c r="R1046" i="1"/>
  <c r="S1046" i="1"/>
  <c r="R1044" i="1"/>
  <c r="S1044" i="1"/>
  <c r="R1042" i="1"/>
  <c r="S1042" i="1"/>
  <c r="R1040" i="1"/>
  <c r="S1040" i="1"/>
  <c r="R1038" i="1"/>
  <c r="S1038" i="1"/>
  <c r="R1036" i="1"/>
  <c r="S1036" i="1"/>
  <c r="R1034" i="1"/>
  <c r="S1034" i="1"/>
  <c r="R1032" i="1"/>
  <c r="S1032" i="1"/>
  <c r="R1030" i="1"/>
  <c r="S1030" i="1"/>
  <c r="R1028" i="1"/>
  <c r="S1028" i="1"/>
  <c r="R1026" i="1"/>
  <c r="S1026" i="1"/>
  <c r="R1024" i="1"/>
  <c r="S1024" i="1"/>
  <c r="R1022" i="1"/>
  <c r="S1022" i="1"/>
  <c r="R1020" i="1"/>
  <c r="S1020" i="1"/>
  <c r="R1018" i="1"/>
  <c r="S1018" i="1"/>
  <c r="R1016" i="1"/>
  <c r="S1016" i="1"/>
  <c r="R1014" i="1"/>
  <c r="S1014" i="1"/>
  <c r="R1012" i="1"/>
  <c r="S1012" i="1"/>
  <c r="R1010" i="1"/>
  <c r="S1010" i="1"/>
  <c r="R1008" i="1"/>
  <c r="S1008" i="1"/>
  <c r="R1006" i="1"/>
  <c r="S1006" i="1"/>
  <c r="R1004" i="1"/>
  <c r="S1004" i="1"/>
  <c r="R1002" i="1"/>
  <c r="S1002" i="1"/>
  <c r="R1000" i="1"/>
  <c r="S1000" i="1"/>
  <c r="R998" i="1"/>
  <c r="S998" i="1"/>
  <c r="R996" i="1"/>
  <c r="S996" i="1"/>
  <c r="R994" i="1"/>
  <c r="S994" i="1"/>
  <c r="R992" i="1"/>
  <c r="S992" i="1"/>
  <c r="R990" i="1"/>
  <c r="S990" i="1"/>
  <c r="R988" i="1"/>
  <c r="S988" i="1"/>
  <c r="R986" i="1"/>
  <c r="S986" i="1"/>
  <c r="R984" i="1"/>
  <c r="S984" i="1"/>
  <c r="R982" i="1"/>
  <c r="S982" i="1"/>
  <c r="R980" i="1"/>
  <c r="S980" i="1"/>
  <c r="R978" i="1"/>
  <c r="S978" i="1"/>
  <c r="R976" i="1"/>
  <c r="S976" i="1"/>
  <c r="R974" i="1"/>
  <c r="S974" i="1"/>
  <c r="R972" i="1"/>
  <c r="S972" i="1"/>
  <c r="R970" i="1"/>
  <c r="S970" i="1"/>
  <c r="R968" i="1"/>
  <c r="S968" i="1"/>
  <c r="R966" i="1"/>
  <c r="S966" i="1"/>
  <c r="R964" i="1"/>
  <c r="S964" i="1"/>
  <c r="R962" i="1"/>
  <c r="S962" i="1"/>
  <c r="R960" i="1"/>
  <c r="S960" i="1"/>
  <c r="R958" i="1"/>
  <c r="S958" i="1"/>
  <c r="R956" i="1"/>
  <c r="S956" i="1"/>
  <c r="R954" i="1"/>
  <c r="S954" i="1"/>
  <c r="R952" i="1"/>
  <c r="S952" i="1"/>
  <c r="R950" i="1"/>
  <c r="S950" i="1"/>
  <c r="R948" i="1"/>
  <c r="S948" i="1"/>
  <c r="R946" i="1"/>
  <c r="S946" i="1"/>
  <c r="R944" i="1"/>
  <c r="S944" i="1"/>
  <c r="R942" i="1"/>
  <c r="S942" i="1"/>
  <c r="R940" i="1"/>
  <c r="S940" i="1"/>
  <c r="R938" i="1"/>
  <c r="S938" i="1"/>
  <c r="R936" i="1"/>
  <c r="S936" i="1"/>
  <c r="R934" i="1"/>
  <c r="S934" i="1"/>
  <c r="R932" i="1"/>
  <c r="S932" i="1"/>
  <c r="R930" i="1"/>
  <c r="S930" i="1"/>
  <c r="R928" i="1"/>
  <c r="S928" i="1"/>
  <c r="R926" i="1"/>
  <c r="S926" i="1"/>
  <c r="R924" i="1"/>
  <c r="S924" i="1"/>
  <c r="R922" i="1"/>
  <c r="S922" i="1"/>
  <c r="R920" i="1"/>
  <c r="S920" i="1"/>
  <c r="R918" i="1"/>
  <c r="S918" i="1"/>
  <c r="R916" i="1"/>
  <c r="S916" i="1"/>
  <c r="R914" i="1"/>
  <c r="S914" i="1"/>
  <c r="R912" i="1"/>
  <c r="S912" i="1"/>
  <c r="R910" i="1"/>
  <c r="S910" i="1"/>
  <c r="R908" i="1"/>
  <c r="S908" i="1"/>
  <c r="R906" i="1"/>
  <c r="S906" i="1"/>
  <c r="R904" i="1"/>
  <c r="S904" i="1"/>
  <c r="R902" i="1"/>
  <c r="S902" i="1"/>
  <c r="R900" i="1"/>
  <c r="S900" i="1"/>
  <c r="R898" i="1"/>
  <c r="S898" i="1"/>
  <c r="R896" i="1"/>
  <c r="S896" i="1"/>
  <c r="R894" i="1"/>
  <c r="S894" i="1"/>
  <c r="R892" i="1"/>
  <c r="S892" i="1"/>
  <c r="R890" i="1"/>
  <c r="S890" i="1"/>
  <c r="R888" i="1"/>
  <c r="S888" i="1"/>
  <c r="R886" i="1"/>
  <c r="S886" i="1"/>
  <c r="R884" i="1"/>
  <c r="S884" i="1"/>
  <c r="R882" i="1"/>
  <c r="S882" i="1"/>
  <c r="R880" i="1"/>
  <c r="S880" i="1"/>
  <c r="R878" i="1"/>
  <c r="S878" i="1"/>
  <c r="R876" i="1"/>
  <c r="S876" i="1"/>
  <c r="R874" i="1"/>
  <c r="S874" i="1"/>
  <c r="R872" i="1"/>
  <c r="S872" i="1"/>
  <c r="R870" i="1"/>
  <c r="S870" i="1"/>
  <c r="R868" i="1"/>
  <c r="S868" i="1"/>
  <c r="R866" i="1"/>
  <c r="S866" i="1"/>
  <c r="R864" i="1"/>
  <c r="S864" i="1"/>
  <c r="R862" i="1"/>
  <c r="S862" i="1"/>
  <c r="R860" i="1"/>
  <c r="S860" i="1"/>
  <c r="R858" i="1"/>
  <c r="S858" i="1"/>
  <c r="R856" i="1"/>
  <c r="S856" i="1"/>
  <c r="R854" i="1"/>
  <c r="S854" i="1"/>
  <c r="R852" i="1"/>
  <c r="S852" i="1"/>
  <c r="R850" i="1"/>
  <c r="S850" i="1"/>
  <c r="R848" i="1"/>
  <c r="S848" i="1"/>
  <c r="R846" i="1"/>
  <c r="S846" i="1"/>
  <c r="R844" i="1"/>
  <c r="S844" i="1"/>
  <c r="R842" i="1"/>
  <c r="S842" i="1"/>
  <c r="R840" i="1"/>
  <c r="S840" i="1"/>
  <c r="R838" i="1"/>
  <c r="S838" i="1"/>
  <c r="R836" i="1"/>
  <c r="S836" i="1"/>
  <c r="R834" i="1"/>
  <c r="S834" i="1"/>
  <c r="R832" i="1"/>
  <c r="S832" i="1"/>
  <c r="R830" i="1"/>
  <c r="S830" i="1"/>
  <c r="R828" i="1"/>
  <c r="S828" i="1"/>
  <c r="R826" i="1"/>
  <c r="S826" i="1"/>
  <c r="R824" i="1"/>
  <c r="S824" i="1"/>
  <c r="R822" i="1"/>
  <c r="S822" i="1"/>
  <c r="R820" i="1"/>
  <c r="S820" i="1"/>
  <c r="R818" i="1"/>
  <c r="S818" i="1"/>
  <c r="R816" i="1"/>
  <c r="S816" i="1"/>
  <c r="R814" i="1"/>
  <c r="S814" i="1"/>
  <c r="R812" i="1"/>
  <c r="S812" i="1"/>
  <c r="R810" i="1"/>
  <c r="S810" i="1"/>
  <c r="R808" i="1"/>
  <c r="S808" i="1"/>
  <c r="R806" i="1"/>
  <c r="S806" i="1"/>
  <c r="R804" i="1"/>
  <c r="S804" i="1"/>
  <c r="R802" i="1"/>
  <c r="S802" i="1"/>
  <c r="R800" i="1"/>
  <c r="S800" i="1"/>
  <c r="R798" i="1"/>
  <c r="S798" i="1"/>
  <c r="R796" i="1"/>
  <c r="S796" i="1"/>
  <c r="R794" i="1"/>
  <c r="S794" i="1"/>
  <c r="R792" i="1"/>
  <c r="S792" i="1"/>
  <c r="R790" i="1"/>
  <c r="S790" i="1"/>
  <c r="R788" i="1"/>
  <c r="S788" i="1"/>
  <c r="R786" i="1"/>
  <c r="S786" i="1"/>
  <c r="R784" i="1"/>
  <c r="S784" i="1"/>
  <c r="R782" i="1"/>
  <c r="S782" i="1"/>
  <c r="R780" i="1"/>
  <c r="S780" i="1"/>
  <c r="R778" i="1"/>
  <c r="S778" i="1"/>
  <c r="R776" i="1"/>
  <c r="S776" i="1"/>
  <c r="R774" i="1"/>
  <c r="S774" i="1"/>
  <c r="R772" i="1"/>
  <c r="S772" i="1"/>
  <c r="R770" i="1"/>
  <c r="S770" i="1"/>
  <c r="R768" i="1"/>
  <c r="S768" i="1"/>
  <c r="R766" i="1"/>
  <c r="S766" i="1"/>
  <c r="R764" i="1"/>
  <c r="S764" i="1"/>
  <c r="R762" i="1"/>
  <c r="S762" i="1"/>
  <c r="R760" i="1"/>
  <c r="S760" i="1"/>
  <c r="R758" i="1"/>
  <c r="S758" i="1"/>
  <c r="R756" i="1"/>
  <c r="S756" i="1"/>
  <c r="R754" i="1"/>
  <c r="S754" i="1"/>
  <c r="R752" i="1"/>
  <c r="S752" i="1"/>
  <c r="R750" i="1"/>
  <c r="S750" i="1"/>
  <c r="R748" i="1"/>
  <c r="S748" i="1"/>
  <c r="R746" i="1"/>
  <c r="S746" i="1"/>
  <c r="R744" i="1"/>
  <c r="S744" i="1"/>
  <c r="R742" i="1"/>
  <c r="S742" i="1"/>
  <c r="R740" i="1"/>
  <c r="S740" i="1"/>
  <c r="R738" i="1"/>
  <c r="S738" i="1"/>
  <c r="R736" i="1"/>
  <c r="S736" i="1"/>
  <c r="R734" i="1"/>
  <c r="S734" i="1"/>
  <c r="R732" i="1"/>
  <c r="S732" i="1"/>
  <c r="R730" i="1"/>
  <c r="S730" i="1"/>
  <c r="R728" i="1"/>
  <c r="S728" i="1"/>
  <c r="R726" i="1"/>
  <c r="S726" i="1"/>
  <c r="R724" i="1"/>
  <c r="S724" i="1"/>
  <c r="R722" i="1"/>
  <c r="S722" i="1"/>
  <c r="R720" i="1"/>
  <c r="S720" i="1"/>
  <c r="R718" i="1"/>
  <c r="S718" i="1"/>
  <c r="R716" i="1"/>
  <c r="S716" i="1"/>
  <c r="R714" i="1"/>
  <c r="S714" i="1"/>
  <c r="R712" i="1"/>
  <c r="S712" i="1"/>
  <c r="R710" i="1"/>
  <c r="S710" i="1"/>
  <c r="R708" i="1"/>
  <c r="S708" i="1"/>
  <c r="R706" i="1"/>
  <c r="S706" i="1"/>
  <c r="R704" i="1"/>
  <c r="S704" i="1"/>
  <c r="R702" i="1"/>
  <c r="S702" i="1"/>
  <c r="R700" i="1"/>
  <c r="S700" i="1"/>
  <c r="R698" i="1"/>
  <c r="S698" i="1"/>
  <c r="R696" i="1"/>
  <c r="S696" i="1"/>
  <c r="R694" i="1"/>
  <c r="S694" i="1"/>
  <c r="R692" i="1"/>
  <c r="S692" i="1"/>
  <c r="R690" i="1"/>
  <c r="S690" i="1"/>
  <c r="R688" i="1"/>
  <c r="S688" i="1"/>
  <c r="R686" i="1"/>
  <c r="S686" i="1"/>
  <c r="R684" i="1"/>
  <c r="S684" i="1"/>
  <c r="R682" i="1"/>
  <c r="S682" i="1"/>
  <c r="R680" i="1"/>
  <c r="S680" i="1"/>
  <c r="R678" i="1"/>
  <c r="S678" i="1"/>
  <c r="R676" i="1"/>
  <c r="S676" i="1"/>
  <c r="R674" i="1"/>
  <c r="S674" i="1"/>
  <c r="R672" i="1"/>
  <c r="S672" i="1"/>
  <c r="R670" i="1"/>
  <c r="S670" i="1"/>
  <c r="R668" i="1"/>
  <c r="S668" i="1"/>
  <c r="R666" i="1"/>
  <c r="S666" i="1"/>
  <c r="R664" i="1"/>
  <c r="S664" i="1"/>
  <c r="R662" i="1"/>
  <c r="S662" i="1"/>
  <c r="R660" i="1"/>
  <c r="S660" i="1"/>
  <c r="R658" i="1"/>
  <c r="S658" i="1"/>
  <c r="R656" i="1"/>
  <c r="S656" i="1"/>
  <c r="R654" i="1"/>
  <c r="S654" i="1"/>
  <c r="R652" i="1"/>
  <c r="S652" i="1"/>
  <c r="R650" i="1"/>
  <c r="S650" i="1"/>
  <c r="R648" i="1"/>
  <c r="S648" i="1"/>
  <c r="R646" i="1"/>
  <c r="S646" i="1"/>
  <c r="R644" i="1"/>
  <c r="S644" i="1"/>
  <c r="R642" i="1"/>
  <c r="S642" i="1"/>
  <c r="R640" i="1"/>
  <c r="S640" i="1"/>
  <c r="R638" i="1"/>
  <c r="S638" i="1"/>
  <c r="R636" i="1"/>
  <c r="S636" i="1"/>
  <c r="R634" i="1"/>
  <c r="S634" i="1"/>
  <c r="R632" i="1"/>
  <c r="S632" i="1"/>
  <c r="R630" i="1"/>
  <c r="S630" i="1"/>
  <c r="R628" i="1"/>
  <c r="S628" i="1"/>
  <c r="R626" i="1"/>
  <c r="S626" i="1"/>
  <c r="R624" i="1"/>
  <c r="S624" i="1"/>
  <c r="R622" i="1"/>
  <c r="S622" i="1"/>
  <c r="R620" i="1"/>
  <c r="S620" i="1"/>
  <c r="R618" i="1"/>
  <c r="S618" i="1"/>
  <c r="R616" i="1"/>
  <c r="S616" i="1"/>
  <c r="R614" i="1"/>
  <c r="S614" i="1"/>
  <c r="R612" i="1"/>
  <c r="S612" i="1"/>
  <c r="R610" i="1"/>
  <c r="S610" i="1"/>
  <c r="R608" i="1"/>
  <c r="S608" i="1"/>
  <c r="R606" i="1"/>
  <c r="S606" i="1"/>
  <c r="R604" i="1"/>
  <c r="S604" i="1"/>
  <c r="R602" i="1"/>
  <c r="S602" i="1"/>
  <c r="R600" i="1"/>
  <c r="S600" i="1"/>
  <c r="R598" i="1"/>
  <c r="S598" i="1"/>
  <c r="R596" i="1"/>
  <c r="S596" i="1"/>
  <c r="R594" i="1"/>
  <c r="S594" i="1"/>
  <c r="R592" i="1"/>
  <c r="S592" i="1"/>
  <c r="R590" i="1"/>
  <c r="S590" i="1"/>
  <c r="R588" i="1"/>
  <c r="S588" i="1"/>
  <c r="R586" i="1"/>
  <c r="S586" i="1"/>
  <c r="R584" i="1"/>
  <c r="S584" i="1"/>
  <c r="R582" i="1"/>
  <c r="S582" i="1"/>
  <c r="R580" i="1"/>
  <c r="S580" i="1"/>
  <c r="R578" i="1"/>
  <c r="S578" i="1"/>
  <c r="R576" i="1"/>
  <c r="S576" i="1"/>
  <c r="R574" i="1"/>
  <c r="S574" i="1"/>
  <c r="R572" i="1"/>
  <c r="S572" i="1"/>
  <c r="R570" i="1"/>
  <c r="S570" i="1"/>
  <c r="R568" i="1"/>
  <c r="S568" i="1"/>
  <c r="R566" i="1"/>
  <c r="S566" i="1"/>
  <c r="R564" i="1"/>
  <c r="S564" i="1"/>
  <c r="R562" i="1"/>
  <c r="S562" i="1"/>
  <c r="R560" i="1"/>
  <c r="S560" i="1"/>
  <c r="R558" i="1"/>
  <c r="S558" i="1"/>
  <c r="R556" i="1"/>
  <c r="S556" i="1"/>
  <c r="R554" i="1"/>
  <c r="S554" i="1"/>
  <c r="R552" i="1"/>
  <c r="S552" i="1"/>
  <c r="R550" i="1"/>
  <c r="S550" i="1"/>
  <c r="R548" i="1"/>
  <c r="S548" i="1"/>
  <c r="R546" i="1"/>
  <c r="S546" i="1"/>
  <c r="R544" i="1"/>
  <c r="S544" i="1"/>
  <c r="R542" i="1"/>
  <c r="S542" i="1"/>
  <c r="R540" i="1"/>
  <c r="S540" i="1"/>
  <c r="R538" i="1"/>
  <c r="S538" i="1"/>
  <c r="R536" i="1"/>
  <c r="S536" i="1"/>
  <c r="R534" i="1"/>
  <c r="S534" i="1"/>
  <c r="R532" i="1"/>
  <c r="S532" i="1"/>
  <c r="R530" i="1"/>
  <c r="S530" i="1"/>
  <c r="R528" i="1"/>
  <c r="S528" i="1"/>
  <c r="R526" i="1"/>
  <c r="S526" i="1"/>
  <c r="R524" i="1"/>
  <c r="S524" i="1"/>
  <c r="R522" i="1"/>
  <c r="S522" i="1"/>
  <c r="R520" i="1"/>
  <c r="S520" i="1"/>
  <c r="R518" i="1"/>
  <c r="S518" i="1"/>
  <c r="R516" i="1"/>
  <c r="S516" i="1"/>
  <c r="R514" i="1"/>
  <c r="S514" i="1"/>
  <c r="R512" i="1"/>
  <c r="S512" i="1"/>
  <c r="R510" i="1"/>
  <c r="S510" i="1"/>
  <c r="R508" i="1"/>
  <c r="S508" i="1"/>
  <c r="R506" i="1"/>
  <c r="S506" i="1"/>
  <c r="R504" i="1"/>
  <c r="S504" i="1"/>
  <c r="R502" i="1"/>
  <c r="S502" i="1"/>
  <c r="R500" i="1"/>
  <c r="S500" i="1"/>
  <c r="R498" i="1"/>
  <c r="S498" i="1"/>
  <c r="R496" i="1"/>
  <c r="S496" i="1"/>
  <c r="R494" i="1"/>
  <c r="S494" i="1"/>
  <c r="R492" i="1"/>
  <c r="S492" i="1"/>
  <c r="R490" i="1"/>
  <c r="S490" i="1"/>
  <c r="R488" i="1"/>
  <c r="S488" i="1"/>
  <c r="R486" i="1"/>
  <c r="S486" i="1"/>
  <c r="R484" i="1"/>
  <c r="S484" i="1"/>
  <c r="R482" i="1"/>
  <c r="S482" i="1"/>
  <c r="R480" i="1"/>
  <c r="S480" i="1"/>
  <c r="R478" i="1"/>
  <c r="S478" i="1"/>
  <c r="R476" i="1"/>
  <c r="S476" i="1"/>
  <c r="R474" i="1"/>
  <c r="S474" i="1"/>
  <c r="R472" i="1"/>
  <c r="S472" i="1"/>
  <c r="R470" i="1"/>
  <c r="S470" i="1"/>
  <c r="R468" i="1"/>
  <c r="S468" i="1"/>
  <c r="R466" i="1"/>
  <c r="S466" i="1"/>
  <c r="R464" i="1"/>
  <c r="S464" i="1"/>
  <c r="R462" i="1"/>
  <c r="S462" i="1"/>
  <c r="R460" i="1"/>
  <c r="S460" i="1"/>
  <c r="R458" i="1"/>
  <c r="S458" i="1"/>
  <c r="R456" i="1"/>
  <c r="S456" i="1"/>
  <c r="R454" i="1"/>
  <c r="S454" i="1"/>
  <c r="R452" i="1"/>
  <c r="S452" i="1"/>
  <c r="R450" i="1"/>
  <c r="S450" i="1"/>
  <c r="R448" i="1"/>
  <c r="S448" i="1"/>
  <c r="R446" i="1"/>
  <c r="S446" i="1"/>
  <c r="R444" i="1"/>
  <c r="S444" i="1"/>
  <c r="R442" i="1"/>
  <c r="S442" i="1"/>
  <c r="R440" i="1"/>
  <c r="S440" i="1"/>
  <c r="R438" i="1"/>
  <c r="S438" i="1"/>
  <c r="R436" i="1"/>
  <c r="S436" i="1"/>
  <c r="R434" i="1"/>
  <c r="S434" i="1"/>
  <c r="R432" i="1"/>
  <c r="S432" i="1"/>
  <c r="R430" i="1"/>
  <c r="S430" i="1"/>
  <c r="R428" i="1"/>
  <c r="S428" i="1"/>
  <c r="R426" i="1"/>
  <c r="S426" i="1"/>
  <c r="R424" i="1"/>
  <c r="S424" i="1"/>
  <c r="R422" i="1"/>
  <c r="S422" i="1"/>
  <c r="R420" i="1"/>
  <c r="S420" i="1"/>
  <c r="R418" i="1"/>
  <c r="S418" i="1"/>
  <c r="R416" i="1"/>
  <c r="S416" i="1"/>
  <c r="R414" i="1"/>
  <c r="S414" i="1"/>
  <c r="R412" i="1"/>
  <c r="S412" i="1"/>
  <c r="R410" i="1"/>
  <c r="S410" i="1"/>
  <c r="R408" i="1"/>
  <c r="S408" i="1"/>
  <c r="R406" i="1"/>
  <c r="S406" i="1"/>
  <c r="R404" i="1"/>
  <c r="S404" i="1"/>
  <c r="R402" i="1"/>
  <c r="S402" i="1"/>
  <c r="R400" i="1"/>
  <c r="S400" i="1"/>
  <c r="R398" i="1"/>
  <c r="S398" i="1"/>
  <c r="R396" i="1"/>
  <c r="S396" i="1"/>
  <c r="R394" i="1"/>
  <c r="S394" i="1"/>
  <c r="R392" i="1"/>
  <c r="S392" i="1"/>
  <c r="R390" i="1"/>
  <c r="S390" i="1"/>
  <c r="R388" i="1"/>
  <c r="S388" i="1"/>
  <c r="R386" i="1"/>
  <c r="S386" i="1"/>
  <c r="R384" i="1"/>
  <c r="S384" i="1"/>
  <c r="R382" i="1"/>
  <c r="S382" i="1"/>
  <c r="R380" i="1"/>
  <c r="S380" i="1"/>
  <c r="R378" i="1"/>
  <c r="S378" i="1"/>
  <c r="R376" i="1"/>
  <c r="S376" i="1"/>
  <c r="R374" i="1"/>
  <c r="S374" i="1"/>
  <c r="R372" i="1"/>
  <c r="S372" i="1"/>
  <c r="R370" i="1"/>
  <c r="S370" i="1"/>
  <c r="R368" i="1"/>
  <c r="S368" i="1"/>
  <c r="R366" i="1"/>
  <c r="S366" i="1"/>
  <c r="R364" i="1"/>
  <c r="S364" i="1"/>
  <c r="R362" i="1"/>
  <c r="S362" i="1"/>
  <c r="R360" i="1"/>
  <c r="S360" i="1"/>
  <c r="R358" i="1"/>
  <c r="S358" i="1"/>
  <c r="R356" i="1"/>
  <c r="S356" i="1"/>
  <c r="R354" i="1"/>
  <c r="S354" i="1"/>
  <c r="R352" i="1"/>
  <c r="S352" i="1"/>
  <c r="R350" i="1"/>
  <c r="S350" i="1"/>
  <c r="R348" i="1"/>
  <c r="S348" i="1"/>
  <c r="R346" i="1"/>
  <c r="S346" i="1"/>
  <c r="R344" i="1"/>
  <c r="S344" i="1"/>
  <c r="R342" i="1"/>
  <c r="S342" i="1"/>
  <c r="R340" i="1"/>
  <c r="S340" i="1"/>
  <c r="R338" i="1"/>
  <c r="S338" i="1"/>
  <c r="R336" i="1"/>
  <c r="S336" i="1"/>
  <c r="R334" i="1"/>
  <c r="S334" i="1"/>
  <c r="R332" i="1"/>
  <c r="S332" i="1"/>
  <c r="R330" i="1"/>
  <c r="S330" i="1"/>
  <c r="R328" i="1"/>
  <c r="S328" i="1"/>
  <c r="R326" i="1"/>
  <c r="S326" i="1"/>
  <c r="R324" i="1"/>
  <c r="S324" i="1"/>
  <c r="R322" i="1"/>
  <c r="S322" i="1"/>
  <c r="R320" i="1"/>
  <c r="S320" i="1"/>
  <c r="R318" i="1"/>
  <c r="S318" i="1"/>
  <c r="R316" i="1"/>
  <c r="S316" i="1"/>
  <c r="R314" i="1"/>
  <c r="S314" i="1"/>
  <c r="R312" i="1"/>
  <c r="S312" i="1"/>
  <c r="R310" i="1"/>
  <c r="S310" i="1"/>
  <c r="R308" i="1"/>
  <c r="S308" i="1"/>
  <c r="R306" i="1"/>
  <c r="S306" i="1"/>
  <c r="R304" i="1"/>
  <c r="S304" i="1"/>
  <c r="R302" i="1"/>
  <c r="S302" i="1"/>
  <c r="R300" i="1"/>
  <c r="S300" i="1"/>
  <c r="R298" i="1"/>
  <c r="S298" i="1"/>
  <c r="R296" i="1"/>
  <c r="S296" i="1"/>
  <c r="R294" i="1"/>
  <c r="S294" i="1"/>
  <c r="R292" i="1"/>
  <c r="S292" i="1"/>
  <c r="R290" i="1"/>
  <c r="S290" i="1"/>
  <c r="R288" i="1"/>
  <c r="S288" i="1"/>
  <c r="R286" i="1"/>
  <c r="S286" i="1"/>
  <c r="R284" i="1"/>
  <c r="S284" i="1"/>
  <c r="R282" i="1"/>
  <c r="S282" i="1"/>
  <c r="R280" i="1"/>
  <c r="S280" i="1"/>
  <c r="R278" i="1"/>
  <c r="S278" i="1"/>
  <c r="R276" i="1"/>
  <c r="S276" i="1"/>
  <c r="R274" i="1"/>
  <c r="S274" i="1"/>
  <c r="R272" i="1"/>
  <c r="S272" i="1"/>
  <c r="R270" i="1"/>
  <c r="S270" i="1"/>
  <c r="R268" i="1"/>
  <c r="S268" i="1"/>
  <c r="R266" i="1"/>
  <c r="S266" i="1"/>
  <c r="R264" i="1"/>
  <c r="S264" i="1"/>
  <c r="R262" i="1"/>
  <c r="S262" i="1"/>
  <c r="R260" i="1"/>
  <c r="S260" i="1"/>
  <c r="R258" i="1"/>
  <c r="S258" i="1"/>
  <c r="R256" i="1"/>
  <c r="S256" i="1"/>
  <c r="R254" i="1"/>
  <c r="S254" i="1"/>
  <c r="R252" i="1"/>
  <c r="S252" i="1"/>
  <c r="R250" i="1"/>
  <c r="S250" i="1"/>
  <c r="R248" i="1"/>
  <c r="S248" i="1"/>
  <c r="R246" i="1"/>
  <c r="S246" i="1"/>
  <c r="R244" i="1"/>
  <c r="S244" i="1"/>
  <c r="R242" i="1"/>
  <c r="S242" i="1"/>
  <c r="R240" i="1"/>
  <c r="S240" i="1"/>
  <c r="R238" i="1"/>
  <c r="S238" i="1"/>
  <c r="R236" i="1"/>
  <c r="S236" i="1"/>
  <c r="R234" i="1"/>
  <c r="S234" i="1"/>
  <c r="R232" i="1"/>
  <c r="S232" i="1"/>
  <c r="R230" i="1"/>
  <c r="S230" i="1"/>
  <c r="R228" i="1"/>
  <c r="S228" i="1"/>
  <c r="R226" i="1"/>
  <c r="S226" i="1"/>
  <c r="R224" i="1"/>
  <c r="S224" i="1"/>
  <c r="R222" i="1"/>
  <c r="S222" i="1"/>
  <c r="R220" i="1"/>
  <c r="S220" i="1"/>
  <c r="R218" i="1"/>
  <c r="S218" i="1"/>
  <c r="R216" i="1"/>
  <c r="S216" i="1"/>
  <c r="R214" i="1"/>
  <c r="S214" i="1"/>
  <c r="R212" i="1"/>
  <c r="S212" i="1"/>
  <c r="R210" i="1"/>
  <c r="S210" i="1"/>
  <c r="R208" i="1"/>
  <c r="S208" i="1"/>
  <c r="R206" i="1"/>
  <c r="S206" i="1"/>
  <c r="R204" i="1"/>
  <c r="S204" i="1"/>
  <c r="R202" i="1"/>
  <c r="S202" i="1"/>
  <c r="R200" i="1"/>
  <c r="S200" i="1"/>
  <c r="R198" i="1"/>
  <c r="S198" i="1"/>
  <c r="R196" i="1"/>
  <c r="S196" i="1"/>
  <c r="R194" i="1"/>
  <c r="S194" i="1"/>
  <c r="R192" i="1"/>
  <c r="S192" i="1"/>
  <c r="R190" i="1"/>
  <c r="S190" i="1"/>
  <c r="R188" i="1"/>
  <c r="S188" i="1"/>
  <c r="R186" i="1"/>
  <c r="S186" i="1"/>
  <c r="R184" i="1"/>
  <c r="S184" i="1"/>
  <c r="R182" i="1"/>
  <c r="S182" i="1"/>
  <c r="R180" i="1"/>
  <c r="S180" i="1"/>
  <c r="R178" i="1"/>
  <c r="S178" i="1"/>
  <c r="R176" i="1"/>
  <c r="S176" i="1"/>
  <c r="R174" i="1"/>
  <c r="S174" i="1"/>
  <c r="R172" i="1"/>
  <c r="S172" i="1"/>
  <c r="R170" i="1"/>
  <c r="S170" i="1"/>
  <c r="R168" i="1"/>
  <c r="S168" i="1"/>
  <c r="R166" i="1"/>
  <c r="S166" i="1"/>
  <c r="R164" i="1"/>
  <c r="S164" i="1"/>
  <c r="R162" i="1"/>
  <c r="S162" i="1"/>
  <c r="R160" i="1"/>
  <c r="S160" i="1"/>
  <c r="R158" i="1"/>
  <c r="S158" i="1"/>
  <c r="R156" i="1"/>
  <c r="S156" i="1"/>
  <c r="R154" i="1"/>
  <c r="S154" i="1"/>
  <c r="R152" i="1"/>
  <c r="S152" i="1"/>
  <c r="R150" i="1"/>
  <c r="S150" i="1"/>
  <c r="R148" i="1"/>
  <c r="S148" i="1"/>
  <c r="R146" i="1"/>
  <c r="S146" i="1"/>
  <c r="R144" i="1"/>
  <c r="S144" i="1"/>
  <c r="R142" i="1"/>
  <c r="S142" i="1"/>
  <c r="R140" i="1"/>
  <c r="S140" i="1"/>
  <c r="R138" i="1"/>
  <c r="S138" i="1"/>
  <c r="R136" i="1"/>
  <c r="S136" i="1"/>
  <c r="R134" i="1"/>
  <c r="S134" i="1"/>
  <c r="R132" i="1"/>
  <c r="S132" i="1"/>
  <c r="R130" i="1"/>
  <c r="S130" i="1"/>
  <c r="R128" i="1"/>
  <c r="S128" i="1"/>
  <c r="R126" i="1"/>
  <c r="S126" i="1"/>
  <c r="R124" i="1"/>
  <c r="S124" i="1"/>
  <c r="R122" i="1"/>
  <c r="S122" i="1"/>
  <c r="R120" i="1"/>
  <c r="S120" i="1"/>
  <c r="R118" i="1"/>
  <c r="S118" i="1"/>
  <c r="R116" i="1"/>
  <c r="S116" i="1"/>
  <c r="R114" i="1"/>
  <c r="S114" i="1"/>
  <c r="R112" i="1"/>
  <c r="S112" i="1"/>
  <c r="R110" i="1"/>
  <c r="S110" i="1"/>
  <c r="R108" i="1"/>
  <c r="S108" i="1"/>
  <c r="R106" i="1"/>
  <c r="S106" i="1"/>
  <c r="R104" i="1"/>
  <c r="S104" i="1"/>
  <c r="R102" i="1"/>
  <c r="S102" i="1"/>
  <c r="R100" i="1"/>
  <c r="S100" i="1"/>
  <c r="R98" i="1"/>
  <c r="S98" i="1"/>
  <c r="R96" i="1"/>
  <c r="S96" i="1"/>
  <c r="R94" i="1"/>
  <c r="S94" i="1"/>
  <c r="R92" i="1"/>
  <c r="S92" i="1"/>
  <c r="R90" i="1"/>
  <c r="S90" i="1"/>
  <c r="R88" i="1"/>
  <c r="S88" i="1"/>
  <c r="R86" i="1"/>
  <c r="S86" i="1"/>
  <c r="R84" i="1"/>
  <c r="S84" i="1"/>
  <c r="R82" i="1"/>
  <c r="S82" i="1"/>
  <c r="R80" i="1"/>
  <c r="S80" i="1"/>
  <c r="R78" i="1"/>
  <c r="S78" i="1"/>
  <c r="R76" i="1"/>
  <c r="S76" i="1"/>
  <c r="R74" i="1"/>
  <c r="S74" i="1"/>
  <c r="R72" i="1"/>
  <c r="S72" i="1"/>
  <c r="R70" i="1"/>
  <c r="S70" i="1"/>
  <c r="R68" i="1"/>
  <c r="S68" i="1"/>
  <c r="R66" i="1"/>
  <c r="S66" i="1"/>
  <c r="R64" i="1"/>
  <c r="S64" i="1"/>
  <c r="R62" i="1"/>
  <c r="S62" i="1"/>
  <c r="R60" i="1"/>
  <c r="S60" i="1"/>
  <c r="R58" i="1"/>
  <c r="S58" i="1"/>
  <c r="R56" i="1"/>
  <c r="S56" i="1"/>
  <c r="R54" i="1"/>
  <c r="S54" i="1"/>
  <c r="R52" i="1"/>
  <c r="S52" i="1"/>
  <c r="R50" i="1"/>
  <c r="S50" i="1"/>
  <c r="R48" i="1"/>
  <c r="S48" i="1"/>
  <c r="R46" i="1"/>
  <c r="S46" i="1"/>
  <c r="R44" i="1"/>
  <c r="S44" i="1"/>
  <c r="R42" i="1"/>
  <c r="S42" i="1"/>
  <c r="R40" i="1"/>
  <c r="S40" i="1"/>
  <c r="R38" i="1"/>
  <c r="S38" i="1"/>
  <c r="R36" i="1"/>
  <c r="S36" i="1"/>
  <c r="R34" i="1"/>
  <c r="S34" i="1"/>
  <c r="R32" i="1"/>
  <c r="S32" i="1"/>
  <c r="R30" i="1"/>
  <c r="S30" i="1"/>
  <c r="R28" i="1"/>
  <c r="S28" i="1"/>
  <c r="R26" i="1"/>
  <c r="S26" i="1"/>
  <c r="R24" i="1"/>
  <c r="S24" i="1"/>
  <c r="R22" i="1"/>
  <c r="S22" i="1"/>
  <c r="R20" i="1"/>
  <c r="S20" i="1"/>
  <c r="R18" i="1"/>
  <c r="S18" i="1"/>
  <c r="R16" i="1"/>
  <c r="S16" i="1"/>
  <c r="R14" i="1"/>
  <c r="S14" i="1"/>
  <c r="R12" i="1"/>
  <c r="S12" i="1"/>
  <c r="R10" i="1"/>
  <c r="S10" i="1"/>
  <c r="R8" i="1"/>
  <c r="S8" i="1"/>
  <c r="R6" i="1"/>
  <c r="S6" i="1"/>
  <c r="R4" i="1"/>
  <c r="S4" i="1"/>
  <c r="R4008" i="1"/>
  <c r="S4008" i="1"/>
  <c r="R4000" i="1"/>
  <c r="S4000" i="1"/>
  <c r="R3992" i="1"/>
  <c r="S3992" i="1"/>
  <c r="R3984" i="1"/>
  <c r="S3984" i="1"/>
  <c r="R3976" i="1"/>
  <c r="S3976" i="1"/>
  <c r="R3968" i="1"/>
  <c r="S3968" i="1"/>
  <c r="R3960" i="1"/>
  <c r="S3960" i="1"/>
  <c r="R3952" i="1"/>
  <c r="S3952" i="1"/>
  <c r="R3944" i="1"/>
  <c r="S3944" i="1"/>
  <c r="R3936" i="1"/>
  <c r="S3936" i="1"/>
  <c r="R3928" i="1"/>
  <c r="S3928" i="1"/>
  <c r="R3920" i="1"/>
  <c r="S3920" i="1"/>
  <c r="R3912" i="1"/>
  <c r="S3912" i="1"/>
  <c r="R3904" i="1"/>
  <c r="S3904" i="1"/>
  <c r="R3896" i="1"/>
  <c r="S3896" i="1"/>
  <c r="R3888" i="1"/>
  <c r="S3888" i="1"/>
  <c r="R3880" i="1"/>
  <c r="S3880" i="1"/>
  <c r="R3872" i="1"/>
  <c r="S3872" i="1"/>
  <c r="R3864" i="1"/>
  <c r="S3864" i="1"/>
  <c r="R3856" i="1"/>
  <c r="S3856" i="1"/>
  <c r="R3848" i="1"/>
  <c r="S3848" i="1"/>
  <c r="R3840" i="1"/>
  <c r="S3840" i="1"/>
  <c r="R3832" i="1"/>
  <c r="S3832" i="1"/>
  <c r="R3824" i="1"/>
  <c r="S3824" i="1"/>
  <c r="R3816" i="1"/>
  <c r="S3816" i="1"/>
  <c r="R3808" i="1"/>
  <c r="S3808" i="1"/>
  <c r="R3800" i="1"/>
  <c r="S3800" i="1"/>
  <c r="R3792" i="1"/>
  <c r="S3792" i="1"/>
  <c r="R3784" i="1"/>
  <c r="S3784" i="1"/>
  <c r="R3776" i="1"/>
  <c r="S3776" i="1"/>
  <c r="R3768" i="1"/>
  <c r="S3768" i="1"/>
  <c r="R3760" i="1"/>
  <c r="S3760" i="1"/>
  <c r="R3752" i="1"/>
  <c r="S3752" i="1"/>
  <c r="R3744" i="1"/>
  <c r="S3744" i="1"/>
  <c r="R3736" i="1"/>
  <c r="S3736" i="1"/>
  <c r="R3728" i="1"/>
  <c r="S3728" i="1"/>
  <c r="R3720" i="1"/>
  <c r="S3720" i="1"/>
  <c r="R3712" i="1"/>
  <c r="S3712" i="1"/>
  <c r="R3704" i="1"/>
  <c r="S3704" i="1"/>
  <c r="R3696" i="1"/>
  <c r="S3696" i="1"/>
  <c r="R3688" i="1"/>
  <c r="S3688" i="1"/>
  <c r="R3680" i="1"/>
  <c r="S3680" i="1"/>
  <c r="R3672" i="1"/>
  <c r="S3672" i="1"/>
  <c r="R3664" i="1"/>
  <c r="S3664" i="1"/>
  <c r="R3656" i="1"/>
  <c r="S3656" i="1"/>
  <c r="R3648" i="1"/>
  <c r="S3648" i="1"/>
  <c r="R3640" i="1"/>
  <c r="S3640" i="1"/>
  <c r="R3632" i="1"/>
  <c r="S3632" i="1"/>
  <c r="R3624" i="1"/>
  <c r="S3624" i="1"/>
  <c r="R3616" i="1"/>
  <c r="S3616" i="1"/>
  <c r="R3608" i="1"/>
  <c r="S3608" i="1"/>
  <c r="R3600" i="1"/>
  <c r="S3600" i="1"/>
  <c r="R3592" i="1"/>
  <c r="S3592" i="1"/>
  <c r="R3584" i="1"/>
  <c r="S3584" i="1"/>
  <c r="R3576" i="1"/>
  <c r="S3576" i="1"/>
  <c r="R3568" i="1"/>
  <c r="S3568" i="1"/>
  <c r="R3560" i="1"/>
  <c r="S3560" i="1"/>
  <c r="R3552" i="1"/>
  <c r="S3552" i="1"/>
  <c r="R3544" i="1"/>
  <c r="S3544" i="1"/>
  <c r="R3536" i="1"/>
  <c r="S3536" i="1"/>
  <c r="R3528" i="1"/>
  <c r="S3528" i="1"/>
  <c r="R3520" i="1"/>
  <c r="S3520" i="1"/>
  <c r="R3512" i="1"/>
  <c r="S3512" i="1"/>
  <c r="R3504" i="1"/>
  <c r="S3504" i="1"/>
  <c r="R3496" i="1"/>
  <c r="S3496" i="1"/>
  <c r="R3488" i="1"/>
  <c r="S3488" i="1"/>
  <c r="R3480" i="1"/>
  <c r="S3480" i="1"/>
  <c r="R3472" i="1"/>
  <c r="S3472" i="1"/>
  <c r="R3464" i="1"/>
  <c r="S3464" i="1"/>
  <c r="R3456" i="1"/>
  <c r="S3456" i="1"/>
  <c r="R3448" i="1"/>
  <c r="S3448" i="1"/>
  <c r="R3440" i="1"/>
  <c r="S3440" i="1"/>
  <c r="R3432" i="1"/>
  <c r="S3432" i="1"/>
  <c r="R3424" i="1"/>
  <c r="S3424" i="1"/>
  <c r="R3416" i="1"/>
  <c r="S3416" i="1"/>
  <c r="R3408" i="1"/>
  <c r="S3408" i="1"/>
  <c r="R3400" i="1"/>
  <c r="S3400" i="1"/>
  <c r="R3392" i="1"/>
  <c r="S3392" i="1"/>
  <c r="R3384" i="1"/>
  <c r="S3384" i="1"/>
  <c r="R3376" i="1"/>
  <c r="S3376" i="1"/>
  <c r="R3368" i="1"/>
  <c r="S3368" i="1"/>
  <c r="R3360" i="1"/>
  <c r="S3360" i="1"/>
  <c r="R3352" i="1"/>
  <c r="S3352" i="1"/>
  <c r="R3344" i="1"/>
  <c r="S3344" i="1"/>
  <c r="R3336" i="1"/>
  <c r="S3336" i="1"/>
  <c r="R3328" i="1"/>
  <c r="S3328" i="1"/>
  <c r="R3320" i="1"/>
  <c r="S3320" i="1"/>
  <c r="R3312" i="1"/>
  <c r="S3312" i="1"/>
  <c r="R3304" i="1"/>
  <c r="S3304" i="1"/>
  <c r="R3296" i="1"/>
  <c r="S3296" i="1"/>
  <c r="R3288" i="1"/>
  <c r="S3288" i="1"/>
  <c r="R3280" i="1"/>
  <c r="S3280" i="1"/>
  <c r="R3272" i="1"/>
  <c r="S3272" i="1"/>
  <c r="R3264" i="1"/>
  <c r="S3264" i="1"/>
  <c r="R3256" i="1"/>
  <c r="S3256" i="1"/>
  <c r="R3248" i="1"/>
  <c r="S3248" i="1"/>
  <c r="R3240" i="1"/>
  <c r="S3240" i="1"/>
  <c r="R3232" i="1"/>
  <c r="S3232" i="1"/>
  <c r="R3224" i="1"/>
  <c r="S3224" i="1"/>
  <c r="R3216" i="1"/>
  <c r="S3216" i="1"/>
  <c r="R3208" i="1"/>
  <c r="S3208" i="1"/>
  <c r="R3200" i="1"/>
  <c r="S3200" i="1"/>
  <c r="R3192" i="1"/>
  <c r="S3192" i="1"/>
  <c r="R3184" i="1"/>
  <c r="S3184" i="1"/>
  <c r="R3176" i="1"/>
  <c r="S3176" i="1"/>
  <c r="R3168" i="1"/>
  <c r="S3168" i="1"/>
  <c r="R3160" i="1"/>
  <c r="S3160" i="1"/>
  <c r="R3152" i="1"/>
  <c r="S3152" i="1"/>
  <c r="R3144" i="1"/>
  <c r="S3144" i="1"/>
  <c r="R3136" i="1"/>
  <c r="S3136" i="1"/>
  <c r="R3128" i="1"/>
  <c r="S3128" i="1"/>
  <c r="R3120" i="1"/>
  <c r="S3120" i="1"/>
  <c r="R3112" i="1"/>
  <c r="S3112" i="1"/>
  <c r="R3104" i="1"/>
  <c r="S3104" i="1"/>
  <c r="R3096" i="1"/>
  <c r="S3096" i="1"/>
  <c r="R3088" i="1"/>
  <c r="S3088" i="1"/>
  <c r="R3080" i="1"/>
  <c r="S3080" i="1"/>
  <c r="R3072" i="1"/>
  <c r="S3072" i="1"/>
  <c r="R3064" i="1"/>
  <c r="S3064" i="1"/>
  <c r="R3056" i="1"/>
  <c r="S3056" i="1"/>
  <c r="R3048" i="1"/>
  <c r="S3048" i="1"/>
  <c r="R3040" i="1"/>
  <c r="S3040" i="1"/>
  <c r="R3032" i="1"/>
  <c r="S3032" i="1"/>
  <c r="R3024" i="1"/>
  <c r="S3024" i="1"/>
  <c r="R3016" i="1"/>
  <c r="S3016" i="1"/>
  <c r="R3008" i="1"/>
  <c r="S3008" i="1"/>
  <c r="R3000" i="1"/>
  <c r="S3000" i="1"/>
  <c r="R2992" i="1"/>
  <c r="S2992" i="1"/>
  <c r="R2984" i="1"/>
  <c r="S2984" i="1"/>
  <c r="R2976" i="1"/>
  <c r="S2976" i="1"/>
  <c r="R2968" i="1"/>
  <c r="S2968" i="1"/>
  <c r="R2960" i="1"/>
  <c r="S2960" i="1"/>
  <c r="R2952" i="1"/>
  <c r="S2952" i="1"/>
  <c r="R2944" i="1"/>
  <c r="S2944" i="1"/>
  <c r="R2936" i="1"/>
  <c r="S2936" i="1"/>
  <c r="R2928" i="1"/>
  <c r="S2928" i="1"/>
  <c r="R2920" i="1"/>
  <c r="S2920" i="1"/>
  <c r="R2912" i="1"/>
  <c r="S2912" i="1"/>
  <c r="R2904" i="1"/>
  <c r="S2904" i="1"/>
  <c r="R2896" i="1"/>
  <c r="S2896" i="1"/>
  <c r="R2888" i="1"/>
  <c r="S2888" i="1"/>
  <c r="R2880" i="1"/>
  <c r="S2880" i="1"/>
  <c r="R2872" i="1"/>
  <c r="S2872" i="1"/>
  <c r="R2864" i="1"/>
  <c r="S2864" i="1"/>
  <c r="R2856" i="1"/>
  <c r="S2856" i="1"/>
  <c r="R2848" i="1"/>
  <c r="S2848" i="1"/>
  <c r="R2840" i="1"/>
  <c r="S2840" i="1"/>
  <c r="R2832" i="1"/>
  <c r="S2832" i="1"/>
  <c r="R2824" i="1"/>
  <c r="S2824" i="1"/>
  <c r="R2816" i="1"/>
  <c r="S2816" i="1"/>
  <c r="R2808" i="1"/>
  <c r="S2808" i="1"/>
  <c r="R2800" i="1"/>
  <c r="S2800" i="1"/>
  <c r="R2792" i="1"/>
  <c r="S2792" i="1"/>
  <c r="R2784" i="1"/>
  <c r="S2784" i="1"/>
  <c r="R5001" i="1"/>
  <c r="S5001" i="1"/>
  <c r="R4999" i="1"/>
  <c r="S4999" i="1"/>
  <c r="R4997" i="1"/>
  <c r="S4997" i="1"/>
  <c r="R4995" i="1"/>
  <c r="S4995" i="1"/>
  <c r="R4993" i="1"/>
  <c r="S4993" i="1"/>
  <c r="R4991" i="1"/>
  <c r="S4991" i="1"/>
  <c r="R4989" i="1"/>
  <c r="S4989" i="1"/>
  <c r="R4987" i="1"/>
  <c r="S4987" i="1"/>
  <c r="R4985" i="1"/>
  <c r="S4985" i="1"/>
  <c r="R4983" i="1"/>
  <c r="S4983" i="1"/>
  <c r="R4981" i="1"/>
  <c r="S4981" i="1"/>
  <c r="R4979" i="1"/>
  <c r="S4979" i="1"/>
  <c r="R4977" i="1"/>
  <c r="S4977" i="1"/>
  <c r="R4975" i="1"/>
  <c r="S4975" i="1"/>
  <c r="R4973" i="1"/>
  <c r="S4973" i="1"/>
  <c r="R4971" i="1"/>
  <c r="S4971" i="1"/>
  <c r="R4969" i="1"/>
  <c r="S4969" i="1"/>
  <c r="R4967" i="1"/>
  <c r="S4967" i="1"/>
  <c r="R4965" i="1"/>
  <c r="S4965" i="1"/>
  <c r="R4963" i="1"/>
  <c r="S4963" i="1"/>
  <c r="R4961" i="1"/>
  <c r="S4961" i="1"/>
  <c r="R4959" i="1"/>
  <c r="S4959" i="1"/>
  <c r="R4957" i="1"/>
  <c r="S4957" i="1"/>
  <c r="R4955" i="1"/>
  <c r="S4955" i="1"/>
  <c r="R4953" i="1"/>
  <c r="S4953" i="1"/>
  <c r="R4951" i="1"/>
  <c r="S4951" i="1"/>
  <c r="R4949" i="1"/>
  <c r="S4949" i="1"/>
  <c r="R4947" i="1"/>
  <c r="S4947" i="1"/>
  <c r="R4945" i="1"/>
  <c r="S4945" i="1"/>
  <c r="R4943" i="1"/>
  <c r="S4943" i="1"/>
  <c r="R4941" i="1"/>
  <c r="S4941" i="1"/>
  <c r="R4939" i="1"/>
  <c r="S4939" i="1"/>
  <c r="R4937" i="1"/>
  <c r="S4937" i="1"/>
  <c r="R4935" i="1"/>
  <c r="S4935" i="1"/>
  <c r="R4933" i="1"/>
  <c r="S4933" i="1"/>
  <c r="R4931" i="1"/>
  <c r="S4931" i="1"/>
  <c r="R4929" i="1"/>
  <c r="S4929" i="1"/>
  <c r="R4927" i="1"/>
  <c r="S4927" i="1"/>
  <c r="R4925" i="1"/>
  <c r="S4925" i="1"/>
  <c r="R4923" i="1"/>
  <c r="S4923" i="1"/>
  <c r="R4921" i="1"/>
  <c r="S4921" i="1"/>
  <c r="R4919" i="1"/>
  <c r="S4919" i="1"/>
  <c r="R4917" i="1"/>
  <c r="S4917" i="1"/>
  <c r="R4915" i="1"/>
  <c r="S4915" i="1"/>
  <c r="R4913" i="1"/>
  <c r="S4913" i="1"/>
  <c r="R4911" i="1"/>
  <c r="S4911" i="1"/>
  <c r="R4909" i="1"/>
  <c r="S4909" i="1"/>
  <c r="R4907" i="1"/>
  <c r="S4907" i="1"/>
  <c r="R4905" i="1"/>
  <c r="S4905" i="1"/>
  <c r="R4903" i="1"/>
  <c r="S4903" i="1"/>
  <c r="R4901" i="1"/>
  <c r="S4901" i="1"/>
  <c r="R4899" i="1"/>
  <c r="S4899" i="1"/>
  <c r="R4897" i="1"/>
  <c r="S4897" i="1"/>
  <c r="R4895" i="1"/>
  <c r="S4895" i="1"/>
  <c r="R4893" i="1"/>
  <c r="S4893" i="1"/>
  <c r="R4891" i="1"/>
  <c r="S4891" i="1"/>
  <c r="R4889" i="1"/>
  <c r="S4889" i="1"/>
  <c r="R4887" i="1"/>
  <c r="S4887" i="1"/>
  <c r="R4885" i="1"/>
  <c r="S4885" i="1"/>
  <c r="R4883" i="1"/>
  <c r="S4883" i="1"/>
  <c r="R4881" i="1"/>
  <c r="S4881" i="1"/>
  <c r="R4879" i="1"/>
  <c r="S4879" i="1"/>
  <c r="R4877" i="1"/>
  <c r="S4877" i="1"/>
  <c r="R4875" i="1"/>
  <c r="S4875" i="1"/>
  <c r="R4873" i="1"/>
  <c r="S4873" i="1"/>
  <c r="R4871" i="1"/>
  <c r="S4871" i="1"/>
  <c r="R4869" i="1"/>
  <c r="S4869" i="1"/>
  <c r="R4867" i="1"/>
  <c r="S4867" i="1"/>
  <c r="R4865" i="1"/>
  <c r="S4865" i="1"/>
  <c r="R4863" i="1"/>
  <c r="S4863" i="1"/>
  <c r="R4861" i="1"/>
  <c r="S4861" i="1"/>
  <c r="R4859" i="1"/>
  <c r="S4859" i="1"/>
  <c r="R4857" i="1"/>
  <c r="S4857" i="1"/>
  <c r="R4855" i="1"/>
  <c r="S4855" i="1"/>
  <c r="R4853" i="1"/>
  <c r="S4853" i="1"/>
  <c r="R4851" i="1"/>
  <c r="S4851" i="1"/>
  <c r="R4849" i="1"/>
  <c r="S4849" i="1"/>
  <c r="R4847" i="1"/>
  <c r="S4847" i="1"/>
  <c r="R4845" i="1"/>
  <c r="S4845" i="1"/>
  <c r="R4843" i="1"/>
  <c r="S4843" i="1"/>
  <c r="R4841" i="1"/>
  <c r="S4841" i="1"/>
  <c r="R4839" i="1"/>
  <c r="S4839" i="1"/>
  <c r="R4837" i="1"/>
  <c r="S4837" i="1"/>
  <c r="R4835" i="1"/>
  <c r="S4835" i="1"/>
  <c r="R4833" i="1"/>
  <c r="S4833" i="1"/>
  <c r="R4831" i="1"/>
  <c r="S4831" i="1"/>
  <c r="R4829" i="1"/>
  <c r="S4829" i="1"/>
  <c r="R4827" i="1"/>
  <c r="S4827" i="1"/>
  <c r="R4825" i="1"/>
  <c r="S4825" i="1"/>
  <c r="R4823" i="1"/>
  <c r="S4823" i="1"/>
  <c r="R4821" i="1"/>
  <c r="S4821" i="1"/>
  <c r="R4819" i="1"/>
  <c r="S4819" i="1"/>
  <c r="R4817" i="1"/>
  <c r="S4817" i="1"/>
  <c r="R4815" i="1"/>
  <c r="S4815" i="1"/>
  <c r="R4813" i="1"/>
  <c r="S4813" i="1"/>
  <c r="R4811" i="1"/>
  <c r="S4811" i="1"/>
  <c r="R4809" i="1"/>
  <c r="S4809" i="1"/>
  <c r="R4807" i="1"/>
  <c r="S4807" i="1"/>
  <c r="R4805" i="1"/>
  <c r="S4805" i="1"/>
  <c r="R4803" i="1"/>
  <c r="S4803" i="1"/>
  <c r="R4801" i="1"/>
  <c r="S4801" i="1"/>
  <c r="R4799" i="1"/>
  <c r="S4799" i="1"/>
  <c r="R4797" i="1"/>
  <c r="S4797" i="1"/>
  <c r="R4795" i="1"/>
  <c r="S4795" i="1"/>
  <c r="R4793" i="1"/>
  <c r="S4793" i="1"/>
  <c r="R4791" i="1"/>
  <c r="S4791" i="1"/>
  <c r="R4789" i="1"/>
  <c r="S4789" i="1"/>
  <c r="R4787" i="1"/>
  <c r="S4787" i="1"/>
  <c r="R4785" i="1"/>
  <c r="S4785" i="1"/>
  <c r="R4783" i="1"/>
  <c r="S4783" i="1"/>
  <c r="R4781" i="1"/>
  <c r="S4781" i="1"/>
  <c r="R4779" i="1"/>
  <c r="S4779" i="1"/>
  <c r="R4777" i="1"/>
  <c r="S4777" i="1"/>
  <c r="R4775" i="1"/>
  <c r="S4775" i="1"/>
  <c r="R4773" i="1"/>
  <c r="S4773" i="1"/>
  <c r="R4771" i="1"/>
  <c r="S4771" i="1"/>
  <c r="R4769" i="1"/>
  <c r="S4769" i="1"/>
  <c r="R4767" i="1"/>
  <c r="S4767" i="1"/>
  <c r="R4765" i="1"/>
  <c r="S4765" i="1"/>
  <c r="R4763" i="1"/>
  <c r="S4763" i="1"/>
  <c r="R4761" i="1"/>
  <c r="S4761" i="1"/>
  <c r="R4759" i="1"/>
  <c r="S4759" i="1"/>
  <c r="R4757" i="1"/>
  <c r="S4757" i="1"/>
  <c r="R4755" i="1"/>
  <c r="S4755" i="1"/>
  <c r="R4753" i="1"/>
  <c r="S4753" i="1"/>
  <c r="R4751" i="1"/>
  <c r="S4751" i="1"/>
  <c r="R4749" i="1"/>
  <c r="S4749" i="1"/>
  <c r="R4747" i="1"/>
  <c r="S4747" i="1"/>
  <c r="R4745" i="1"/>
  <c r="S4745" i="1"/>
  <c r="R4743" i="1"/>
  <c r="S4743" i="1"/>
  <c r="R4741" i="1"/>
  <c r="S4741" i="1"/>
  <c r="R4739" i="1"/>
  <c r="S4739" i="1"/>
  <c r="R4737" i="1"/>
  <c r="S4737" i="1"/>
  <c r="R4735" i="1"/>
  <c r="S4735" i="1"/>
  <c r="R4733" i="1"/>
  <c r="S4733" i="1"/>
  <c r="R4731" i="1"/>
  <c r="S4731" i="1"/>
  <c r="R4729" i="1"/>
  <c r="S4729" i="1"/>
  <c r="R4727" i="1"/>
  <c r="S4727" i="1"/>
  <c r="R4725" i="1"/>
  <c r="S4725" i="1"/>
  <c r="R4723" i="1"/>
  <c r="S4723" i="1"/>
  <c r="R4721" i="1"/>
  <c r="S4721" i="1"/>
  <c r="R4719" i="1"/>
  <c r="S4719" i="1"/>
  <c r="R4717" i="1"/>
  <c r="S4717" i="1"/>
  <c r="R4715" i="1"/>
  <c r="S4715" i="1"/>
  <c r="R4713" i="1"/>
  <c r="S4713" i="1"/>
  <c r="R4711" i="1"/>
  <c r="S4711" i="1"/>
  <c r="R4709" i="1"/>
  <c r="S4709" i="1"/>
  <c r="R4707" i="1"/>
  <c r="S4707" i="1"/>
  <c r="R4705" i="1"/>
  <c r="S4705" i="1"/>
  <c r="R4703" i="1"/>
  <c r="S4703" i="1"/>
  <c r="R4701" i="1"/>
  <c r="S4701" i="1"/>
  <c r="R4699" i="1"/>
  <c r="S4699" i="1"/>
  <c r="R4697" i="1"/>
  <c r="S4697" i="1"/>
  <c r="R4695" i="1"/>
  <c r="S4695" i="1"/>
  <c r="R4693" i="1"/>
  <c r="S4693" i="1"/>
  <c r="R4691" i="1"/>
  <c r="S4691" i="1"/>
  <c r="R4689" i="1"/>
  <c r="S4689" i="1"/>
  <c r="R4687" i="1"/>
  <c r="S4687" i="1"/>
  <c r="R4685" i="1"/>
  <c r="S4685" i="1"/>
  <c r="R4683" i="1"/>
  <c r="S4683" i="1"/>
  <c r="R4681" i="1"/>
  <c r="S4681" i="1"/>
  <c r="R4679" i="1"/>
  <c r="S4679" i="1"/>
  <c r="R4677" i="1"/>
  <c r="S4677" i="1"/>
  <c r="R4675" i="1"/>
  <c r="S4675" i="1"/>
  <c r="R4673" i="1"/>
  <c r="S4673" i="1"/>
  <c r="R4671" i="1"/>
  <c r="S4671" i="1"/>
  <c r="R4669" i="1"/>
  <c r="S4669" i="1"/>
  <c r="R4667" i="1"/>
  <c r="S4667" i="1"/>
  <c r="R4665" i="1"/>
  <c r="S4665" i="1"/>
  <c r="R4663" i="1"/>
  <c r="S4663" i="1"/>
  <c r="R4661" i="1"/>
  <c r="S4661" i="1"/>
  <c r="R4659" i="1"/>
  <c r="S4659" i="1"/>
  <c r="R4657" i="1"/>
  <c r="S4657" i="1"/>
  <c r="R4655" i="1"/>
  <c r="S4655" i="1"/>
  <c r="R4653" i="1"/>
  <c r="S4653" i="1"/>
  <c r="R4651" i="1"/>
  <c r="S4651" i="1"/>
  <c r="R4649" i="1"/>
  <c r="S4649" i="1"/>
  <c r="R4647" i="1"/>
  <c r="S4647" i="1"/>
  <c r="R4645" i="1"/>
  <c r="S4645" i="1"/>
  <c r="R4643" i="1"/>
  <c r="S4643" i="1"/>
  <c r="R4641" i="1"/>
  <c r="S4641" i="1"/>
  <c r="R4639" i="1"/>
  <c r="S4639" i="1"/>
  <c r="R4637" i="1"/>
  <c r="S4637" i="1"/>
  <c r="R4635" i="1"/>
  <c r="S4635" i="1"/>
  <c r="R4633" i="1"/>
  <c r="S4633" i="1"/>
  <c r="R4631" i="1"/>
  <c r="S4631" i="1"/>
  <c r="R4629" i="1"/>
  <c r="S4629" i="1"/>
  <c r="R4627" i="1"/>
  <c r="S4627" i="1"/>
  <c r="R4625" i="1"/>
  <c r="S4625" i="1"/>
  <c r="R4623" i="1"/>
  <c r="S4623" i="1"/>
  <c r="R4621" i="1"/>
  <c r="S4621" i="1"/>
  <c r="R4619" i="1"/>
  <c r="S4619" i="1"/>
  <c r="R4617" i="1"/>
  <c r="S4617" i="1"/>
  <c r="R4615" i="1"/>
  <c r="S4615" i="1"/>
  <c r="R4613" i="1"/>
  <c r="S4613" i="1"/>
  <c r="R4611" i="1"/>
  <c r="S4611" i="1"/>
  <c r="R4609" i="1"/>
  <c r="S4609" i="1"/>
  <c r="R4607" i="1"/>
  <c r="S4607" i="1"/>
  <c r="R4605" i="1"/>
  <c r="S4605" i="1"/>
  <c r="R4603" i="1"/>
  <c r="S4603" i="1"/>
  <c r="R4601" i="1"/>
  <c r="S4601" i="1"/>
  <c r="R4599" i="1"/>
  <c r="S4599" i="1"/>
  <c r="R4597" i="1"/>
  <c r="S4597" i="1"/>
  <c r="R4595" i="1"/>
  <c r="S4595" i="1"/>
  <c r="R4593" i="1"/>
  <c r="S4593" i="1"/>
  <c r="R4591" i="1"/>
  <c r="S4591" i="1"/>
  <c r="R4589" i="1"/>
  <c r="S4589" i="1"/>
  <c r="R4587" i="1"/>
  <c r="S4587" i="1"/>
  <c r="R4585" i="1"/>
  <c r="S4585" i="1"/>
  <c r="R4583" i="1"/>
  <c r="S4583" i="1"/>
  <c r="R4581" i="1"/>
  <c r="S4581" i="1"/>
  <c r="R4579" i="1"/>
  <c r="S4579" i="1"/>
  <c r="R4577" i="1"/>
  <c r="S4577" i="1"/>
  <c r="R4575" i="1"/>
  <c r="S4575" i="1"/>
  <c r="R4573" i="1"/>
  <c r="S4573" i="1"/>
  <c r="R4571" i="1"/>
  <c r="S4571" i="1"/>
  <c r="R4569" i="1"/>
  <c r="S4569" i="1"/>
  <c r="R4567" i="1"/>
  <c r="S4567" i="1"/>
  <c r="R4565" i="1"/>
  <c r="S4565" i="1"/>
  <c r="R4563" i="1"/>
  <c r="S4563" i="1"/>
  <c r="R4561" i="1"/>
  <c r="S4561" i="1"/>
  <c r="R4559" i="1"/>
  <c r="S4559" i="1"/>
  <c r="R4557" i="1"/>
  <c r="S4557" i="1"/>
  <c r="R4555" i="1"/>
  <c r="S4555" i="1"/>
  <c r="R4553" i="1"/>
  <c r="S4553" i="1"/>
  <c r="R4551" i="1"/>
  <c r="S4551" i="1"/>
  <c r="R4549" i="1"/>
  <c r="S4549" i="1"/>
  <c r="R4547" i="1"/>
  <c r="S4547" i="1"/>
  <c r="R4545" i="1"/>
  <c r="S4545" i="1"/>
  <c r="R4543" i="1"/>
  <c r="S4543" i="1"/>
  <c r="R4541" i="1"/>
  <c r="S4541" i="1"/>
  <c r="R4539" i="1"/>
  <c r="S4539" i="1"/>
  <c r="R4537" i="1"/>
  <c r="S4537" i="1"/>
  <c r="R4535" i="1"/>
  <c r="S4535" i="1"/>
  <c r="R4533" i="1"/>
  <c r="S4533" i="1"/>
  <c r="R4531" i="1"/>
  <c r="S4531" i="1"/>
  <c r="R4529" i="1"/>
  <c r="S4529" i="1"/>
  <c r="R4527" i="1"/>
  <c r="S4527" i="1"/>
  <c r="R4525" i="1"/>
  <c r="S4525" i="1"/>
  <c r="R4523" i="1"/>
  <c r="S4523" i="1"/>
  <c r="R4521" i="1"/>
  <c r="S4521" i="1"/>
  <c r="R4519" i="1"/>
  <c r="S4519" i="1"/>
  <c r="R4517" i="1"/>
  <c r="S4517" i="1"/>
  <c r="R4515" i="1"/>
  <c r="S4515" i="1"/>
  <c r="R4513" i="1"/>
  <c r="S4513" i="1"/>
  <c r="R4511" i="1"/>
  <c r="S4511" i="1"/>
  <c r="R4509" i="1"/>
  <c r="S4509" i="1"/>
  <c r="R4507" i="1"/>
  <c r="S4507" i="1"/>
  <c r="R4505" i="1"/>
  <c r="S4505" i="1"/>
  <c r="R4503" i="1"/>
  <c r="S4503" i="1"/>
  <c r="R4501" i="1"/>
  <c r="S4501" i="1"/>
  <c r="R4499" i="1"/>
  <c r="S4499" i="1"/>
  <c r="R4497" i="1"/>
  <c r="S4497" i="1"/>
  <c r="R4495" i="1"/>
  <c r="S4495" i="1"/>
  <c r="R4493" i="1"/>
  <c r="S4493" i="1"/>
  <c r="R4491" i="1"/>
  <c r="S4491" i="1"/>
  <c r="R4489" i="1"/>
  <c r="S4489" i="1"/>
  <c r="R4487" i="1"/>
  <c r="S4487" i="1"/>
  <c r="R4485" i="1"/>
  <c r="S4485" i="1"/>
  <c r="R4483" i="1"/>
  <c r="S4483" i="1"/>
  <c r="R4481" i="1"/>
  <c r="S4481" i="1"/>
  <c r="R4479" i="1"/>
  <c r="S4479" i="1"/>
  <c r="R4477" i="1"/>
  <c r="S4477" i="1"/>
  <c r="R4475" i="1"/>
  <c r="S4475" i="1"/>
  <c r="R4473" i="1"/>
  <c r="S4473" i="1"/>
  <c r="R4471" i="1"/>
  <c r="S4471" i="1"/>
  <c r="R4469" i="1"/>
  <c r="S4469" i="1"/>
  <c r="R4467" i="1"/>
  <c r="S4467" i="1"/>
  <c r="R4465" i="1"/>
  <c r="S4465" i="1"/>
  <c r="R4463" i="1"/>
  <c r="S4463" i="1"/>
  <c r="R4461" i="1"/>
  <c r="S4461" i="1"/>
  <c r="R4459" i="1"/>
  <c r="S4459" i="1"/>
  <c r="R4457" i="1"/>
  <c r="S4457" i="1"/>
  <c r="R4455" i="1"/>
  <c r="S4455" i="1"/>
  <c r="R4453" i="1"/>
  <c r="S4453" i="1"/>
  <c r="R4451" i="1"/>
  <c r="S4451" i="1"/>
  <c r="R4449" i="1"/>
  <c r="S4449" i="1"/>
  <c r="R4447" i="1"/>
  <c r="S4447" i="1"/>
  <c r="R4445" i="1"/>
  <c r="S4445" i="1"/>
  <c r="R4443" i="1"/>
  <c r="S4443" i="1"/>
  <c r="R4441" i="1"/>
  <c r="S4441" i="1"/>
  <c r="R4439" i="1"/>
  <c r="S4439" i="1"/>
  <c r="R4437" i="1"/>
  <c r="S4437" i="1"/>
  <c r="R4435" i="1"/>
  <c r="S4435" i="1"/>
  <c r="R4433" i="1"/>
  <c r="S4433" i="1"/>
  <c r="R4431" i="1"/>
  <c r="S4431" i="1"/>
  <c r="R4429" i="1"/>
  <c r="S4429" i="1"/>
  <c r="R4427" i="1"/>
  <c r="S4427" i="1"/>
  <c r="R4425" i="1"/>
  <c r="S4425" i="1"/>
  <c r="R4423" i="1"/>
  <c r="S4423" i="1"/>
  <c r="R4421" i="1"/>
  <c r="S4421" i="1"/>
  <c r="R4419" i="1"/>
  <c r="S4419" i="1"/>
  <c r="R4417" i="1"/>
  <c r="S4417" i="1"/>
  <c r="R4415" i="1"/>
  <c r="S4415" i="1"/>
  <c r="R4413" i="1"/>
  <c r="S4413" i="1"/>
  <c r="R4411" i="1"/>
  <c r="S4411" i="1"/>
  <c r="R4409" i="1"/>
  <c r="S4409" i="1"/>
  <c r="R4407" i="1"/>
  <c r="S4407" i="1"/>
  <c r="R4405" i="1"/>
  <c r="S4405" i="1"/>
  <c r="R4403" i="1"/>
  <c r="S4403" i="1"/>
  <c r="R4401" i="1"/>
  <c r="S4401" i="1"/>
  <c r="R4399" i="1"/>
  <c r="S4399" i="1"/>
  <c r="R4397" i="1"/>
  <c r="S4397" i="1"/>
  <c r="R4395" i="1"/>
  <c r="S4395" i="1"/>
  <c r="R4393" i="1"/>
  <c r="S4393" i="1"/>
  <c r="R4391" i="1"/>
  <c r="S4391" i="1"/>
  <c r="R4389" i="1"/>
  <c r="S4389" i="1"/>
  <c r="R4387" i="1"/>
  <c r="S4387" i="1"/>
  <c r="R4385" i="1"/>
  <c r="S4385" i="1"/>
  <c r="R4383" i="1"/>
  <c r="S4383" i="1"/>
  <c r="R4381" i="1"/>
  <c r="S4381" i="1"/>
  <c r="R4379" i="1"/>
  <c r="S4379" i="1"/>
  <c r="R4377" i="1"/>
  <c r="S4377" i="1"/>
  <c r="R4375" i="1"/>
  <c r="S4375" i="1"/>
  <c r="R4373" i="1"/>
  <c r="S4373" i="1"/>
  <c r="R4371" i="1"/>
  <c r="S4371" i="1"/>
  <c r="R4369" i="1"/>
  <c r="S4369" i="1"/>
  <c r="R4367" i="1"/>
  <c r="S4367" i="1"/>
  <c r="R4365" i="1"/>
  <c r="S4365" i="1"/>
  <c r="R4363" i="1"/>
  <c r="S4363" i="1"/>
  <c r="R4361" i="1"/>
  <c r="S4361" i="1"/>
  <c r="R4359" i="1"/>
  <c r="S4359" i="1"/>
  <c r="R4357" i="1"/>
  <c r="S4357" i="1"/>
  <c r="R4355" i="1"/>
  <c r="S4355" i="1"/>
  <c r="R4353" i="1"/>
  <c r="S4353" i="1"/>
  <c r="R4351" i="1"/>
  <c r="S4351" i="1"/>
  <c r="R4349" i="1"/>
  <c r="S4349" i="1"/>
  <c r="R4347" i="1"/>
  <c r="S4347" i="1"/>
  <c r="R4345" i="1"/>
  <c r="S4345" i="1"/>
  <c r="R4343" i="1"/>
  <c r="S4343" i="1"/>
  <c r="R4341" i="1"/>
  <c r="S4341" i="1"/>
  <c r="R4339" i="1"/>
  <c r="S4339" i="1"/>
  <c r="R4337" i="1"/>
  <c r="S4337" i="1"/>
  <c r="R4335" i="1"/>
  <c r="S4335" i="1"/>
  <c r="R4333" i="1"/>
  <c r="S4333" i="1"/>
  <c r="R4331" i="1"/>
  <c r="S4331" i="1"/>
  <c r="R4329" i="1"/>
  <c r="S4329" i="1"/>
  <c r="R4327" i="1"/>
  <c r="S4327" i="1"/>
  <c r="R4325" i="1"/>
  <c r="S4325" i="1"/>
  <c r="R4323" i="1"/>
  <c r="S4323" i="1"/>
  <c r="R4321" i="1"/>
  <c r="S4321" i="1"/>
  <c r="R4319" i="1"/>
  <c r="S4319" i="1"/>
  <c r="R4317" i="1"/>
  <c r="S4317" i="1"/>
  <c r="R4315" i="1"/>
  <c r="S4315" i="1"/>
  <c r="R4313" i="1"/>
  <c r="S4313" i="1"/>
  <c r="R4311" i="1"/>
  <c r="S4311" i="1"/>
  <c r="R4309" i="1"/>
  <c r="S4309" i="1"/>
  <c r="R4307" i="1"/>
  <c r="S4307" i="1"/>
  <c r="R4305" i="1"/>
  <c r="S4305" i="1"/>
  <c r="R4303" i="1"/>
  <c r="S4303" i="1"/>
  <c r="R4301" i="1"/>
  <c r="S4301" i="1"/>
  <c r="R4299" i="1"/>
  <c r="S4299" i="1"/>
  <c r="R4297" i="1"/>
  <c r="S4297" i="1"/>
  <c r="R4295" i="1"/>
  <c r="S4295" i="1"/>
  <c r="R4293" i="1"/>
  <c r="S4293" i="1"/>
  <c r="R4291" i="1"/>
  <c r="S4291" i="1"/>
  <c r="R4289" i="1"/>
  <c r="S4289" i="1"/>
  <c r="R4287" i="1"/>
  <c r="S4287" i="1"/>
  <c r="R4285" i="1"/>
  <c r="S4285" i="1"/>
  <c r="R4283" i="1"/>
  <c r="S4283" i="1"/>
  <c r="R4281" i="1"/>
  <c r="S4281" i="1"/>
  <c r="R4279" i="1"/>
  <c r="S4279" i="1"/>
  <c r="R4277" i="1"/>
  <c r="S4277" i="1"/>
  <c r="R4275" i="1"/>
  <c r="S4275" i="1"/>
  <c r="R4273" i="1"/>
  <c r="S4273" i="1"/>
  <c r="R4271" i="1"/>
  <c r="S4271" i="1"/>
  <c r="R4269" i="1"/>
  <c r="S4269" i="1"/>
  <c r="R4267" i="1"/>
  <c r="S4267" i="1"/>
  <c r="R4265" i="1"/>
  <c r="S4265" i="1"/>
  <c r="R4263" i="1"/>
  <c r="S4263" i="1"/>
  <c r="R4261" i="1"/>
  <c r="S4261" i="1"/>
  <c r="R4259" i="1"/>
  <c r="S4259" i="1"/>
  <c r="R4257" i="1"/>
  <c r="S4257" i="1"/>
  <c r="R4255" i="1"/>
  <c r="S4255" i="1"/>
  <c r="R4253" i="1"/>
  <c r="S4253" i="1"/>
  <c r="R4251" i="1"/>
  <c r="S4251" i="1"/>
  <c r="R4249" i="1"/>
  <c r="S4249" i="1"/>
  <c r="R4247" i="1"/>
  <c r="S4247" i="1"/>
  <c r="R4245" i="1"/>
  <c r="S4245" i="1"/>
  <c r="R4243" i="1"/>
  <c r="S4243" i="1"/>
  <c r="R4241" i="1"/>
  <c r="S4241" i="1"/>
  <c r="R4239" i="1"/>
  <c r="S4239" i="1"/>
  <c r="R4237" i="1"/>
  <c r="S4237" i="1"/>
  <c r="R4235" i="1"/>
  <c r="S4235" i="1"/>
  <c r="R4233" i="1"/>
  <c r="S4233" i="1"/>
  <c r="R4231" i="1"/>
  <c r="S4231" i="1"/>
  <c r="R4229" i="1"/>
  <c r="S4229" i="1"/>
  <c r="R4227" i="1"/>
  <c r="S4227" i="1"/>
  <c r="R4225" i="1"/>
  <c r="S4225" i="1"/>
  <c r="R4223" i="1"/>
  <c r="S4223" i="1"/>
  <c r="R4221" i="1"/>
  <c r="S4221" i="1"/>
  <c r="R4219" i="1"/>
  <c r="S4219" i="1"/>
  <c r="R4217" i="1"/>
  <c r="S4217" i="1"/>
  <c r="R4215" i="1"/>
  <c r="S4215" i="1"/>
  <c r="R4213" i="1"/>
  <c r="S4213" i="1"/>
  <c r="R4211" i="1"/>
  <c r="S4211" i="1"/>
  <c r="R4209" i="1"/>
  <c r="S4209" i="1"/>
  <c r="R4207" i="1"/>
  <c r="S4207" i="1"/>
  <c r="R4205" i="1"/>
  <c r="S4205" i="1"/>
  <c r="R4203" i="1"/>
  <c r="S4203" i="1"/>
  <c r="R4201" i="1"/>
  <c r="S4201" i="1"/>
  <c r="R4199" i="1"/>
  <c r="S4199" i="1"/>
  <c r="R4197" i="1"/>
  <c r="S4197" i="1"/>
  <c r="R4195" i="1"/>
  <c r="S4195" i="1"/>
  <c r="R4193" i="1"/>
  <c r="S4193" i="1"/>
  <c r="R4191" i="1"/>
  <c r="S4191" i="1"/>
  <c r="R4189" i="1"/>
  <c r="S4189" i="1"/>
  <c r="R4187" i="1"/>
  <c r="S4187" i="1"/>
  <c r="R4185" i="1"/>
  <c r="S4185" i="1"/>
  <c r="R4183" i="1"/>
  <c r="S4183" i="1"/>
  <c r="R4181" i="1"/>
  <c r="S4181" i="1"/>
  <c r="R4179" i="1"/>
  <c r="S4179" i="1"/>
  <c r="R4177" i="1"/>
  <c r="S4177" i="1"/>
  <c r="R4175" i="1"/>
  <c r="S4175" i="1"/>
  <c r="R4173" i="1"/>
  <c r="S4173" i="1"/>
  <c r="R4171" i="1"/>
  <c r="S4171" i="1"/>
  <c r="R4169" i="1"/>
  <c r="S4169" i="1"/>
  <c r="R4167" i="1"/>
  <c r="S4167" i="1"/>
  <c r="R4165" i="1"/>
  <c r="S4165" i="1"/>
  <c r="R4163" i="1"/>
  <c r="S4163" i="1"/>
  <c r="R4161" i="1"/>
  <c r="S4161" i="1"/>
  <c r="R4159" i="1"/>
  <c r="S4159" i="1"/>
  <c r="R4157" i="1"/>
  <c r="S4157" i="1"/>
  <c r="R4155" i="1"/>
  <c r="S4155" i="1"/>
  <c r="R4153" i="1"/>
  <c r="S4153" i="1"/>
  <c r="R4151" i="1"/>
  <c r="S4151" i="1"/>
  <c r="R4149" i="1"/>
  <c r="S4149" i="1"/>
  <c r="R4147" i="1"/>
  <c r="S4147" i="1"/>
  <c r="R4145" i="1"/>
  <c r="S4145" i="1"/>
  <c r="R4143" i="1"/>
  <c r="S4143" i="1"/>
  <c r="R4141" i="1"/>
  <c r="S4141" i="1"/>
  <c r="R4139" i="1"/>
  <c r="S4139" i="1"/>
  <c r="R4137" i="1"/>
  <c r="S4137" i="1"/>
  <c r="R4135" i="1"/>
  <c r="S4135" i="1"/>
  <c r="R4133" i="1"/>
  <c r="S4133" i="1"/>
  <c r="R4131" i="1"/>
  <c r="S4131" i="1"/>
  <c r="R4129" i="1"/>
  <c r="S4129" i="1"/>
  <c r="R4127" i="1"/>
  <c r="S4127" i="1"/>
  <c r="R4125" i="1"/>
  <c r="S4125" i="1"/>
  <c r="R4123" i="1"/>
  <c r="S4123" i="1"/>
  <c r="R4121" i="1"/>
  <c r="S4121" i="1"/>
  <c r="R4119" i="1"/>
  <c r="S4119" i="1"/>
  <c r="R4117" i="1"/>
  <c r="S4117" i="1"/>
  <c r="R4115" i="1"/>
  <c r="S4115" i="1"/>
  <c r="R4113" i="1"/>
  <c r="S4113" i="1"/>
  <c r="R4111" i="1"/>
  <c r="S4111" i="1"/>
  <c r="R4109" i="1"/>
  <c r="S4109" i="1"/>
  <c r="R4107" i="1"/>
  <c r="S4107" i="1"/>
  <c r="R4105" i="1"/>
  <c r="S4105" i="1"/>
  <c r="R4103" i="1"/>
  <c r="S4103" i="1"/>
  <c r="R4101" i="1"/>
  <c r="S4101" i="1"/>
  <c r="R4099" i="1"/>
  <c r="S4099" i="1"/>
  <c r="R4097" i="1"/>
  <c r="S4097" i="1"/>
  <c r="R4095" i="1"/>
  <c r="S4095" i="1"/>
  <c r="R4093" i="1"/>
  <c r="S4093" i="1"/>
  <c r="R4091" i="1"/>
  <c r="S4091" i="1"/>
  <c r="R4089" i="1"/>
  <c r="S4089" i="1"/>
  <c r="R4087" i="1"/>
  <c r="S4087" i="1"/>
  <c r="R4085" i="1"/>
  <c r="S4085" i="1"/>
  <c r="R4083" i="1"/>
  <c r="S4083" i="1"/>
  <c r="R4081" i="1"/>
  <c r="S4081" i="1"/>
  <c r="R4079" i="1"/>
  <c r="S4079" i="1"/>
  <c r="R4077" i="1"/>
  <c r="S4077" i="1"/>
  <c r="R4075" i="1"/>
  <c r="S4075" i="1"/>
  <c r="R4073" i="1"/>
  <c r="S4073" i="1"/>
  <c r="R4071" i="1"/>
  <c r="S4071" i="1"/>
  <c r="R4069" i="1"/>
  <c r="S4069" i="1"/>
  <c r="R4067" i="1"/>
  <c r="S4067" i="1"/>
  <c r="R4065" i="1"/>
  <c r="S4065" i="1"/>
  <c r="R4063" i="1"/>
  <c r="S4063" i="1"/>
  <c r="R4061" i="1"/>
  <c r="S4061" i="1"/>
  <c r="R4059" i="1"/>
  <c r="S4059" i="1"/>
  <c r="R4057" i="1"/>
  <c r="S4057" i="1"/>
  <c r="R4055" i="1"/>
  <c r="S4055" i="1"/>
  <c r="R4053" i="1"/>
  <c r="S4053" i="1"/>
  <c r="R4051" i="1"/>
  <c r="S4051" i="1"/>
  <c r="R4049" i="1"/>
  <c r="S4049" i="1"/>
  <c r="R4047" i="1"/>
  <c r="S4047" i="1"/>
  <c r="R4045" i="1"/>
  <c r="S4045" i="1"/>
  <c r="R4043" i="1"/>
  <c r="S4043" i="1"/>
  <c r="R4041" i="1"/>
  <c r="S4041" i="1"/>
  <c r="R4039" i="1"/>
  <c r="S4039" i="1"/>
  <c r="R4037" i="1"/>
  <c r="S4037" i="1"/>
  <c r="R4035" i="1"/>
  <c r="S4035" i="1"/>
  <c r="R4033" i="1"/>
  <c r="S4033" i="1"/>
  <c r="R4031" i="1"/>
  <c r="S4031" i="1"/>
  <c r="R4029" i="1"/>
  <c r="S4029" i="1"/>
  <c r="R4027" i="1"/>
  <c r="S4027" i="1"/>
  <c r="R4025" i="1"/>
  <c r="S4025" i="1"/>
  <c r="R4023" i="1"/>
  <c r="S4023" i="1"/>
  <c r="R4021" i="1"/>
  <c r="S4021" i="1"/>
  <c r="R4019" i="1"/>
  <c r="S4019" i="1"/>
  <c r="R4017" i="1"/>
  <c r="S4017" i="1"/>
  <c r="R4015" i="1"/>
  <c r="S4015" i="1"/>
  <c r="R4013" i="1"/>
  <c r="S4013" i="1"/>
  <c r="R4011" i="1"/>
  <c r="S4011" i="1"/>
  <c r="R4009" i="1"/>
  <c r="S4009" i="1"/>
  <c r="R4007" i="1"/>
  <c r="S4007" i="1"/>
  <c r="R4005" i="1"/>
  <c r="S4005" i="1"/>
  <c r="R4003" i="1"/>
  <c r="S4003" i="1"/>
  <c r="R4001" i="1"/>
  <c r="S4001" i="1"/>
  <c r="R3999" i="1"/>
  <c r="S3999" i="1"/>
  <c r="R3997" i="1"/>
  <c r="S3997" i="1"/>
  <c r="R3995" i="1"/>
  <c r="S3995" i="1"/>
  <c r="R3993" i="1"/>
  <c r="S3993" i="1"/>
  <c r="R3991" i="1"/>
  <c r="S3991" i="1"/>
  <c r="R3989" i="1"/>
  <c r="S3989" i="1"/>
  <c r="R3987" i="1"/>
  <c r="S3987" i="1"/>
  <c r="R3985" i="1"/>
  <c r="S3985" i="1"/>
  <c r="R3983" i="1"/>
  <c r="S3983" i="1"/>
  <c r="R3981" i="1"/>
  <c r="S3981" i="1"/>
  <c r="R3979" i="1"/>
  <c r="S3979" i="1"/>
  <c r="R3977" i="1"/>
  <c r="S3977" i="1"/>
  <c r="R3975" i="1"/>
  <c r="S3975" i="1"/>
  <c r="R3973" i="1"/>
  <c r="S3973" i="1"/>
  <c r="R3971" i="1"/>
  <c r="S3971" i="1"/>
  <c r="R3969" i="1"/>
  <c r="S3969" i="1"/>
  <c r="R3967" i="1"/>
  <c r="S3967" i="1"/>
  <c r="R3965" i="1"/>
  <c r="S3965" i="1"/>
  <c r="R3963" i="1"/>
  <c r="S3963" i="1"/>
  <c r="R3961" i="1"/>
  <c r="S3961" i="1"/>
  <c r="R3959" i="1"/>
  <c r="S3959" i="1"/>
  <c r="R3957" i="1"/>
  <c r="S3957" i="1"/>
  <c r="R3955" i="1"/>
  <c r="S3955" i="1"/>
  <c r="R3953" i="1"/>
  <c r="S3953" i="1"/>
  <c r="R3951" i="1"/>
  <c r="S3951" i="1"/>
  <c r="R3949" i="1"/>
  <c r="S3949" i="1"/>
  <c r="R3947" i="1"/>
  <c r="S3947" i="1"/>
  <c r="R3945" i="1"/>
  <c r="S3945" i="1"/>
  <c r="R3943" i="1"/>
  <c r="S3943" i="1"/>
  <c r="R3941" i="1"/>
  <c r="S3941" i="1"/>
  <c r="R3939" i="1"/>
  <c r="S3939" i="1"/>
  <c r="R3937" i="1"/>
  <c r="S3937" i="1"/>
  <c r="R3935" i="1"/>
  <c r="S3935" i="1"/>
  <c r="R3933" i="1"/>
  <c r="S3933" i="1"/>
  <c r="R3931" i="1"/>
  <c r="S3931" i="1"/>
  <c r="R3929" i="1"/>
  <c r="S3929" i="1"/>
  <c r="R3927" i="1"/>
  <c r="S3927" i="1"/>
  <c r="R3925" i="1"/>
  <c r="S3925" i="1"/>
  <c r="R3923" i="1"/>
  <c r="S3923" i="1"/>
  <c r="R3921" i="1"/>
  <c r="S3921" i="1"/>
  <c r="R3919" i="1"/>
  <c r="S3919" i="1"/>
  <c r="R3917" i="1"/>
  <c r="S3917" i="1"/>
  <c r="R3915" i="1"/>
  <c r="S3915" i="1"/>
  <c r="R3913" i="1"/>
  <c r="S3913" i="1"/>
  <c r="R3911" i="1"/>
  <c r="S3911" i="1"/>
  <c r="R3909" i="1"/>
  <c r="S3909" i="1"/>
  <c r="R3907" i="1"/>
  <c r="S3907" i="1"/>
  <c r="R3905" i="1"/>
  <c r="S3905" i="1"/>
  <c r="R3903" i="1"/>
  <c r="S3903" i="1"/>
  <c r="R3901" i="1"/>
  <c r="S3901" i="1"/>
  <c r="R3899" i="1"/>
  <c r="S3899" i="1"/>
  <c r="R3897" i="1"/>
  <c r="S3897" i="1"/>
  <c r="R3895" i="1"/>
  <c r="S3895" i="1"/>
  <c r="R3893" i="1"/>
  <c r="S3893" i="1"/>
  <c r="R3891" i="1"/>
  <c r="S3891" i="1"/>
  <c r="R3889" i="1"/>
  <c r="S3889" i="1"/>
  <c r="R3887" i="1"/>
  <c r="S3887" i="1"/>
  <c r="R3885" i="1"/>
  <c r="S3885" i="1"/>
  <c r="R3883" i="1"/>
  <c r="S3883" i="1"/>
  <c r="R3881" i="1"/>
  <c r="S3881" i="1"/>
  <c r="R3879" i="1"/>
  <c r="S3879" i="1"/>
  <c r="R3877" i="1"/>
  <c r="S3877" i="1"/>
  <c r="R3875" i="1"/>
  <c r="S3875" i="1"/>
  <c r="R3873" i="1"/>
  <c r="S3873" i="1"/>
  <c r="R3871" i="1"/>
  <c r="S3871" i="1"/>
  <c r="R3869" i="1"/>
  <c r="S3869" i="1"/>
  <c r="R3867" i="1"/>
  <c r="S3867" i="1"/>
  <c r="R3865" i="1"/>
  <c r="S3865" i="1"/>
  <c r="R3863" i="1"/>
  <c r="S3863" i="1"/>
  <c r="R3861" i="1"/>
  <c r="S3861" i="1"/>
  <c r="R3859" i="1"/>
  <c r="S3859" i="1"/>
  <c r="R3857" i="1"/>
  <c r="S3857" i="1"/>
  <c r="R3855" i="1"/>
  <c r="S3855" i="1"/>
  <c r="R3853" i="1"/>
  <c r="S3853" i="1"/>
  <c r="R3851" i="1"/>
  <c r="S3851" i="1"/>
  <c r="R3849" i="1"/>
  <c r="S3849" i="1"/>
  <c r="R3847" i="1"/>
  <c r="S3847" i="1"/>
  <c r="R3845" i="1"/>
  <c r="S3845" i="1"/>
  <c r="R3843" i="1"/>
  <c r="S3843" i="1"/>
  <c r="R3841" i="1"/>
  <c r="S3841" i="1"/>
  <c r="R3839" i="1"/>
  <c r="S3839" i="1"/>
  <c r="R3837" i="1"/>
  <c r="S3837" i="1"/>
  <c r="R3835" i="1"/>
  <c r="S3835" i="1"/>
  <c r="R3833" i="1"/>
  <c r="S3833" i="1"/>
  <c r="R3831" i="1"/>
  <c r="S3831" i="1"/>
  <c r="R3829" i="1"/>
  <c r="S3829" i="1"/>
  <c r="R3827" i="1"/>
  <c r="S3827" i="1"/>
  <c r="R3825" i="1"/>
  <c r="S3825" i="1"/>
  <c r="R3823" i="1"/>
  <c r="S3823" i="1"/>
  <c r="R3821" i="1"/>
  <c r="S3821" i="1"/>
  <c r="R3819" i="1"/>
  <c r="S3819" i="1"/>
  <c r="R3817" i="1"/>
  <c r="S3817" i="1"/>
  <c r="R3815" i="1"/>
  <c r="S3815" i="1"/>
  <c r="R3813" i="1"/>
  <c r="S3813" i="1"/>
  <c r="R3811" i="1"/>
  <c r="S3811" i="1"/>
  <c r="R3809" i="1"/>
  <c r="S3809" i="1"/>
  <c r="R3807" i="1"/>
  <c r="S3807" i="1"/>
  <c r="R3805" i="1"/>
  <c r="S3805" i="1"/>
  <c r="R3803" i="1"/>
  <c r="S3803" i="1"/>
  <c r="R3801" i="1"/>
  <c r="S3801" i="1"/>
  <c r="R3799" i="1"/>
  <c r="S3799" i="1"/>
  <c r="R3797" i="1"/>
  <c r="S3797" i="1"/>
  <c r="R3795" i="1"/>
  <c r="S3795" i="1"/>
  <c r="R3793" i="1"/>
  <c r="S3793" i="1"/>
  <c r="R3791" i="1"/>
  <c r="S3791" i="1"/>
  <c r="R3789" i="1"/>
  <c r="S3789" i="1"/>
  <c r="R3787" i="1"/>
  <c r="S3787" i="1"/>
  <c r="R3785" i="1"/>
  <c r="S3785" i="1"/>
  <c r="R3783" i="1"/>
  <c r="S3783" i="1"/>
  <c r="R3781" i="1"/>
  <c r="S3781" i="1"/>
  <c r="R3779" i="1"/>
  <c r="S3779" i="1"/>
  <c r="R3777" i="1"/>
  <c r="S3777" i="1"/>
  <c r="R3775" i="1"/>
  <c r="S3775" i="1"/>
  <c r="R3773" i="1"/>
  <c r="S3773" i="1"/>
  <c r="R3771" i="1"/>
  <c r="S3771" i="1"/>
  <c r="R3769" i="1"/>
  <c r="S3769" i="1"/>
  <c r="R3767" i="1"/>
  <c r="S3767" i="1"/>
  <c r="R3765" i="1"/>
  <c r="S3765" i="1"/>
  <c r="R3763" i="1"/>
  <c r="S3763" i="1"/>
  <c r="R3761" i="1"/>
  <c r="S3761" i="1"/>
  <c r="R3759" i="1"/>
  <c r="S3759" i="1"/>
  <c r="R3757" i="1"/>
  <c r="S3757" i="1"/>
  <c r="R3755" i="1"/>
  <c r="S3755" i="1"/>
  <c r="R3753" i="1"/>
  <c r="S3753" i="1"/>
  <c r="R3751" i="1"/>
  <c r="S3751" i="1"/>
  <c r="R3749" i="1"/>
  <c r="S3749" i="1"/>
  <c r="R3747" i="1"/>
  <c r="S3747" i="1"/>
  <c r="R3745" i="1"/>
  <c r="S3745" i="1"/>
  <c r="R3743" i="1"/>
  <c r="S3743" i="1"/>
  <c r="R3741" i="1"/>
  <c r="S3741" i="1"/>
  <c r="R3739" i="1"/>
  <c r="S3739" i="1"/>
  <c r="R3737" i="1"/>
  <c r="S3737" i="1"/>
  <c r="R3735" i="1"/>
  <c r="S3735" i="1"/>
  <c r="R3733" i="1"/>
  <c r="S3733" i="1"/>
  <c r="R3731" i="1"/>
  <c r="S3731" i="1"/>
  <c r="R3729" i="1"/>
  <c r="S3729" i="1"/>
  <c r="R3727" i="1"/>
  <c r="S3727" i="1"/>
  <c r="R3725" i="1"/>
  <c r="S3725" i="1"/>
  <c r="R3723" i="1"/>
  <c r="S3723" i="1"/>
  <c r="R3721" i="1"/>
  <c r="S3721" i="1"/>
  <c r="R3719" i="1"/>
  <c r="S3719" i="1"/>
  <c r="R3717" i="1"/>
  <c r="S3717" i="1"/>
  <c r="R3715" i="1"/>
  <c r="S3715" i="1"/>
  <c r="R3713" i="1"/>
  <c r="S3713" i="1"/>
  <c r="R3711" i="1"/>
  <c r="S3711" i="1"/>
  <c r="R3709" i="1"/>
  <c r="S3709" i="1"/>
  <c r="R3707" i="1"/>
  <c r="S3707" i="1"/>
  <c r="R3705" i="1"/>
  <c r="S3705" i="1"/>
  <c r="R3703" i="1"/>
  <c r="S3703" i="1"/>
  <c r="R3701" i="1"/>
  <c r="S3701" i="1"/>
  <c r="R3699" i="1"/>
  <c r="S3699" i="1"/>
  <c r="R3697" i="1"/>
  <c r="S3697" i="1"/>
  <c r="R3695" i="1"/>
  <c r="S3695" i="1"/>
  <c r="R3693" i="1"/>
  <c r="S3693" i="1"/>
  <c r="R3691" i="1"/>
  <c r="S3691" i="1"/>
  <c r="R3689" i="1"/>
  <c r="S3689" i="1"/>
  <c r="R3687" i="1"/>
  <c r="S3687" i="1"/>
  <c r="R3685" i="1"/>
  <c r="S3685" i="1"/>
  <c r="R3683" i="1"/>
  <c r="S3683" i="1"/>
  <c r="R3681" i="1"/>
  <c r="S3681" i="1"/>
  <c r="R3679" i="1"/>
  <c r="S3679" i="1"/>
  <c r="R3677" i="1"/>
  <c r="S3677" i="1"/>
  <c r="R3675" i="1"/>
  <c r="S3675" i="1"/>
  <c r="R3673" i="1"/>
  <c r="S3673" i="1"/>
  <c r="R3671" i="1"/>
  <c r="S3671" i="1"/>
  <c r="R3669" i="1"/>
  <c r="S3669" i="1"/>
  <c r="R3667" i="1"/>
  <c r="S3667" i="1"/>
  <c r="R3665" i="1"/>
  <c r="S3665" i="1"/>
  <c r="R3663" i="1"/>
  <c r="S3663" i="1"/>
  <c r="R3661" i="1"/>
  <c r="S3661" i="1"/>
  <c r="R3659" i="1"/>
  <c r="S3659" i="1"/>
  <c r="R3657" i="1"/>
  <c r="S3657" i="1"/>
  <c r="R3655" i="1"/>
  <c r="S3655" i="1"/>
  <c r="R3653" i="1"/>
  <c r="S3653" i="1"/>
  <c r="R3651" i="1"/>
  <c r="S3651" i="1"/>
  <c r="R3649" i="1"/>
  <c r="S3649" i="1"/>
  <c r="R3647" i="1"/>
  <c r="S3647" i="1"/>
  <c r="R3645" i="1"/>
  <c r="S3645" i="1"/>
  <c r="R3643" i="1"/>
  <c r="S3643" i="1"/>
  <c r="R3641" i="1"/>
  <c r="S3641" i="1"/>
  <c r="R3639" i="1"/>
  <c r="S3639" i="1"/>
  <c r="R3637" i="1"/>
  <c r="S3637" i="1"/>
  <c r="R3635" i="1"/>
  <c r="S3635" i="1"/>
  <c r="R3633" i="1"/>
  <c r="S3633" i="1"/>
  <c r="R3631" i="1"/>
  <c r="S3631" i="1"/>
  <c r="R3629" i="1"/>
  <c r="S3629" i="1"/>
  <c r="R3627" i="1"/>
  <c r="S3627" i="1"/>
  <c r="R3625" i="1"/>
  <c r="S3625" i="1"/>
  <c r="R3623" i="1"/>
  <c r="S3623" i="1"/>
  <c r="R3621" i="1"/>
  <c r="S3621" i="1"/>
  <c r="R3619" i="1"/>
  <c r="S3619" i="1"/>
  <c r="R3617" i="1"/>
  <c r="S3617" i="1"/>
  <c r="R3615" i="1"/>
  <c r="S3615" i="1"/>
  <c r="R3613" i="1"/>
  <c r="S3613" i="1"/>
  <c r="R3611" i="1"/>
  <c r="S3611" i="1"/>
  <c r="R3609" i="1"/>
  <c r="S3609" i="1"/>
  <c r="R3607" i="1"/>
  <c r="S3607" i="1"/>
  <c r="R3605" i="1"/>
  <c r="S3605" i="1"/>
  <c r="R3603" i="1"/>
  <c r="S3603" i="1"/>
  <c r="R3601" i="1"/>
  <c r="S3601" i="1"/>
  <c r="R3599" i="1"/>
  <c r="S3599" i="1"/>
  <c r="R3597" i="1"/>
  <c r="S3597" i="1"/>
  <c r="R3595" i="1"/>
  <c r="S3595" i="1"/>
  <c r="R3593" i="1"/>
  <c r="S3593" i="1"/>
  <c r="R3591" i="1"/>
  <c r="S3591" i="1"/>
  <c r="R3589" i="1"/>
  <c r="S3589" i="1"/>
  <c r="R3587" i="1"/>
  <c r="S3587" i="1"/>
  <c r="R3585" i="1"/>
  <c r="S3585" i="1"/>
  <c r="R3583" i="1"/>
  <c r="S3583" i="1"/>
  <c r="R3581" i="1"/>
  <c r="S3581" i="1"/>
  <c r="R3579" i="1"/>
  <c r="S3579" i="1"/>
  <c r="R3577" i="1"/>
  <c r="S3577" i="1"/>
  <c r="R3575" i="1"/>
  <c r="S3575" i="1"/>
  <c r="R3573" i="1"/>
  <c r="S3573" i="1"/>
  <c r="R3571" i="1"/>
  <c r="S3571" i="1"/>
  <c r="R3569" i="1"/>
  <c r="S3569" i="1"/>
  <c r="R3567" i="1"/>
  <c r="S3567" i="1"/>
  <c r="R3565" i="1"/>
  <c r="S3565" i="1"/>
  <c r="R3563" i="1"/>
  <c r="S3563" i="1"/>
  <c r="R3561" i="1"/>
  <c r="S3561" i="1"/>
  <c r="R3559" i="1"/>
  <c r="S3559" i="1"/>
  <c r="R3557" i="1"/>
  <c r="S3557" i="1"/>
  <c r="R3555" i="1"/>
  <c r="S3555" i="1"/>
  <c r="R3553" i="1"/>
  <c r="S3553" i="1"/>
  <c r="R3551" i="1"/>
  <c r="S3551" i="1"/>
  <c r="R3549" i="1"/>
  <c r="S3549" i="1"/>
  <c r="R3547" i="1"/>
  <c r="S3547" i="1"/>
  <c r="R3545" i="1"/>
  <c r="S3545" i="1"/>
  <c r="R3543" i="1"/>
  <c r="S3543" i="1"/>
  <c r="R3541" i="1"/>
  <c r="S3541" i="1"/>
  <c r="R3539" i="1"/>
  <c r="S3539" i="1"/>
  <c r="R3537" i="1"/>
  <c r="S3537" i="1"/>
  <c r="R3535" i="1"/>
  <c r="S3535" i="1"/>
  <c r="R3533" i="1"/>
  <c r="S3533" i="1"/>
  <c r="R3531" i="1"/>
  <c r="S3531" i="1"/>
  <c r="R3529" i="1"/>
  <c r="S3529" i="1"/>
  <c r="R3527" i="1"/>
  <c r="S3527" i="1"/>
  <c r="R3525" i="1"/>
  <c r="S3525" i="1"/>
  <c r="R3523" i="1"/>
  <c r="S3523" i="1"/>
  <c r="R3521" i="1"/>
  <c r="S3521" i="1"/>
  <c r="R3519" i="1"/>
  <c r="S3519" i="1"/>
  <c r="R3517" i="1"/>
  <c r="S3517" i="1"/>
  <c r="R3515" i="1"/>
  <c r="S3515" i="1"/>
  <c r="R3513" i="1"/>
  <c r="S3513" i="1"/>
  <c r="R3511" i="1"/>
  <c r="S3511" i="1"/>
  <c r="R3509" i="1"/>
  <c r="S3509" i="1"/>
  <c r="R3507" i="1"/>
  <c r="S3507" i="1"/>
  <c r="R3505" i="1"/>
  <c r="S3505" i="1"/>
  <c r="R3503" i="1"/>
  <c r="S3503" i="1"/>
  <c r="R3501" i="1"/>
  <c r="S3501" i="1"/>
  <c r="R3499" i="1"/>
  <c r="S3499" i="1"/>
  <c r="R3497" i="1"/>
  <c r="S3497" i="1"/>
  <c r="R3495" i="1"/>
  <c r="S3495" i="1"/>
  <c r="R3493" i="1"/>
  <c r="S3493" i="1"/>
  <c r="R3491" i="1"/>
  <c r="S3491" i="1"/>
  <c r="R3489" i="1"/>
  <c r="S3489" i="1"/>
  <c r="R3487" i="1"/>
  <c r="S3487" i="1"/>
  <c r="R3485" i="1"/>
  <c r="S3485" i="1"/>
  <c r="R3483" i="1"/>
  <c r="S3483" i="1"/>
  <c r="R3481" i="1"/>
  <c r="S3481" i="1"/>
  <c r="R3479" i="1"/>
  <c r="S3479" i="1"/>
  <c r="R3477" i="1"/>
  <c r="S3477" i="1"/>
  <c r="R3475" i="1"/>
  <c r="S3475" i="1"/>
  <c r="R3473" i="1"/>
  <c r="S3473" i="1"/>
  <c r="R3471" i="1"/>
  <c r="S3471" i="1"/>
  <c r="R3469" i="1"/>
  <c r="S3469" i="1"/>
  <c r="R3467" i="1"/>
  <c r="S3467" i="1"/>
  <c r="R3465" i="1"/>
  <c r="S3465" i="1"/>
  <c r="R3463" i="1"/>
  <c r="S3463" i="1"/>
  <c r="R3461" i="1"/>
  <c r="S3461" i="1"/>
  <c r="R3459" i="1"/>
  <c r="S3459" i="1"/>
  <c r="R3457" i="1"/>
  <c r="S3457" i="1"/>
  <c r="R3455" i="1"/>
  <c r="S3455" i="1"/>
  <c r="R3453" i="1"/>
  <c r="S3453" i="1"/>
  <c r="R3451" i="1"/>
  <c r="S3451" i="1"/>
  <c r="R3449" i="1"/>
  <c r="S3449" i="1"/>
  <c r="R3447" i="1"/>
  <c r="S3447" i="1"/>
  <c r="R3445" i="1"/>
  <c r="S3445" i="1"/>
  <c r="R3443" i="1"/>
  <c r="S3443" i="1"/>
  <c r="R3441" i="1"/>
  <c r="S3441" i="1"/>
  <c r="R3439" i="1"/>
  <c r="S3439" i="1"/>
  <c r="R3437" i="1"/>
  <c r="S3437" i="1"/>
  <c r="R3435" i="1"/>
  <c r="S3435" i="1"/>
  <c r="R3433" i="1"/>
  <c r="S3433" i="1"/>
  <c r="R3431" i="1"/>
  <c r="S3431" i="1"/>
  <c r="R3429" i="1"/>
  <c r="S3429" i="1"/>
  <c r="R3427" i="1"/>
  <c r="S3427" i="1"/>
  <c r="R3425" i="1"/>
  <c r="S3425" i="1"/>
  <c r="R3423" i="1"/>
  <c r="S3423" i="1"/>
  <c r="R3421" i="1"/>
  <c r="S3421" i="1"/>
  <c r="R3419" i="1"/>
  <c r="S3419" i="1"/>
  <c r="R3417" i="1"/>
  <c r="S3417" i="1"/>
  <c r="R3415" i="1"/>
  <c r="S3415" i="1"/>
  <c r="R3413" i="1"/>
  <c r="S3413" i="1"/>
  <c r="R3411" i="1"/>
  <c r="S3411" i="1"/>
  <c r="R3409" i="1"/>
  <c r="S3409" i="1"/>
  <c r="R3407" i="1"/>
  <c r="S3407" i="1"/>
  <c r="R3405" i="1"/>
  <c r="S3405" i="1"/>
  <c r="R3403" i="1"/>
  <c r="S3403" i="1"/>
  <c r="R3401" i="1"/>
  <c r="S3401" i="1"/>
  <c r="R3399" i="1"/>
  <c r="S3399" i="1"/>
  <c r="R3397" i="1"/>
  <c r="S3397" i="1"/>
  <c r="R3395" i="1"/>
  <c r="S3395" i="1"/>
  <c r="R3393" i="1"/>
  <c r="S3393" i="1"/>
  <c r="R3391" i="1"/>
  <c r="S3391" i="1"/>
  <c r="R3389" i="1"/>
  <c r="S3389" i="1"/>
  <c r="R3387" i="1"/>
  <c r="S3387" i="1"/>
  <c r="R3385" i="1"/>
  <c r="S3385" i="1"/>
  <c r="R3383" i="1"/>
  <c r="S3383" i="1"/>
  <c r="R3381" i="1"/>
  <c r="S3381" i="1"/>
  <c r="R3379" i="1"/>
  <c r="S3379" i="1"/>
  <c r="R3377" i="1"/>
  <c r="S3377" i="1"/>
  <c r="R3375" i="1"/>
  <c r="S3375" i="1"/>
  <c r="R3373" i="1"/>
  <c r="S3373" i="1"/>
  <c r="R3371" i="1"/>
  <c r="S3371" i="1"/>
  <c r="R3369" i="1"/>
  <c r="S3369" i="1"/>
  <c r="R3367" i="1"/>
  <c r="S3367" i="1"/>
  <c r="R3365" i="1"/>
  <c r="S3365" i="1"/>
  <c r="R3363" i="1"/>
  <c r="S3363" i="1"/>
  <c r="R3361" i="1"/>
  <c r="S3361" i="1"/>
  <c r="R3359" i="1"/>
  <c r="S3359" i="1"/>
  <c r="R3357" i="1"/>
  <c r="S3357" i="1"/>
  <c r="R3355" i="1"/>
  <c r="S3355" i="1"/>
  <c r="R3353" i="1"/>
  <c r="S3353" i="1"/>
  <c r="R3351" i="1"/>
  <c r="S3351" i="1"/>
  <c r="R3349" i="1"/>
  <c r="S3349" i="1"/>
  <c r="R3347" i="1"/>
  <c r="S3347" i="1"/>
  <c r="R3345" i="1"/>
  <c r="S3345" i="1"/>
  <c r="R3343" i="1"/>
  <c r="S3343" i="1"/>
  <c r="R3341" i="1"/>
  <c r="S3341" i="1"/>
  <c r="R3339" i="1"/>
  <c r="S3339" i="1"/>
  <c r="R3337" i="1"/>
  <c r="S3337" i="1"/>
  <c r="R3335" i="1"/>
  <c r="S3335" i="1"/>
  <c r="R3333" i="1"/>
  <c r="S3333" i="1"/>
  <c r="R3331" i="1"/>
  <c r="S3331" i="1"/>
  <c r="R3329" i="1"/>
  <c r="S3329" i="1"/>
  <c r="R3327" i="1"/>
  <c r="S3327" i="1"/>
  <c r="R3325" i="1"/>
  <c r="S3325" i="1"/>
  <c r="R3323" i="1"/>
  <c r="S3323" i="1"/>
  <c r="R3321" i="1"/>
  <c r="S3321" i="1"/>
  <c r="R3319" i="1"/>
  <c r="S3319" i="1"/>
  <c r="R3317" i="1"/>
  <c r="S3317" i="1"/>
  <c r="R3315" i="1"/>
  <c r="S3315" i="1"/>
  <c r="R3313" i="1"/>
  <c r="S3313" i="1"/>
  <c r="R3311" i="1"/>
  <c r="S3311" i="1"/>
  <c r="R3309" i="1"/>
  <c r="S3309" i="1"/>
  <c r="R3307" i="1"/>
  <c r="S3307" i="1"/>
  <c r="R3305" i="1"/>
  <c r="S3305" i="1"/>
  <c r="R3303" i="1"/>
  <c r="S3303" i="1"/>
  <c r="R3301" i="1"/>
  <c r="S3301" i="1"/>
  <c r="R3299" i="1"/>
  <c r="S3299" i="1"/>
  <c r="R3297" i="1"/>
  <c r="S3297" i="1"/>
  <c r="R3295" i="1"/>
  <c r="S3295" i="1"/>
  <c r="R3293" i="1"/>
  <c r="S3293" i="1"/>
  <c r="R3291" i="1"/>
  <c r="S3291" i="1"/>
  <c r="R3289" i="1"/>
  <c r="S3289" i="1"/>
  <c r="R3287" i="1"/>
  <c r="S3287" i="1"/>
  <c r="R3285" i="1"/>
  <c r="S3285" i="1"/>
  <c r="R3283" i="1"/>
  <c r="S3283" i="1"/>
  <c r="R3281" i="1"/>
  <c r="S3281" i="1"/>
  <c r="R3279" i="1"/>
  <c r="S3279" i="1"/>
  <c r="R3277" i="1"/>
  <c r="S3277" i="1"/>
  <c r="R3275" i="1"/>
  <c r="S3275" i="1"/>
  <c r="R3273" i="1"/>
  <c r="S3273" i="1"/>
  <c r="R3271" i="1"/>
  <c r="S3271" i="1"/>
  <c r="R3269" i="1"/>
  <c r="S3269" i="1"/>
  <c r="R3267" i="1"/>
  <c r="S3267" i="1"/>
  <c r="R3265" i="1"/>
  <c r="S3265" i="1"/>
  <c r="R3263" i="1"/>
  <c r="S3263" i="1"/>
  <c r="R3261" i="1"/>
  <c r="S3261" i="1"/>
  <c r="R3259" i="1"/>
  <c r="S3259" i="1"/>
  <c r="R3257" i="1"/>
  <c r="S3257" i="1"/>
  <c r="R3255" i="1"/>
  <c r="S3255" i="1"/>
  <c r="R3253" i="1"/>
  <c r="S3253" i="1"/>
  <c r="R3251" i="1"/>
  <c r="S3251" i="1"/>
  <c r="R3249" i="1"/>
  <c r="S3249" i="1"/>
  <c r="R3247" i="1"/>
  <c r="S3247" i="1"/>
  <c r="R3245" i="1"/>
  <c r="S3245" i="1"/>
  <c r="R3243" i="1"/>
  <c r="S3243" i="1"/>
  <c r="R3241" i="1"/>
  <c r="S3241" i="1"/>
  <c r="R3239" i="1"/>
  <c r="S3239" i="1"/>
  <c r="R3237" i="1"/>
  <c r="S3237" i="1"/>
  <c r="R3235" i="1"/>
  <c r="S3235" i="1"/>
  <c r="R3233" i="1"/>
  <c r="S3233" i="1"/>
  <c r="R3231" i="1"/>
  <c r="S3231" i="1"/>
  <c r="R3229" i="1"/>
  <c r="S3229" i="1"/>
  <c r="R3227" i="1"/>
  <c r="S3227" i="1"/>
  <c r="R3225" i="1"/>
  <c r="S3225" i="1"/>
  <c r="R3223" i="1"/>
  <c r="S3223" i="1"/>
  <c r="R3221" i="1"/>
  <c r="S3221" i="1"/>
  <c r="R3219" i="1"/>
  <c r="S3219" i="1"/>
  <c r="R3217" i="1"/>
  <c r="S3217" i="1"/>
  <c r="R3215" i="1"/>
  <c r="S3215" i="1"/>
  <c r="R3213" i="1"/>
  <c r="S3213" i="1"/>
  <c r="R3211" i="1"/>
  <c r="S3211" i="1"/>
  <c r="R3209" i="1"/>
  <c r="S3209" i="1"/>
  <c r="R3207" i="1"/>
  <c r="S3207" i="1"/>
  <c r="R3205" i="1"/>
  <c r="S3205" i="1"/>
  <c r="R3203" i="1"/>
  <c r="S3203" i="1"/>
  <c r="R3201" i="1"/>
  <c r="S3201" i="1"/>
  <c r="R3199" i="1"/>
  <c r="S3199" i="1"/>
  <c r="R3197" i="1"/>
  <c r="S3197" i="1"/>
  <c r="R3195" i="1"/>
  <c r="S3195" i="1"/>
  <c r="R3193" i="1"/>
  <c r="S3193" i="1"/>
  <c r="R3191" i="1"/>
  <c r="S3191" i="1"/>
  <c r="R3189" i="1"/>
  <c r="S3189" i="1"/>
  <c r="R3187" i="1"/>
  <c r="S3187" i="1"/>
  <c r="R3185" i="1"/>
  <c r="S3185" i="1"/>
  <c r="R3183" i="1"/>
  <c r="S3183" i="1"/>
  <c r="R3181" i="1"/>
  <c r="S3181" i="1"/>
  <c r="R3179" i="1"/>
  <c r="S3179" i="1"/>
  <c r="R3177" i="1"/>
  <c r="S3177" i="1"/>
  <c r="R3175" i="1"/>
  <c r="S3175" i="1"/>
  <c r="R3173" i="1"/>
  <c r="S3173" i="1"/>
  <c r="R3171" i="1"/>
  <c r="S3171" i="1"/>
  <c r="R3169" i="1"/>
  <c r="S3169" i="1"/>
  <c r="R3167" i="1"/>
  <c r="S3167" i="1"/>
  <c r="R3165" i="1"/>
  <c r="S3165" i="1"/>
  <c r="R3163" i="1"/>
  <c r="S3163" i="1"/>
  <c r="R3161" i="1"/>
  <c r="S3161" i="1"/>
  <c r="R3159" i="1"/>
  <c r="S3159" i="1"/>
  <c r="R3157" i="1"/>
  <c r="S3157" i="1"/>
  <c r="R3155" i="1"/>
  <c r="S3155" i="1"/>
  <c r="R3153" i="1"/>
  <c r="S3153" i="1"/>
  <c r="R3151" i="1"/>
  <c r="S3151" i="1"/>
  <c r="R3149" i="1"/>
  <c r="S3149" i="1"/>
  <c r="R3147" i="1"/>
  <c r="S3147" i="1"/>
  <c r="R3145" i="1"/>
  <c r="S3145" i="1"/>
  <c r="R3143" i="1"/>
  <c r="S3143" i="1"/>
  <c r="R3141" i="1"/>
  <c r="S3141" i="1"/>
  <c r="R3139" i="1"/>
  <c r="S3139" i="1"/>
  <c r="R3137" i="1"/>
  <c r="S3137" i="1"/>
  <c r="R3135" i="1"/>
  <c r="S3135" i="1"/>
  <c r="R3133" i="1"/>
  <c r="S3133" i="1"/>
  <c r="R3131" i="1"/>
  <c r="S3131" i="1"/>
  <c r="R3129" i="1"/>
  <c r="S3129" i="1"/>
  <c r="R3127" i="1"/>
  <c r="S3127" i="1"/>
  <c r="R3125" i="1"/>
  <c r="S3125" i="1"/>
  <c r="R3123" i="1"/>
  <c r="S3123" i="1"/>
  <c r="R3121" i="1"/>
  <c r="S3121" i="1"/>
  <c r="R3119" i="1"/>
  <c r="S3119" i="1"/>
  <c r="R3117" i="1"/>
  <c r="S3117" i="1"/>
  <c r="R3115" i="1"/>
  <c r="S3115" i="1"/>
  <c r="R3113" i="1"/>
  <c r="S3113" i="1"/>
  <c r="R3111" i="1"/>
  <c r="S3111" i="1"/>
  <c r="R3109" i="1"/>
  <c r="S3109" i="1"/>
  <c r="R3107" i="1"/>
  <c r="S3107" i="1"/>
  <c r="R3105" i="1"/>
  <c r="S3105" i="1"/>
  <c r="R3103" i="1"/>
  <c r="S3103" i="1"/>
  <c r="R3101" i="1"/>
  <c r="S3101" i="1"/>
  <c r="R3099" i="1"/>
  <c r="S3099" i="1"/>
  <c r="R3097" i="1"/>
  <c r="S3097" i="1"/>
  <c r="R3095" i="1"/>
  <c r="S3095" i="1"/>
  <c r="R3093" i="1"/>
  <c r="S3093" i="1"/>
  <c r="R3091" i="1"/>
  <c r="S3091" i="1"/>
  <c r="R3089" i="1"/>
  <c r="S3089" i="1"/>
  <c r="R3087" i="1"/>
  <c r="S3087" i="1"/>
  <c r="R3085" i="1"/>
  <c r="S3085" i="1"/>
  <c r="R3083" i="1"/>
  <c r="S3083" i="1"/>
  <c r="R3081" i="1"/>
  <c r="S3081" i="1"/>
  <c r="R3079" i="1"/>
  <c r="S3079" i="1"/>
  <c r="R3077" i="1"/>
  <c r="S3077" i="1"/>
  <c r="R3075" i="1"/>
  <c r="S3075" i="1"/>
  <c r="R3073" i="1"/>
  <c r="S3073" i="1"/>
  <c r="R3071" i="1"/>
  <c r="S3071" i="1"/>
  <c r="R3069" i="1"/>
  <c r="S3069" i="1"/>
  <c r="R3067" i="1"/>
  <c r="S3067" i="1"/>
  <c r="R3065" i="1"/>
  <c r="S3065" i="1"/>
  <c r="R3063" i="1"/>
  <c r="S3063" i="1"/>
  <c r="R3061" i="1"/>
  <c r="S3061" i="1"/>
  <c r="R3059" i="1"/>
  <c r="S3059" i="1"/>
  <c r="R3057" i="1"/>
  <c r="S3057" i="1"/>
  <c r="R3055" i="1"/>
  <c r="S3055" i="1"/>
  <c r="R3053" i="1"/>
  <c r="S3053" i="1"/>
  <c r="R3051" i="1"/>
  <c r="S3051" i="1"/>
  <c r="R3049" i="1"/>
  <c r="S3049" i="1"/>
  <c r="R3047" i="1"/>
  <c r="S3047" i="1"/>
  <c r="R3045" i="1"/>
  <c r="S3045" i="1"/>
  <c r="R3043" i="1"/>
  <c r="S3043" i="1"/>
  <c r="R3041" i="1"/>
  <c r="S3041" i="1"/>
  <c r="R3039" i="1"/>
  <c r="S3039" i="1"/>
  <c r="R3037" i="1"/>
  <c r="S3037" i="1"/>
  <c r="R3035" i="1"/>
  <c r="S3035" i="1"/>
  <c r="R3033" i="1"/>
  <c r="S3033" i="1"/>
  <c r="R3031" i="1"/>
  <c r="S3031" i="1"/>
  <c r="R3029" i="1"/>
  <c r="S3029" i="1"/>
  <c r="R3027" i="1"/>
  <c r="S3027" i="1"/>
  <c r="R3025" i="1"/>
  <c r="S3025" i="1"/>
  <c r="R3023" i="1"/>
  <c r="S3023" i="1"/>
  <c r="R3021" i="1"/>
  <c r="S3021" i="1"/>
  <c r="R3019" i="1"/>
  <c r="S3019" i="1"/>
  <c r="R3017" i="1"/>
  <c r="S3017" i="1"/>
  <c r="R3015" i="1"/>
  <c r="S3015" i="1"/>
  <c r="R3013" i="1"/>
  <c r="S3013" i="1"/>
  <c r="R3011" i="1"/>
  <c r="S3011" i="1"/>
  <c r="R3009" i="1"/>
  <c r="S3009" i="1"/>
  <c r="R3007" i="1"/>
  <c r="S3007" i="1"/>
  <c r="R3005" i="1"/>
  <c r="S3005" i="1"/>
  <c r="R3003" i="1"/>
  <c r="S3003" i="1"/>
  <c r="R3001" i="1"/>
  <c r="S3001" i="1"/>
  <c r="R2999" i="1"/>
  <c r="S2999" i="1"/>
  <c r="R2997" i="1"/>
  <c r="S2997" i="1"/>
  <c r="R2995" i="1"/>
  <c r="S2995" i="1"/>
  <c r="R2993" i="1"/>
  <c r="S2993" i="1"/>
  <c r="R2991" i="1"/>
  <c r="S2991" i="1"/>
  <c r="R2989" i="1"/>
  <c r="S2989" i="1"/>
  <c r="R2987" i="1"/>
  <c r="S2987" i="1"/>
  <c r="R2985" i="1"/>
  <c r="S2985" i="1"/>
  <c r="R2983" i="1"/>
  <c r="S2983" i="1"/>
  <c r="R2981" i="1"/>
  <c r="S2981" i="1"/>
  <c r="R2979" i="1"/>
  <c r="S2979" i="1"/>
  <c r="R2977" i="1"/>
  <c r="S2977" i="1"/>
  <c r="R2975" i="1"/>
  <c r="S2975" i="1"/>
  <c r="R2973" i="1"/>
  <c r="S2973" i="1"/>
  <c r="R2971" i="1"/>
  <c r="S2971" i="1"/>
  <c r="R2969" i="1"/>
  <c r="S2969" i="1"/>
  <c r="R2967" i="1"/>
  <c r="S2967" i="1"/>
  <c r="R2965" i="1"/>
  <c r="S2965" i="1"/>
  <c r="R2963" i="1"/>
  <c r="S2963" i="1"/>
  <c r="R2961" i="1"/>
  <c r="S2961" i="1"/>
  <c r="R2959" i="1"/>
  <c r="S2959" i="1"/>
  <c r="R2957" i="1"/>
  <c r="S2957" i="1"/>
  <c r="R2955" i="1"/>
  <c r="S2955" i="1"/>
  <c r="R2953" i="1"/>
  <c r="S2953" i="1"/>
  <c r="R2951" i="1"/>
  <c r="S2951" i="1"/>
  <c r="R2949" i="1"/>
  <c r="S2949" i="1"/>
  <c r="R2947" i="1"/>
  <c r="S2947" i="1"/>
  <c r="R2945" i="1"/>
  <c r="S2945" i="1"/>
  <c r="R2943" i="1"/>
  <c r="S2943" i="1"/>
  <c r="R2941" i="1"/>
  <c r="S2941" i="1"/>
  <c r="R2939" i="1"/>
  <c r="S2939" i="1"/>
  <c r="R2937" i="1"/>
  <c r="S2937" i="1"/>
  <c r="R2935" i="1"/>
  <c r="S2935" i="1"/>
  <c r="R2933" i="1"/>
  <c r="S2933" i="1"/>
  <c r="R2931" i="1"/>
  <c r="S2931" i="1"/>
  <c r="R2929" i="1"/>
  <c r="S2929" i="1"/>
  <c r="R2927" i="1"/>
  <c r="S2927" i="1"/>
  <c r="R2925" i="1"/>
  <c r="S2925" i="1"/>
  <c r="R2923" i="1"/>
  <c r="S2923" i="1"/>
  <c r="R2921" i="1"/>
  <c r="S2921" i="1"/>
  <c r="R2919" i="1"/>
  <c r="S2919" i="1"/>
  <c r="R2917" i="1"/>
  <c r="S2917" i="1"/>
  <c r="R2915" i="1"/>
  <c r="S2915" i="1"/>
  <c r="R2913" i="1"/>
  <c r="S2913" i="1"/>
  <c r="R2911" i="1"/>
  <c r="S2911" i="1"/>
  <c r="R2909" i="1"/>
  <c r="S2909" i="1"/>
  <c r="R2907" i="1"/>
  <c r="S2907" i="1"/>
  <c r="R2905" i="1"/>
  <c r="S2905" i="1"/>
  <c r="R2903" i="1"/>
  <c r="S2903" i="1"/>
  <c r="R2901" i="1"/>
  <c r="S2901" i="1"/>
  <c r="R2899" i="1"/>
  <c r="S2899" i="1"/>
  <c r="R2897" i="1"/>
  <c r="S2897" i="1"/>
  <c r="R2895" i="1"/>
  <c r="S2895" i="1"/>
  <c r="R2893" i="1"/>
  <c r="S2893" i="1"/>
  <c r="R2891" i="1"/>
  <c r="S2891" i="1"/>
  <c r="R2889" i="1"/>
  <c r="S2889" i="1"/>
  <c r="R2887" i="1"/>
  <c r="S2887" i="1"/>
  <c r="R2885" i="1"/>
  <c r="S2885" i="1"/>
  <c r="R2883" i="1"/>
  <c r="S2883" i="1"/>
  <c r="R2881" i="1"/>
  <c r="S2881" i="1"/>
  <c r="R2879" i="1"/>
  <c r="S2879" i="1"/>
  <c r="R2877" i="1"/>
  <c r="S2877" i="1"/>
  <c r="R2875" i="1"/>
  <c r="S2875" i="1"/>
  <c r="R2873" i="1"/>
  <c r="S2873" i="1"/>
  <c r="R2871" i="1"/>
  <c r="S2871" i="1"/>
  <c r="R2869" i="1"/>
  <c r="S2869" i="1"/>
  <c r="R2867" i="1"/>
  <c r="S2867" i="1"/>
  <c r="R2865" i="1"/>
  <c r="S2865" i="1"/>
  <c r="R2863" i="1"/>
  <c r="S2863" i="1"/>
  <c r="R2861" i="1"/>
  <c r="S2861" i="1"/>
  <c r="R2859" i="1"/>
  <c r="S2859" i="1"/>
  <c r="R2857" i="1"/>
  <c r="S2857" i="1"/>
  <c r="R2855" i="1"/>
  <c r="S2855" i="1"/>
  <c r="R2853" i="1"/>
  <c r="S2853" i="1"/>
  <c r="R2851" i="1"/>
  <c r="S2851" i="1"/>
  <c r="R2849" i="1"/>
  <c r="S2849" i="1"/>
  <c r="R2847" i="1"/>
  <c r="S2847" i="1"/>
  <c r="R2845" i="1"/>
  <c r="S2845" i="1"/>
  <c r="R2843" i="1"/>
  <c r="S2843" i="1"/>
  <c r="R2841" i="1"/>
  <c r="S2841" i="1"/>
  <c r="R2839" i="1"/>
  <c r="S2839" i="1"/>
  <c r="R2837" i="1"/>
  <c r="S2837" i="1"/>
  <c r="R2835" i="1"/>
  <c r="S2835" i="1"/>
  <c r="R2833" i="1"/>
  <c r="S2833" i="1"/>
  <c r="R2831" i="1"/>
  <c r="S2831" i="1"/>
  <c r="R2829" i="1"/>
  <c r="S2829" i="1"/>
  <c r="R2827" i="1"/>
  <c r="S2827" i="1"/>
  <c r="R2825" i="1"/>
  <c r="S2825" i="1"/>
  <c r="R2823" i="1"/>
  <c r="S2823" i="1"/>
  <c r="R2821" i="1"/>
  <c r="S2821" i="1"/>
  <c r="R2819" i="1"/>
  <c r="S2819" i="1"/>
  <c r="R2817" i="1"/>
  <c r="S2817" i="1"/>
  <c r="R2815" i="1"/>
  <c r="S2815" i="1"/>
  <c r="R2813" i="1"/>
  <c r="S2813" i="1"/>
  <c r="R2811" i="1"/>
  <c r="S2811" i="1"/>
  <c r="R2809" i="1"/>
  <c r="S2809" i="1"/>
  <c r="R2807" i="1"/>
  <c r="S2807" i="1"/>
  <c r="R2805" i="1"/>
  <c r="S2805" i="1"/>
  <c r="R2803" i="1"/>
  <c r="S2803" i="1"/>
  <c r="R2801" i="1"/>
  <c r="S2801" i="1"/>
  <c r="R2799" i="1"/>
  <c r="S2799" i="1"/>
  <c r="R2797" i="1"/>
  <c r="S2797" i="1"/>
  <c r="R2795" i="1"/>
  <c r="S2795" i="1"/>
  <c r="R2793" i="1"/>
  <c r="S2793" i="1"/>
  <c r="R2791" i="1"/>
  <c r="S2791" i="1"/>
  <c r="R2789" i="1"/>
  <c r="S2789" i="1"/>
  <c r="R2787" i="1"/>
  <c r="S2787" i="1"/>
  <c r="R2785" i="1"/>
  <c r="S2785" i="1"/>
  <c r="R2783" i="1"/>
  <c r="S2783" i="1"/>
  <c r="R2781" i="1"/>
  <c r="S2781" i="1"/>
  <c r="R2779" i="1"/>
  <c r="S2779" i="1"/>
  <c r="R2777" i="1"/>
  <c r="S2777" i="1"/>
  <c r="R2775" i="1"/>
  <c r="S2775" i="1"/>
  <c r="R2773" i="1"/>
  <c r="S2773" i="1"/>
  <c r="R2771" i="1"/>
  <c r="S2771" i="1"/>
  <c r="R2769" i="1"/>
  <c r="S2769" i="1"/>
  <c r="R2767" i="1"/>
  <c r="S2767" i="1"/>
  <c r="R2765" i="1"/>
  <c r="S2765" i="1"/>
  <c r="R2763" i="1"/>
  <c r="S2763" i="1"/>
  <c r="R2761" i="1"/>
  <c r="S2761" i="1"/>
  <c r="R2759" i="1"/>
  <c r="S2759" i="1"/>
  <c r="R2757" i="1"/>
  <c r="S2757" i="1"/>
  <c r="R2755" i="1"/>
  <c r="S2755" i="1"/>
  <c r="R2753" i="1"/>
  <c r="S2753" i="1"/>
  <c r="R2751" i="1"/>
  <c r="S2751" i="1"/>
  <c r="R2749" i="1"/>
  <c r="S2749" i="1"/>
  <c r="R2747" i="1"/>
  <c r="S2747" i="1"/>
  <c r="R2745" i="1"/>
  <c r="S2745" i="1"/>
  <c r="R2743" i="1"/>
  <c r="S2743" i="1"/>
  <c r="R2741" i="1"/>
  <c r="S2741" i="1"/>
  <c r="R2739" i="1"/>
  <c r="S2739" i="1"/>
  <c r="R2737" i="1"/>
  <c r="S2737" i="1"/>
  <c r="R2735" i="1"/>
  <c r="S2735" i="1"/>
  <c r="R2733" i="1"/>
  <c r="S2733" i="1"/>
  <c r="R2731" i="1"/>
  <c r="S2731" i="1"/>
  <c r="R2729" i="1"/>
  <c r="S2729" i="1"/>
  <c r="R2727" i="1"/>
  <c r="S2727" i="1"/>
  <c r="R2725" i="1"/>
  <c r="S2725" i="1"/>
  <c r="R2723" i="1"/>
  <c r="S2723" i="1"/>
  <c r="R2721" i="1"/>
  <c r="S2721" i="1"/>
  <c r="R2719" i="1"/>
  <c r="S2719" i="1"/>
  <c r="R2717" i="1"/>
  <c r="S2717" i="1"/>
  <c r="R2715" i="1"/>
  <c r="S2715" i="1"/>
  <c r="R2713" i="1"/>
  <c r="S2713" i="1"/>
  <c r="R2711" i="1"/>
  <c r="S2711" i="1"/>
  <c r="R2709" i="1"/>
  <c r="S2709" i="1"/>
  <c r="R2707" i="1"/>
  <c r="S2707" i="1"/>
  <c r="R2705" i="1"/>
  <c r="S2705" i="1"/>
  <c r="R2703" i="1"/>
  <c r="S2703" i="1"/>
  <c r="R2701" i="1"/>
  <c r="S2701" i="1"/>
  <c r="R2699" i="1"/>
  <c r="S2699" i="1"/>
  <c r="R2697" i="1"/>
  <c r="S2697" i="1"/>
  <c r="R2695" i="1"/>
  <c r="S2695" i="1"/>
  <c r="R2693" i="1"/>
  <c r="S2693" i="1"/>
  <c r="R2691" i="1"/>
  <c r="S2691" i="1"/>
  <c r="R2689" i="1"/>
  <c r="S2689" i="1"/>
  <c r="R2687" i="1"/>
  <c r="S2687" i="1"/>
  <c r="R2685" i="1"/>
  <c r="S2685" i="1"/>
  <c r="R2683" i="1"/>
  <c r="S2683" i="1"/>
  <c r="R2681" i="1"/>
  <c r="S2681" i="1"/>
  <c r="R2679" i="1"/>
  <c r="S2679" i="1"/>
  <c r="R2677" i="1"/>
  <c r="S2677" i="1"/>
  <c r="R2675" i="1"/>
  <c r="S2675" i="1"/>
  <c r="R2673" i="1"/>
  <c r="S2673" i="1"/>
  <c r="R2671" i="1"/>
  <c r="S2671" i="1"/>
  <c r="R2669" i="1"/>
  <c r="S2669" i="1"/>
  <c r="R2667" i="1"/>
  <c r="S2667" i="1"/>
  <c r="R2665" i="1"/>
  <c r="S2665" i="1"/>
  <c r="R2663" i="1"/>
  <c r="S2663" i="1"/>
  <c r="R2661" i="1"/>
  <c r="S2661" i="1"/>
  <c r="R2659" i="1"/>
  <c r="S2659" i="1"/>
  <c r="R2657" i="1"/>
  <c r="S2657" i="1"/>
  <c r="R2655" i="1"/>
  <c r="S2655" i="1"/>
  <c r="R2653" i="1"/>
  <c r="S2653" i="1"/>
  <c r="R2651" i="1"/>
  <c r="S2651" i="1"/>
  <c r="R2649" i="1"/>
  <c r="S2649" i="1"/>
  <c r="R2647" i="1"/>
  <c r="S2647" i="1"/>
  <c r="R2645" i="1"/>
  <c r="S2645" i="1"/>
  <c r="R2643" i="1"/>
  <c r="S2643" i="1"/>
  <c r="R2641" i="1"/>
  <c r="S2641" i="1"/>
  <c r="R2639" i="1"/>
  <c r="S2639" i="1"/>
  <c r="R2637" i="1"/>
  <c r="S2637" i="1"/>
  <c r="R2635" i="1"/>
  <c r="S2635" i="1"/>
  <c r="R2633" i="1"/>
  <c r="S2633" i="1"/>
  <c r="R2631" i="1"/>
  <c r="S2631" i="1"/>
  <c r="R2629" i="1"/>
  <c r="S2629" i="1"/>
  <c r="R2627" i="1"/>
  <c r="S2627" i="1"/>
  <c r="R2625" i="1"/>
  <c r="S2625" i="1"/>
  <c r="R2623" i="1"/>
  <c r="S2623" i="1"/>
  <c r="R2621" i="1"/>
  <c r="S2621" i="1"/>
  <c r="R2619" i="1"/>
  <c r="S2619" i="1"/>
  <c r="R2617" i="1"/>
  <c r="S2617" i="1"/>
  <c r="R2615" i="1"/>
  <c r="S2615" i="1"/>
  <c r="R2613" i="1"/>
  <c r="S2613" i="1"/>
  <c r="R2611" i="1"/>
  <c r="S2611" i="1"/>
  <c r="R2609" i="1"/>
  <c r="S2609" i="1"/>
  <c r="R2607" i="1"/>
  <c r="S2607" i="1"/>
  <c r="R2605" i="1"/>
  <c r="S2605" i="1"/>
  <c r="R2603" i="1"/>
  <c r="S2603" i="1"/>
  <c r="R2601" i="1"/>
  <c r="S2601" i="1"/>
  <c r="R2599" i="1"/>
  <c r="S2599" i="1"/>
  <c r="R2597" i="1"/>
  <c r="S2597" i="1"/>
  <c r="R2595" i="1"/>
  <c r="S2595" i="1"/>
  <c r="R2593" i="1"/>
  <c r="S2593" i="1"/>
  <c r="R2591" i="1"/>
  <c r="S2591" i="1"/>
  <c r="R2589" i="1"/>
  <c r="S2589" i="1"/>
  <c r="R2587" i="1"/>
  <c r="S2587" i="1"/>
  <c r="R2585" i="1"/>
  <c r="S2585" i="1"/>
  <c r="R2583" i="1"/>
  <c r="S2583" i="1"/>
  <c r="R2581" i="1"/>
  <c r="S2581" i="1"/>
  <c r="R2579" i="1"/>
  <c r="S2579" i="1"/>
  <c r="R2577" i="1"/>
  <c r="S2577" i="1"/>
  <c r="R2575" i="1"/>
  <c r="S2575" i="1"/>
  <c r="R2573" i="1"/>
  <c r="S2573" i="1"/>
  <c r="R2571" i="1"/>
  <c r="S2571" i="1"/>
  <c r="R2569" i="1"/>
  <c r="S2569" i="1"/>
  <c r="R2567" i="1"/>
  <c r="S2567" i="1"/>
  <c r="R2565" i="1"/>
  <c r="S2565" i="1"/>
  <c r="R2563" i="1"/>
  <c r="S2563" i="1"/>
  <c r="R2561" i="1"/>
  <c r="S2561" i="1"/>
  <c r="R2559" i="1"/>
  <c r="S2559" i="1"/>
  <c r="R2557" i="1"/>
  <c r="S2557" i="1"/>
  <c r="R2555" i="1"/>
  <c r="S2555" i="1"/>
  <c r="R2553" i="1"/>
  <c r="S2553" i="1"/>
  <c r="R2551" i="1"/>
  <c r="S2551" i="1"/>
  <c r="R2549" i="1"/>
  <c r="S2549" i="1"/>
  <c r="R2547" i="1"/>
  <c r="S2547" i="1"/>
  <c r="R2545" i="1"/>
  <c r="S2545" i="1"/>
  <c r="R2543" i="1"/>
  <c r="S2543" i="1"/>
  <c r="R2541" i="1"/>
  <c r="S2541" i="1"/>
  <c r="R2539" i="1"/>
  <c r="S2539" i="1"/>
  <c r="R2537" i="1"/>
  <c r="S2537" i="1"/>
  <c r="R2535" i="1"/>
  <c r="S2535" i="1"/>
  <c r="R2533" i="1"/>
  <c r="S2533" i="1"/>
  <c r="R2531" i="1"/>
  <c r="S2531" i="1"/>
  <c r="R2529" i="1"/>
  <c r="S2529" i="1"/>
  <c r="R2527" i="1"/>
  <c r="S2527" i="1"/>
  <c r="R2525" i="1"/>
  <c r="S2525" i="1"/>
  <c r="R2523" i="1"/>
  <c r="S2523" i="1"/>
  <c r="R2521" i="1"/>
  <c r="S2521" i="1"/>
  <c r="R2519" i="1"/>
  <c r="S2519" i="1"/>
  <c r="R2517" i="1"/>
  <c r="S2517" i="1"/>
  <c r="R2515" i="1"/>
  <c r="S2515" i="1"/>
  <c r="R2513" i="1"/>
  <c r="S2513" i="1"/>
  <c r="R2511" i="1"/>
  <c r="S2511" i="1"/>
  <c r="R2509" i="1"/>
  <c r="S2509" i="1"/>
  <c r="R2507" i="1"/>
  <c r="S2507" i="1"/>
  <c r="R2505" i="1"/>
  <c r="S2505" i="1"/>
  <c r="R2503" i="1"/>
  <c r="S2503" i="1"/>
  <c r="R2501" i="1"/>
  <c r="S2501" i="1"/>
  <c r="R2499" i="1"/>
  <c r="S2499" i="1"/>
  <c r="R2497" i="1"/>
  <c r="S2497" i="1"/>
  <c r="R2495" i="1"/>
  <c r="S2495" i="1"/>
  <c r="R2493" i="1"/>
  <c r="S2493" i="1"/>
  <c r="R2491" i="1"/>
  <c r="S2491" i="1"/>
  <c r="R2489" i="1"/>
  <c r="S2489" i="1"/>
  <c r="R2487" i="1"/>
  <c r="S2487" i="1"/>
  <c r="R2485" i="1"/>
  <c r="S2485" i="1"/>
  <c r="R2483" i="1"/>
  <c r="S2483" i="1"/>
  <c r="R2481" i="1"/>
  <c r="S2481" i="1"/>
  <c r="R2479" i="1"/>
  <c r="S2479" i="1"/>
  <c r="R2477" i="1"/>
  <c r="S2477" i="1"/>
  <c r="R2475" i="1"/>
  <c r="S2475" i="1"/>
  <c r="R2473" i="1"/>
  <c r="S2473" i="1"/>
  <c r="R2471" i="1"/>
  <c r="S2471" i="1"/>
  <c r="R2469" i="1"/>
  <c r="S2469" i="1"/>
  <c r="R2467" i="1"/>
  <c r="S2467" i="1"/>
  <c r="R2465" i="1"/>
  <c r="S2465" i="1"/>
  <c r="R2463" i="1"/>
  <c r="S2463" i="1"/>
  <c r="R2461" i="1"/>
  <c r="S2461" i="1"/>
  <c r="R2459" i="1"/>
  <c r="S2459" i="1"/>
  <c r="R2457" i="1"/>
  <c r="S2457" i="1"/>
  <c r="R2455" i="1"/>
  <c r="S2455" i="1"/>
  <c r="R2453" i="1"/>
  <c r="S2453" i="1"/>
  <c r="R2451" i="1"/>
  <c r="S2451" i="1"/>
  <c r="R2449" i="1"/>
  <c r="S2449" i="1"/>
  <c r="R2447" i="1"/>
  <c r="S2447" i="1"/>
  <c r="R2445" i="1"/>
  <c r="S2445" i="1"/>
  <c r="R2443" i="1"/>
  <c r="S2443" i="1"/>
  <c r="R2441" i="1"/>
  <c r="S2441" i="1"/>
  <c r="R2439" i="1"/>
  <c r="S2439" i="1"/>
  <c r="R2437" i="1"/>
  <c r="S2437" i="1"/>
  <c r="R2435" i="1"/>
  <c r="S2435" i="1"/>
  <c r="R2433" i="1"/>
  <c r="S2433" i="1"/>
  <c r="R2431" i="1"/>
  <c r="S2431" i="1"/>
  <c r="R2429" i="1"/>
  <c r="S2429" i="1"/>
  <c r="R2427" i="1"/>
  <c r="S2427" i="1"/>
  <c r="R2425" i="1"/>
  <c r="S2425" i="1"/>
  <c r="R2423" i="1"/>
  <c r="S2423" i="1"/>
  <c r="R2421" i="1"/>
  <c r="S2421" i="1"/>
  <c r="R2419" i="1"/>
  <c r="S2419" i="1"/>
  <c r="R2417" i="1"/>
  <c r="S2417" i="1"/>
  <c r="R2415" i="1"/>
  <c r="S2415" i="1"/>
  <c r="R2413" i="1"/>
  <c r="S2413" i="1"/>
  <c r="R2411" i="1"/>
  <c r="S2411" i="1"/>
  <c r="R2409" i="1"/>
  <c r="S2409" i="1"/>
  <c r="R2407" i="1"/>
  <c r="S2407" i="1"/>
  <c r="R2405" i="1"/>
  <c r="S2405" i="1"/>
  <c r="R2403" i="1"/>
  <c r="S2403" i="1"/>
  <c r="R2401" i="1"/>
  <c r="S2401" i="1"/>
  <c r="R2399" i="1"/>
  <c r="S2399" i="1"/>
  <c r="R2397" i="1"/>
  <c r="S2397" i="1"/>
  <c r="R2395" i="1"/>
  <c r="S2395" i="1"/>
  <c r="R2393" i="1"/>
  <c r="S2393" i="1"/>
  <c r="R2391" i="1"/>
  <c r="S2391" i="1"/>
  <c r="R2389" i="1"/>
  <c r="S2389" i="1"/>
  <c r="R2387" i="1"/>
  <c r="S2387" i="1"/>
  <c r="R2385" i="1"/>
  <c r="S2385" i="1"/>
  <c r="R2383" i="1"/>
  <c r="S2383" i="1"/>
  <c r="R2381" i="1"/>
  <c r="S2381" i="1"/>
  <c r="R2379" i="1"/>
  <c r="S2379" i="1"/>
  <c r="R2377" i="1"/>
  <c r="S2377" i="1"/>
  <c r="R2375" i="1"/>
  <c r="S2375" i="1"/>
  <c r="R2373" i="1"/>
  <c r="S2373" i="1"/>
  <c r="R2371" i="1"/>
  <c r="S2371" i="1"/>
  <c r="R2369" i="1"/>
  <c r="S2369" i="1"/>
  <c r="R2367" i="1"/>
  <c r="S2367" i="1"/>
  <c r="R2365" i="1"/>
  <c r="S2365" i="1"/>
  <c r="R2363" i="1"/>
  <c r="S2363" i="1"/>
  <c r="R2361" i="1"/>
  <c r="S2361" i="1"/>
  <c r="R2359" i="1"/>
  <c r="S2359" i="1"/>
  <c r="R2357" i="1"/>
  <c r="S2357" i="1"/>
  <c r="R2355" i="1"/>
  <c r="S2355" i="1"/>
  <c r="R2353" i="1"/>
  <c r="S2353" i="1"/>
  <c r="R2351" i="1"/>
  <c r="S2351" i="1"/>
  <c r="R2349" i="1"/>
  <c r="S2349" i="1"/>
  <c r="R2347" i="1"/>
  <c r="S2347" i="1"/>
  <c r="R2345" i="1"/>
  <c r="S2345" i="1"/>
  <c r="R2343" i="1"/>
  <c r="S2343" i="1"/>
  <c r="R2341" i="1"/>
  <c r="S2341" i="1"/>
  <c r="R2339" i="1"/>
  <c r="S2339" i="1"/>
  <c r="R2337" i="1"/>
  <c r="S2337" i="1"/>
  <c r="R2335" i="1"/>
  <c r="S2335" i="1"/>
  <c r="R2333" i="1"/>
  <c r="S2333" i="1"/>
  <c r="R2331" i="1"/>
  <c r="S2331" i="1"/>
  <c r="R2329" i="1"/>
  <c r="S2329" i="1"/>
  <c r="R2327" i="1"/>
  <c r="S2327" i="1"/>
  <c r="R2325" i="1"/>
  <c r="S2325" i="1"/>
  <c r="R2323" i="1"/>
  <c r="S2323" i="1"/>
  <c r="R2321" i="1"/>
  <c r="S2321" i="1"/>
  <c r="R2319" i="1"/>
  <c r="S2319" i="1"/>
  <c r="R2317" i="1"/>
  <c r="S2317" i="1"/>
  <c r="R2315" i="1"/>
  <c r="S2315" i="1"/>
  <c r="R2313" i="1"/>
  <c r="S2313" i="1"/>
  <c r="R2311" i="1"/>
  <c r="S2311" i="1"/>
  <c r="R2309" i="1"/>
  <c r="S2309" i="1"/>
  <c r="R2307" i="1"/>
  <c r="S2307" i="1"/>
  <c r="R2305" i="1"/>
  <c r="S2305" i="1"/>
  <c r="R2303" i="1"/>
  <c r="S2303" i="1"/>
  <c r="R2301" i="1"/>
  <c r="S2301" i="1"/>
  <c r="R2299" i="1"/>
  <c r="S2299" i="1"/>
  <c r="R2297" i="1"/>
  <c r="S2297" i="1"/>
  <c r="R2295" i="1"/>
  <c r="S2295" i="1"/>
  <c r="R2293" i="1"/>
  <c r="S2293" i="1"/>
  <c r="R2291" i="1"/>
  <c r="S2291" i="1"/>
  <c r="R2289" i="1"/>
  <c r="S2289" i="1"/>
  <c r="R2287" i="1"/>
  <c r="S2287" i="1"/>
  <c r="R2285" i="1"/>
  <c r="S2285" i="1"/>
  <c r="R2283" i="1"/>
  <c r="S2283" i="1"/>
  <c r="R2281" i="1"/>
  <c r="S2281" i="1"/>
  <c r="R2279" i="1"/>
  <c r="S2279" i="1"/>
  <c r="R2277" i="1"/>
  <c r="S2277" i="1"/>
  <c r="R2275" i="1"/>
  <c r="S2275" i="1"/>
  <c r="R2273" i="1"/>
  <c r="S2273" i="1"/>
  <c r="R2271" i="1"/>
  <c r="S2271" i="1"/>
  <c r="R2269" i="1"/>
  <c r="S2269" i="1"/>
  <c r="R2267" i="1"/>
  <c r="S2267" i="1"/>
  <c r="R2265" i="1"/>
  <c r="S2265" i="1"/>
  <c r="R2263" i="1"/>
  <c r="S2263" i="1"/>
  <c r="R2261" i="1"/>
  <c r="S2261" i="1"/>
  <c r="R2259" i="1"/>
  <c r="S2259" i="1"/>
  <c r="R2257" i="1"/>
  <c r="S2257" i="1"/>
  <c r="R2255" i="1"/>
  <c r="S2255" i="1"/>
  <c r="R2253" i="1"/>
  <c r="S2253" i="1"/>
  <c r="R2251" i="1"/>
  <c r="S2251" i="1"/>
  <c r="R2249" i="1"/>
  <c r="S2249" i="1"/>
  <c r="R2247" i="1"/>
  <c r="S2247" i="1"/>
  <c r="R2245" i="1"/>
  <c r="S2245" i="1"/>
  <c r="R2243" i="1"/>
  <c r="S2243" i="1"/>
  <c r="R2241" i="1"/>
  <c r="S2241" i="1"/>
  <c r="R2239" i="1"/>
  <c r="S2239" i="1"/>
  <c r="R2237" i="1"/>
  <c r="S2237" i="1"/>
  <c r="R2235" i="1"/>
  <c r="S2235" i="1"/>
  <c r="R2233" i="1"/>
  <c r="S2233" i="1"/>
  <c r="R2231" i="1"/>
  <c r="S2231" i="1"/>
  <c r="R2229" i="1"/>
  <c r="S2229" i="1"/>
  <c r="R2227" i="1"/>
  <c r="S2227" i="1"/>
  <c r="R2225" i="1"/>
  <c r="S2225" i="1"/>
  <c r="R2223" i="1"/>
  <c r="S2223" i="1"/>
  <c r="R2221" i="1"/>
  <c r="S2221" i="1"/>
  <c r="R2219" i="1"/>
  <c r="S2219" i="1"/>
  <c r="R2217" i="1"/>
  <c r="S2217" i="1"/>
  <c r="R2215" i="1"/>
  <c r="S2215" i="1"/>
  <c r="R2213" i="1"/>
  <c r="S2213" i="1"/>
  <c r="R2211" i="1"/>
  <c r="S2211" i="1"/>
  <c r="R2209" i="1"/>
  <c r="S2209" i="1"/>
  <c r="R2207" i="1"/>
  <c r="S2207" i="1"/>
  <c r="R2205" i="1"/>
  <c r="S2205" i="1"/>
  <c r="R2203" i="1"/>
  <c r="S2203" i="1"/>
  <c r="R2201" i="1"/>
  <c r="S2201" i="1"/>
  <c r="R2199" i="1"/>
  <c r="S2199" i="1"/>
  <c r="R2197" i="1"/>
  <c r="S2197" i="1"/>
  <c r="R2195" i="1"/>
  <c r="S2195" i="1"/>
  <c r="R2193" i="1"/>
  <c r="S2193" i="1"/>
  <c r="R2191" i="1"/>
  <c r="S2191" i="1"/>
  <c r="R2189" i="1"/>
  <c r="S2189" i="1"/>
  <c r="R2187" i="1"/>
  <c r="S2187" i="1"/>
  <c r="R2185" i="1"/>
  <c r="S2185" i="1"/>
  <c r="R2183" i="1"/>
  <c r="S2183" i="1"/>
  <c r="R2181" i="1"/>
  <c r="S2181" i="1"/>
  <c r="R2179" i="1"/>
  <c r="S2179" i="1"/>
  <c r="R2177" i="1"/>
  <c r="S2177" i="1"/>
  <c r="R2175" i="1"/>
  <c r="S2175" i="1"/>
  <c r="R2173" i="1"/>
  <c r="S2173" i="1"/>
  <c r="R2171" i="1"/>
  <c r="S2171" i="1"/>
  <c r="R2169" i="1"/>
  <c r="S2169" i="1"/>
  <c r="R2167" i="1"/>
  <c r="S2167" i="1"/>
  <c r="R2165" i="1"/>
  <c r="S2165" i="1"/>
  <c r="R2163" i="1"/>
  <c r="S2163" i="1"/>
  <c r="R2161" i="1"/>
  <c r="S2161" i="1"/>
  <c r="R2159" i="1"/>
  <c r="S2159" i="1"/>
  <c r="R2157" i="1"/>
  <c r="S2157" i="1"/>
  <c r="R2155" i="1"/>
  <c r="S2155" i="1"/>
  <c r="R2153" i="1"/>
  <c r="S2153" i="1"/>
  <c r="R2151" i="1"/>
  <c r="S2151" i="1"/>
  <c r="R2149" i="1"/>
  <c r="S2149" i="1"/>
  <c r="R2147" i="1"/>
  <c r="S2147" i="1"/>
  <c r="R2145" i="1"/>
  <c r="S2145" i="1"/>
  <c r="R2143" i="1"/>
  <c r="S2143" i="1"/>
  <c r="R2141" i="1"/>
  <c r="S2141" i="1"/>
  <c r="R2139" i="1"/>
  <c r="S2139" i="1"/>
  <c r="R2137" i="1"/>
  <c r="S2137" i="1"/>
  <c r="R2135" i="1"/>
  <c r="S2135" i="1"/>
  <c r="R2133" i="1"/>
  <c r="S2133" i="1"/>
  <c r="R2131" i="1"/>
  <c r="S2131" i="1"/>
  <c r="R2129" i="1"/>
  <c r="S2129" i="1"/>
  <c r="R2127" i="1"/>
  <c r="S2127" i="1"/>
  <c r="R2125" i="1"/>
  <c r="S2125" i="1"/>
  <c r="R2123" i="1"/>
  <c r="S2123" i="1"/>
  <c r="R2121" i="1"/>
  <c r="S2121" i="1"/>
  <c r="R2119" i="1"/>
  <c r="S2119" i="1"/>
  <c r="R2117" i="1"/>
  <c r="S2117" i="1"/>
  <c r="R2115" i="1"/>
  <c r="S2115" i="1"/>
  <c r="R2113" i="1"/>
  <c r="S2113" i="1"/>
  <c r="R2111" i="1"/>
  <c r="S2111" i="1"/>
  <c r="R2109" i="1"/>
  <c r="S2109" i="1"/>
  <c r="R2107" i="1"/>
  <c r="S2107" i="1"/>
  <c r="R2105" i="1"/>
  <c r="S2105" i="1"/>
  <c r="R2103" i="1"/>
  <c r="S2103" i="1"/>
  <c r="R2101" i="1"/>
  <c r="S2101" i="1"/>
  <c r="R2099" i="1"/>
  <c r="S2099" i="1"/>
  <c r="R2097" i="1"/>
  <c r="S2097" i="1"/>
  <c r="R2095" i="1"/>
  <c r="S2095" i="1"/>
  <c r="R2093" i="1"/>
  <c r="S2093" i="1"/>
  <c r="R2091" i="1"/>
  <c r="S2091" i="1"/>
  <c r="R2089" i="1"/>
  <c r="S2089" i="1"/>
  <c r="R2087" i="1"/>
  <c r="S2087" i="1"/>
  <c r="R2085" i="1"/>
  <c r="S2085" i="1"/>
  <c r="R2083" i="1"/>
  <c r="S2083" i="1"/>
  <c r="R2081" i="1"/>
  <c r="S2081" i="1"/>
  <c r="R2079" i="1"/>
  <c r="S2079" i="1"/>
  <c r="R2077" i="1"/>
  <c r="S2077" i="1"/>
  <c r="R2075" i="1"/>
  <c r="S2075" i="1"/>
  <c r="R2073" i="1"/>
  <c r="S2073" i="1"/>
  <c r="R2071" i="1"/>
  <c r="S2071" i="1"/>
  <c r="R2069" i="1"/>
  <c r="S2069" i="1"/>
  <c r="R2067" i="1"/>
  <c r="S2067" i="1"/>
  <c r="R2065" i="1"/>
  <c r="S2065" i="1"/>
  <c r="R2063" i="1"/>
  <c r="S2063" i="1"/>
  <c r="R2061" i="1"/>
  <c r="S2061" i="1"/>
  <c r="R2059" i="1"/>
  <c r="S2059" i="1"/>
  <c r="R2057" i="1"/>
  <c r="S2057" i="1"/>
  <c r="R2055" i="1"/>
  <c r="S2055" i="1"/>
  <c r="R2053" i="1"/>
  <c r="S2053" i="1"/>
  <c r="R2051" i="1"/>
  <c r="S2051" i="1"/>
  <c r="R2049" i="1"/>
  <c r="S2049" i="1"/>
  <c r="R2047" i="1"/>
  <c r="S2047" i="1"/>
  <c r="R2045" i="1"/>
  <c r="S2045" i="1"/>
  <c r="R2043" i="1"/>
  <c r="S2043" i="1"/>
  <c r="R2041" i="1"/>
  <c r="S2041" i="1"/>
  <c r="R2039" i="1"/>
  <c r="S2039" i="1"/>
  <c r="R2037" i="1"/>
  <c r="S2037" i="1"/>
  <c r="R2035" i="1"/>
  <c r="S2035" i="1"/>
  <c r="R2033" i="1"/>
  <c r="S2033" i="1"/>
  <c r="R2031" i="1"/>
  <c r="S2031" i="1"/>
  <c r="R2029" i="1"/>
  <c r="S2029" i="1"/>
  <c r="R2027" i="1"/>
  <c r="S2027" i="1"/>
  <c r="R2025" i="1"/>
  <c r="S2025" i="1"/>
  <c r="R2023" i="1"/>
  <c r="S2023" i="1"/>
  <c r="R2021" i="1"/>
  <c r="S2021" i="1"/>
  <c r="R2019" i="1"/>
  <c r="S2019" i="1"/>
  <c r="R2017" i="1"/>
  <c r="S2017" i="1"/>
  <c r="R2015" i="1"/>
  <c r="S2015" i="1"/>
  <c r="R2013" i="1"/>
  <c r="S2013" i="1"/>
  <c r="R2011" i="1"/>
  <c r="S2011" i="1"/>
  <c r="R2009" i="1"/>
  <c r="S2009" i="1"/>
  <c r="R2007" i="1"/>
  <c r="S2007" i="1"/>
  <c r="R2005" i="1"/>
  <c r="S2005" i="1"/>
  <c r="R2003" i="1"/>
  <c r="S2003" i="1"/>
  <c r="R2001" i="1"/>
  <c r="S2001" i="1"/>
  <c r="R1999" i="1"/>
  <c r="S1999" i="1"/>
  <c r="R1997" i="1"/>
  <c r="S1997" i="1"/>
  <c r="R1995" i="1"/>
  <c r="S1995" i="1"/>
  <c r="R1993" i="1"/>
  <c r="S1993" i="1"/>
  <c r="R1991" i="1"/>
  <c r="S1991" i="1"/>
  <c r="R1989" i="1"/>
  <c r="S1989" i="1"/>
  <c r="R1987" i="1"/>
  <c r="S1987" i="1"/>
  <c r="R1985" i="1"/>
  <c r="S1985" i="1"/>
  <c r="R1983" i="1"/>
  <c r="S1983" i="1"/>
  <c r="R1981" i="1"/>
  <c r="S1981" i="1"/>
  <c r="R1979" i="1"/>
  <c r="S1979" i="1"/>
  <c r="R1977" i="1"/>
  <c r="S1977" i="1"/>
  <c r="R1975" i="1"/>
  <c r="S1975" i="1"/>
  <c r="R1973" i="1"/>
  <c r="S1973" i="1"/>
  <c r="R1971" i="1"/>
  <c r="S1971" i="1"/>
  <c r="R1969" i="1"/>
  <c r="S1969" i="1"/>
  <c r="R1967" i="1"/>
  <c r="S1967" i="1"/>
  <c r="R1965" i="1"/>
  <c r="S1965" i="1"/>
  <c r="R1963" i="1"/>
  <c r="S1963" i="1"/>
  <c r="R1961" i="1"/>
  <c r="S1961" i="1"/>
  <c r="R1959" i="1"/>
  <c r="S1959" i="1"/>
  <c r="R1957" i="1"/>
  <c r="S1957" i="1"/>
  <c r="R1955" i="1"/>
  <c r="S1955" i="1"/>
  <c r="R1953" i="1"/>
  <c r="S1953" i="1"/>
  <c r="R1951" i="1"/>
  <c r="S1951" i="1"/>
  <c r="R1949" i="1"/>
  <c r="S1949" i="1"/>
  <c r="R1947" i="1"/>
  <c r="S1947" i="1"/>
  <c r="R1945" i="1"/>
  <c r="S1945" i="1"/>
  <c r="R1943" i="1"/>
  <c r="S1943" i="1"/>
  <c r="R1941" i="1"/>
  <c r="S1941" i="1"/>
  <c r="R1939" i="1"/>
  <c r="S1939" i="1"/>
  <c r="R1937" i="1"/>
  <c r="S1937" i="1"/>
  <c r="R1935" i="1"/>
  <c r="S1935" i="1"/>
  <c r="R1933" i="1"/>
  <c r="S1933" i="1"/>
  <c r="R1931" i="1"/>
  <c r="S1931" i="1"/>
  <c r="R1929" i="1"/>
  <c r="S1929" i="1"/>
  <c r="R1927" i="1"/>
  <c r="S1927" i="1"/>
  <c r="R1925" i="1"/>
  <c r="S1925" i="1"/>
  <c r="R1923" i="1"/>
  <c r="S1923" i="1"/>
  <c r="R1921" i="1"/>
  <c r="S1921" i="1"/>
  <c r="R1919" i="1"/>
  <c r="S1919" i="1"/>
  <c r="R1917" i="1"/>
  <c r="S1917" i="1"/>
  <c r="R1915" i="1"/>
  <c r="S1915" i="1"/>
  <c r="R1913" i="1"/>
  <c r="S1913" i="1"/>
  <c r="R1911" i="1"/>
  <c r="S1911" i="1"/>
  <c r="R1909" i="1"/>
  <c r="S1909" i="1"/>
  <c r="R1907" i="1"/>
  <c r="S1907" i="1"/>
  <c r="R1905" i="1"/>
  <c r="S1905" i="1"/>
  <c r="R1903" i="1"/>
  <c r="S1903" i="1"/>
  <c r="R1901" i="1"/>
  <c r="S1901" i="1"/>
  <c r="R1899" i="1"/>
  <c r="S1899" i="1"/>
  <c r="R1897" i="1"/>
  <c r="S1897" i="1"/>
  <c r="R1895" i="1"/>
  <c r="S1895" i="1"/>
  <c r="R1893" i="1"/>
  <c r="S1893" i="1"/>
  <c r="R1891" i="1"/>
  <c r="S1891" i="1"/>
  <c r="R1889" i="1"/>
  <c r="S1889" i="1"/>
  <c r="R1887" i="1"/>
  <c r="S1887" i="1"/>
  <c r="R1885" i="1"/>
  <c r="S1885" i="1"/>
  <c r="R1883" i="1"/>
  <c r="S1883" i="1"/>
  <c r="R1881" i="1"/>
  <c r="S1881" i="1"/>
  <c r="R1879" i="1"/>
  <c r="S1879" i="1"/>
  <c r="R1877" i="1"/>
  <c r="S1877" i="1"/>
  <c r="R1875" i="1"/>
  <c r="S1875" i="1"/>
  <c r="R1873" i="1"/>
  <c r="S1873" i="1"/>
  <c r="R1871" i="1"/>
  <c r="S1871" i="1"/>
  <c r="R1869" i="1"/>
  <c r="S1869" i="1"/>
  <c r="R1867" i="1"/>
  <c r="S1867" i="1"/>
  <c r="R1865" i="1"/>
  <c r="S1865" i="1"/>
  <c r="R1863" i="1"/>
  <c r="S1863" i="1"/>
  <c r="R1861" i="1"/>
  <c r="S1861" i="1"/>
  <c r="R1859" i="1"/>
  <c r="S1859" i="1"/>
  <c r="R1857" i="1"/>
  <c r="S1857" i="1"/>
  <c r="R1855" i="1"/>
  <c r="S1855" i="1"/>
  <c r="R1853" i="1"/>
  <c r="S1853" i="1"/>
  <c r="R1851" i="1"/>
  <c r="S1851" i="1"/>
  <c r="R1849" i="1"/>
  <c r="S1849" i="1"/>
  <c r="R1847" i="1"/>
  <c r="S1847" i="1"/>
  <c r="R1845" i="1"/>
  <c r="S1845" i="1"/>
  <c r="R1843" i="1"/>
  <c r="S1843" i="1"/>
  <c r="R1841" i="1"/>
  <c r="S1841" i="1"/>
  <c r="R1839" i="1"/>
  <c r="S1839" i="1"/>
  <c r="R1837" i="1"/>
  <c r="S1837" i="1"/>
  <c r="R1835" i="1"/>
  <c r="S1835" i="1"/>
  <c r="R1833" i="1"/>
  <c r="S1833" i="1"/>
  <c r="R1831" i="1"/>
  <c r="S1831" i="1"/>
  <c r="R1829" i="1"/>
  <c r="S1829" i="1"/>
  <c r="R1827" i="1"/>
  <c r="S1827" i="1"/>
  <c r="R1825" i="1"/>
  <c r="S1825" i="1"/>
  <c r="R1823" i="1"/>
  <c r="S1823" i="1"/>
  <c r="R1821" i="1"/>
  <c r="S1821" i="1"/>
  <c r="R1819" i="1"/>
  <c r="S1819" i="1"/>
  <c r="R1817" i="1"/>
  <c r="S1817" i="1"/>
  <c r="R1815" i="1"/>
  <c r="S1815" i="1"/>
  <c r="R1813" i="1"/>
  <c r="S1813" i="1"/>
  <c r="R1811" i="1"/>
  <c r="S1811" i="1"/>
  <c r="R1809" i="1"/>
  <c r="S1809" i="1"/>
  <c r="R1807" i="1"/>
  <c r="S1807" i="1"/>
  <c r="R1805" i="1"/>
  <c r="S1805" i="1"/>
  <c r="R1803" i="1"/>
  <c r="S1803" i="1"/>
  <c r="R1801" i="1"/>
  <c r="S1801" i="1"/>
  <c r="R1799" i="1"/>
  <c r="S1799" i="1"/>
  <c r="R1797" i="1"/>
  <c r="S1797" i="1"/>
  <c r="R1795" i="1"/>
  <c r="S1795" i="1"/>
  <c r="R1793" i="1"/>
  <c r="S1793" i="1"/>
  <c r="R1791" i="1"/>
  <c r="S1791" i="1"/>
  <c r="R1789" i="1"/>
  <c r="S1789" i="1"/>
  <c r="R1787" i="1"/>
  <c r="S1787" i="1"/>
  <c r="R1785" i="1"/>
  <c r="S1785" i="1"/>
  <c r="R1783" i="1"/>
  <c r="S1783" i="1"/>
  <c r="R1781" i="1"/>
  <c r="S1781" i="1"/>
  <c r="R1779" i="1"/>
  <c r="S1779" i="1"/>
  <c r="R1777" i="1"/>
  <c r="S1777" i="1"/>
  <c r="R1775" i="1"/>
  <c r="S1775" i="1"/>
  <c r="R1773" i="1"/>
  <c r="S1773" i="1"/>
  <c r="R1771" i="1"/>
  <c r="S1771" i="1"/>
  <c r="R1769" i="1"/>
  <c r="S1769" i="1"/>
  <c r="R1767" i="1"/>
  <c r="S1767" i="1"/>
  <c r="R1765" i="1"/>
  <c r="S1765" i="1"/>
  <c r="R1763" i="1"/>
  <c r="S1763" i="1"/>
  <c r="R1761" i="1"/>
  <c r="S1761" i="1"/>
  <c r="R1759" i="1"/>
  <c r="S1759" i="1"/>
  <c r="R1757" i="1"/>
  <c r="S1757" i="1"/>
  <c r="R1755" i="1"/>
  <c r="S1755" i="1"/>
  <c r="R1753" i="1"/>
  <c r="S1753" i="1"/>
  <c r="R1751" i="1"/>
  <c r="S1751" i="1"/>
  <c r="R1749" i="1"/>
  <c r="S1749" i="1"/>
  <c r="R1747" i="1"/>
  <c r="S1747" i="1"/>
  <c r="R1745" i="1"/>
  <c r="S1745" i="1"/>
  <c r="R1743" i="1"/>
  <c r="S1743" i="1"/>
  <c r="R1741" i="1"/>
  <c r="S1741" i="1"/>
  <c r="R1739" i="1"/>
  <c r="S1739" i="1"/>
  <c r="R1737" i="1"/>
  <c r="S1737" i="1"/>
  <c r="R1735" i="1"/>
  <c r="S1735" i="1"/>
  <c r="R1733" i="1"/>
  <c r="S1733" i="1"/>
  <c r="R1731" i="1"/>
  <c r="S1731" i="1"/>
  <c r="R1729" i="1"/>
  <c r="S1729" i="1"/>
  <c r="R1727" i="1"/>
  <c r="S1727" i="1"/>
  <c r="R1725" i="1"/>
  <c r="S1725" i="1"/>
  <c r="R1723" i="1"/>
  <c r="S1723" i="1"/>
  <c r="R1721" i="1"/>
  <c r="S1721" i="1"/>
  <c r="R1719" i="1"/>
  <c r="S1719" i="1"/>
  <c r="R1717" i="1"/>
  <c r="S1717" i="1"/>
  <c r="R1715" i="1"/>
  <c r="S1715" i="1"/>
  <c r="R1713" i="1"/>
  <c r="S1713" i="1"/>
  <c r="R1711" i="1"/>
  <c r="S1711" i="1"/>
  <c r="R1709" i="1"/>
  <c r="S1709" i="1"/>
  <c r="R1707" i="1"/>
  <c r="S1707" i="1"/>
  <c r="R1705" i="1"/>
  <c r="S1705" i="1"/>
  <c r="R1703" i="1"/>
  <c r="S1703" i="1"/>
  <c r="R1701" i="1"/>
  <c r="S1701" i="1"/>
  <c r="R1699" i="1"/>
  <c r="S1699" i="1"/>
  <c r="R1697" i="1"/>
  <c r="S1697" i="1"/>
  <c r="R1695" i="1"/>
  <c r="S1695" i="1"/>
  <c r="R1693" i="1"/>
  <c r="S1693" i="1"/>
  <c r="R1691" i="1"/>
  <c r="S1691" i="1"/>
  <c r="R1689" i="1"/>
  <c r="S1689" i="1"/>
  <c r="R1687" i="1"/>
  <c r="S1687" i="1"/>
  <c r="R1685" i="1"/>
  <c r="S1685" i="1"/>
  <c r="R1683" i="1"/>
  <c r="S1683" i="1"/>
  <c r="R1681" i="1"/>
  <c r="S1681" i="1"/>
  <c r="R1679" i="1"/>
  <c r="S1679" i="1"/>
  <c r="R1677" i="1"/>
  <c r="S1677" i="1"/>
  <c r="R1675" i="1"/>
  <c r="S1675" i="1"/>
  <c r="R1673" i="1"/>
  <c r="S1673" i="1"/>
  <c r="R1671" i="1"/>
  <c r="S1671" i="1"/>
  <c r="R1669" i="1"/>
  <c r="S1669" i="1"/>
  <c r="R1667" i="1"/>
  <c r="S1667" i="1"/>
  <c r="R1665" i="1"/>
  <c r="S1665" i="1"/>
  <c r="R1663" i="1"/>
  <c r="S1663" i="1"/>
  <c r="R1661" i="1"/>
  <c r="S1661" i="1"/>
  <c r="R1659" i="1"/>
  <c r="S1659" i="1"/>
  <c r="R1657" i="1"/>
  <c r="S1657" i="1"/>
  <c r="R1655" i="1"/>
  <c r="S1655" i="1"/>
  <c r="R1653" i="1"/>
  <c r="S1653" i="1"/>
  <c r="R1651" i="1"/>
  <c r="S1651" i="1"/>
  <c r="R1649" i="1"/>
  <c r="S1649" i="1"/>
  <c r="R1647" i="1"/>
  <c r="S1647" i="1"/>
  <c r="R1645" i="1"/>
  <c r="S1645" i="1"/>
  <c r="R1643" i="1"/>
  <c r="S1643" i="1"/>
  <c r="R1641" i="1"/>
  <c r="S1641" i="1"/>
  <c r="R1639" i="1"/>
  <c r="S1639" i="1"/>
  <c r="R1637" i="1"/>
  <c r="S1637" i="1"/>
  <c r="R1635" i="1"/>
  <c r="S1635" i="1"/>
  <c r="R1633" i="1"/>
  <c r="S1633" i="1"/>
  <c r="R1631" i="1"/>
  <c r="S1631" i="1"/>
  <c r="R1629" i="1"/>
  <c r="S1629" i="1"/>
  <c r="R1627" i="1"/>
  <c r="S1627" i="1"/>
  <c r="R1625" i="1"/>
  <c r="S1625" i="1"/>
  <c r="R1623" i="1"/>
  <c r="S1623" i="1"/>
  <c r="R1621" i="1"/>
  <c r="S1621" i="1"/>
  <c r="R1619" i="1"/>
  <c r="S1619" i="1"/>
  <c r="R1617" i="1"/>
  <c r="S1617" i="1"/>
  <c r="R1615" i="1"/>
  <c r="S1615" i="1"/>
  <c r="R1613" i="1"/>
  <c r="S1613" i="1"/>
  <c r="R1611" i="1"/>
  <c r="S1611" i="1"/>
  <c r="R1609" i="1"/>
  <c r="S1609" i="1"/>
  <c r="R1607" i="1"/>
  <c r="S1607" i="1"/>
  <c r="R1605" i="1"/>
  <c r="S1605" i="1"/>
  <c r="R1603" i="1"/>
  <c r="S1603" i="1"/>
  <c r="R1601" i="1"/>
  <c r="S1601" i="1"/>
  <c r="R1599" i="1"/>
  <c r="S1599" i="1"/>
  <c r="R1597" i="1"/>
  <c r="S1597" i="1"/>
  <c r="R1595" i="1"/>
  <c r="S1595" i="1"/>
  <c r="R1593" i="1"/>
  <c r="S1593" i="1"/>
  <c r="R1591" i="1"/>
  <c r="S1591" i="1"/>
  <c r="R1589" i="1"/>
  <c r="S1589" i="1"/>
  <c r="R1587" i="1"/>
  <c r="S1587" i="1"/>
  <c r="R1585" i="1"/>
  <c r="S1585" i="1"/>
  <c r="R1583" i="1"/>
  <c r="S1583" i="1"/>
  <c r="R1581" i="1"/>
  <c r="S1581" i="1"/>
  <c r="R1579" i="1"/>
  <c r="S1579" i="1"/>
  <c r="R1577" i="1"/>
  <c r="S1577" i="1"/>
  <c r="R1575" i="1"/>
  <c r="S1575" i="1"/>
  <c r="R1573" i="1"/>
  <c r="S1573" i="1"/>
  <c r="R1571" i="1"/>
  <c r="S1571" i="1"/>
  <c r="R1569" i="1"/>
  <c r="S1569" i="1"/>
  <c r="R1567" i="1"/>
  <c r="S1567" i="1"/>
  <c r="R1565" i="1"/>
  <c r="S1565" i="1"/>
  <c r="R1563" i="1"/>
  <c r="S1563" i="1"/>
  <c r="R1561" i="1"/>
  <c r="S1561" i="1"/>
  <c r="R1559" i="1"/>
  <c r="S1559" i="1"/>
  <c r="R1557" i="1"/>
  <c r="S1557" i="1"/>
  <c r="R1555" i="1"/>
  <c r="S1555" i="1"/>
  <c r="R1553" i="1"/>
  <c r="S1553" i="1"/>
  <c r="R1551" i="1"/>
  <c r="S1551" i="1"/>
  <c r="R1549" i="1"/>
  <c r="S1549" i="1"/>
  <c r="R1547" i="1"/>
  <c r="S1547" i="1"/>
  <c r="R1545" i="1"/>
  <c r="S1545" i="1"/>
  <c r="R1543" i="1"/>
  <c r="S1543" i="1"/>
  <c r="R1541" i="1"/>
  <c r="S1541" i="1"/>
  <c r="R1539" i="1"/>
  <c r="S1539" i="1"/>
  <c r="R1537" i="1"/>
  <c r="S1537" i="1"/>
  <c r="R1535" i="1"/>
  <c r="S1535" i="1"/>
  <c r="R1533" i="1"/>
  <c r="S1533" i="1"/>
  <c r="R1531" i="1"/>
  <c r="S1531" i="1"/>
  <c r="R1529" i="1"/>
  <c r="S1529" i="1"/>
  <c r="R1527" i="1"/>
  <c r="S1527" i="1"/>
  <c r="R1525" i="1"/>
  <c r="S1525" i="1"/>
  <c r="R1523" i="1"/>
  <c r="S1523" i="1"/>
  <c r="R1521" i="1"/>
  <c r="S1521" i="1"/>
  <c r="R1519" i="1"/>
  <c r="S1519" i="1"/>
  <c r="R1517" i="1"/>
  <c r="S1517" i="1"/>
  <c r="R1515" i="1"/>
  <c r="S1515" i="1"/>
  <c r="R1513" i="1"/>
  <c r="S1513" i="1"/>
  <c r="R1511" i="1"/>
  <c r="S1511" i="1"/>
  <c r="R1509" i="1"/>
  <c r="S1509" i="1"/>
  <c r="R1507" i="1"/>
  <c r="S1507" i="1"/>
  <c r="R1505" i="1"/>
  <c r="S1505" i="1"/>
  <c r="R1503" i="1"/>
  <c r="S1503" i="1"/>
  <c r="R1501" i="1"/>
  <c r="S1501" i="1"/>
  <c r="R1499" i="1"/>
  <c r="S1499" i="1"/>
  <c r="R1497" i="1"/>
  <c r="S1497" i="1"/>
  <c r="R1495" i="1"/>
  <c r="S1495" i="1"/>
  <c r="R1493" i="1"/>
  <c r="S1493" i="1"/>
  <c r="R1491" i="1"/>
  <c r="S1491" i="1"/>
  <c r="R1489" i="1"/>
  <c r="S1489" i="1"/>
  <c r="R1487" i="1"/>
  <c r="S1487" i="1"/>
  <c r="R1485" i="1"/>
  <c r="S1485" i="1"/>
  <c r="R1483" i="1"/>
  <c r="S1483" i="1"/>
  <c r="R1481" i="1"/>
  <c r="S1481" i="1"/>
  <c r="R1479" i="1"/>
  <c r="S1479" i="1"/>
  <c r="R1477" i="1"/>
  <c r="S1477" i="1"/>
  <c r="R1475" i="1"/>
  <c r="S1475" i="1"/>
  <c r="R1473" i="1"/>
  <c r="S1473" i="1"/>
  <c r="R1471" i="1"/>
  <c r="S1471" i="1"/>
  <c r="R1469" i="1"/>
  <c r="S1469" i="1"/>
  <c r="R1467" i="1"/>
  <c r="S1467" i="1"/>
  <c r="R1465" i="1"/>
  <c r="S1465" i="1"/>
  <c r="R1463" i="1"/>
  <c r="S1463" i="1"/>
  <c r="R1461" i="1"/>
  <c r="S1461" i="1"/>
  <c r="R1459" i="1"/>
  <c r="S1459" i="1"/>
  <c r="R1457" i="1"/>
  <c r="S1457" i="1"/>
  <c r="R1455" i="1"/>
  <c r="S1455" i="1"/>
  <c r="R1453" i="1"/>
  <c r="S1453" i="1"/>
  <c r="R1451" i="1"/>
  <c r="S1451" i="1"/>
  <c r="R1449" i="1"/>
  <c r="S1449" i="1"/>
  <c r="R1447" i="1"/>
  <c r="S1447" i="1"/>
  <c r="R1445" i="1"/>
  <c r="S1445" i="1"/>
  <c r="R1443" i="1"/>
  <c r="S1443" i="1"/>
  <c r="R1441" i="1"/>
  <c r="S1441" i="1"/>
  <c r="R1439" i="1"/>
  <c r="S1439" i="1"/>
  <c r="R1437" i="1"/>
  <c r="S1437" i="1"/>
  <c r="R1435" i="1"/>
  <c r="S1435" i="1"/>
  <c r="R1433" i="1"/>
  <c r="S1433" i="1"/>
  <c r="R1431" i="1"/>
  <c r="S1431" i="1"/>
  <c r="R1429" i="1"/>
  <c r="S1429" i="1"/>
  <c r="R1427" i="1"/>
  <c r="S1427" i="1"/>
  <c r="R1425" i="1"/>
  <c r="S1425" i="1"/>
  <c r="R1423" i="1"/>
  <c r="S1423" i="1"/>
  <c r="R1421" i="1"/>
  <c r="S1421" i="1"/>
  <c r="R1419" i="1"/>
  <c r="S1419" i="1"/>
  <c r="R1417" i="1"/>
  <c r="S1417" i="1"/>
  <c r="R1415" i="1"/>
  <c r="S1415" i="1"/>
  <c r="R1413" i="1"/>
  <c r="S1413" i="1"/>
  <c r="R1411" i="1"/>
  <c r="S1411" i="1"/>
  <c r="R1409" i="1"/>
  <c r="S1409" i="1"/>
  <c r="R1407" i="1"/>
  <c r="S1407" i="1"/>
  <c r="R1405" i="1"/>
  <c r="S1405" i="1"/>
  <c r="R1403" i="1"/>
  <c r="S1403" i="1"/>
  <c r="R1401" i="1"/>
  <c r="S1401" i="1"/>
  <c r="R1399" i="1"/>
  <c r="S1399" i="1"/>
  <c r="R1397" i="1"/>
  <c r="S1397" i="1"/>
  <c r="R1395" i="1"/>
  <c r="S1395" i="1"/>
  <c r="R1393" i="1"/>
  <c r="S1393" i="1"/>
  <c r="R1391" i="1"/>
  <c r="S1391" i="1"/>
  <c r="R1389" i="1"/>
  <c r="S1389" i="1"/>
  <c r="R1387" i="1"/>
  <c r="S1387" i="1"/>
  <c r="R1385" i="1"/>
  <c r="S1385" i="1"/>
  <c r="R1383" i="1"/>
  <c r="S1383" i="1"/>
  <c r="R1381" i="1"/>
  <c r="S1381" i="1"/>
  <c r="R1379" i="1"/>
  <c r="S1379" i="1"/>
  <c r="R1377" i="1"/>
  <c r="S1377" i="1"/>
  <c r="R1375" i="1"/>
  <c r="S1375" i="1"/>
  <c r="R1373" i="1"/>
  <c r="S1373" i="1"/>
  <c r="R1371" i="1"/>
  <c r="S1371" i="1"/>
  <c r="R1369" i="1"/>
  <c r="S1369" i="1"/>
  <c r="R1367" i="1"/>
  <c r="S1367" i="1"/>
  <c r="R1365" i="1"/>
  <c r="S1365" i="1"/>
  <c r="R1363" i="1"/>
  <c r="S1363" i="1"/>
  <c r="R1361" i="1"/>
  <c r="S1361" i="1"/>
  <c r="R1359" i="1"/>
  <c r="S1359" i="1"/>
  <c r="R1357" i="1"/>
  <c r="S1357" i="1"/>
  <c r="R1355" i="1"/>
  <c r="S1355" i="1"/>
  <c r="R1353" i="1"/>
  <c r="S1353" i="1"/>
  <c r="R1351" i="1"/>
  <c r="S1351" i="1"/>
  <c r="R1349" i="1"/>
  <c r="S1349" i="1"/>
  <c r="R1347" i="1"/>
  <c r="S1347" i="1"/>
  <c r="R1345" i="1"/>
  <c r="S1345" i="1"/>
  <c r="R1343" i="1"/>
  <c r="S1343" i="1"/>
  <c r="R1341" i="1"/>
  <c r="S1341" i="1"/>
  <c r="R1339" i="1"/>
  <c r="S1339" i="1"/>
  <c r="R1337" i="1"/>
  <c r="S1337" i="1"/>
  <c r="R1335" i="1"/>
  <c r="S1335" i="1"/>
  <c r="R1333" i="1"/>
  <c r="S1333" i="1"/>
  <c r="R1331" i="1"/>
  <c r="S1331" i="1"/>
  <c r="R1329" i="1"/>
  <c r="S1329" i="1"/>
  <c r="R1327" i="1"/>
  <c r="S1327" i="1"/>
  <c r="R1325" i="1"/>
  <c r="S1325" i="1"/>
  <c r="R1323" i="1"/>
  <c r="S1323" i="1"/>
  <c r="R1321" i="1"/>
  <c r="S1321" i="1"/>
  <c r="R1319" i="1"/>
  <c r="S1319" i="1"/>
  <c r="R1317" i="1"/>
  <c r="S1317" i="1"/>
  <c r="R1315" i="1"/>
  <c r="S1315" i="1"/>
  <c r="R1313" i="1"/>
  <c r="S1313" i="1"/>
  <c r="R1311" i="1"/>
  <c r="S1311" i="1"/>
  <c r="R1309" i="1"/>
  <c r="S1309" i="1"/>
  <c r="R1307" i="1"/>
  <c r="S1307" i="1"/>
  <c r="R1305" i="1"/>
  <c r="S1305" i="1"/>
  <c r="R1303" i="1"/>
  <c r="S1303" i="1"/>
  <c r="R1301" i="1"/>
  <c r="S1301" i="1"/>
  <c r="R1299" i="1"/>
  <c r="S1299" i="1"/>
  <c r="R1297" i="1"/>
  <c r="S1297" i="1"/>
  <c r="R1295" i="1"/>
  <c r="S1295" i="1"/>
  <c r="R1293" i="1"/>
  <c r="S1293" i="1"/>
  <c r="R1291" i="1"/>
  <c r="S1291" i="1"/>
  <c r="R1289" i="1"/>
  <c r="S1289" i="1"/>
  <c r="R1287" i="1"/>
  <c r="S1287" i="1"/>
  <c r="R1285" i="1"/>
  <c r="S1285" i="1"/>
  <c r="R1283" i="1"/>
  <c r="S1283" i="1"/>
  <c r="R1281" i="1"/>
  <c r="S1281" i="1"/>
  <c r="R1279" i="1"/>
  <c r="S1279" i="1"/>
  <c r="R1277" i="1"/>
  <c r="S1277" i="1"/>
  <c r="R1275" i="1"/>
  <c r="S1275" i="1"/>
  <c r="R1273" i="1"/>
  <c r="S1273" i="1"/>
  <c r="R1271" i="1"/>
  <c r="S1271" i="1"/>
  <c r="R1269" i="1"/>
  <c r="S1269" i="1"/>
  <c r="R1267" i="1"/>
  <c r="S1267" i="1"/>
  <c r="R1265" i="1"/>
  <c r="S1265" i="1"/>
  <c r="R1263" i="1"/>
  <c r="S1263" i="1"/>
  <c r="R1261" i="1"/>
  <c r="S1261" i="1"/>
  <c r="R1259" i="1"/>
  <c r="S1259" i="1"/>
  <c r="R1257" i="1"/>
  <c r="S1257" i="1"/>
  <c r="R1255" i="1"/>
  <c r="S1255" i="1"/>
  <c r="R1253" i="1"/>
  <c r="S1253" i="1"/>
  <c r="R1251" i="1"/>
  <c r="S1251" i="1"/>
  <c r="R1249" i="1"/>
  <c r="S1249" i="1"/>
  <c r="R1247" i="1"/>
  <c r="S1247" i="1"/>
  <c r="R1245" i="1"/>
  <c r="S1245" i="1"/>
  <c r="R1243" i="1"/>
  <c r="S1243" i="1"/>
  <c r="R1241" i="1"/>
  <c r="S1241" i="1"/>
  <c r="R1239" i="1"/>
  <c r="S1239" i="1"/>
  <c r="R1237" i="1"/>
  <c r="S1237" i="1"/>
  <c r="R1235" i="1"/>
  <c r="S1235" i="1"/>
  <c r="R1233" i="1"/>
  <c r="S1233" i="1"/>
  <c r="R1231" i="1"/>
  <c r="S1231" i="1"/>
  <c r="R1229" i="1"/>
  <c r="S1229" i="1"/>
  <c r="R1227" i="1"/>
  <c r="S1227" i="1"/>
  <c r="R1225" i="1"/>
  <c r="S1225" i="1"/>
  <c r="R1223" i="1"/>
  <c r="S1223" i="1"/>
  <c r="R1221" i="1"/>
  <c r="S1221" i="1"/>
  <c r="R1219" i="1"/>
  <c r="S1219" i="1"/>
  <c r="R1217" i="1"/>
  <c r="S1217" i="1"/>
  <c r="R1215" i="1"/>
  <c r="S1215" i="1"/>
  <c r="R1213" i="1"/>
  <c r="S1213" i="1"/>
  <c r="R1211" i="1"/>
  <c r="S1211" i="1"/>
  <c r="R1209" i="1"/>
  <c r="S1209" i="1"/>
  <c r="R1207" i="1"/>
  <c r="S1207" i="1"/>
  <c r="R1205" i="1"/>
  <c r="S1205" i="1"/>
  <c r="R1203" i="1"/>
  <c r="S1203" i="1"/>
  <c r="R1201" i="1"/>
  <c r="S1201" i="1"/>
  <c r="R1199" i="1"/>
  <c r="S1199" i="1"/>
  <c r="R1197" i="1"/>
  <c r="S1197" i="1"/>
  <c r="R1195" i="1"/>
  <c r="S1195" i="1"/>
  <c r="R1193" i="1"/>
  <c r="S1193" i="1"/>
  <c r="R1191" i="1"/>
  <c r="S1191" i="1"/>
  <c r="R1189" i="1"/>
  <c r="S1189" i="1"/>
  <c r="R1187" i="1"/>
  <c r="S1187" i="1"/>
  <c r="R1185" i="1"/>
  <c r="S1185" i="1"/>
  <c r="R1183" i="1"/>
  <c r="S1183" i="1"/>
  <c r="R1181" i="1"/>
  <c r="S1181" i="1"/>
  <c r="R1179" i="1"/>
  <c r="S1179" i="1"/>
  <c r="R1177" i="1"/>
  <c r="S1177" i="1"/>
  <c r="R1175" i="1"/>
  <c r="S1175" i="1"/>
  <c r="R1173" i="1"/>
  <c r="S1173" i="1"/>
  <c r="R1171" i="1"/>
  <c r="S1171" i="1"/>
  <c r="R1169" i="1"/>
  <c r="S1169" i="1"/>
  <c r="R1167" i="1"/>
  <c r="S1167" i="1"/>
  <c r="R1165" i="1"/>
  <c r="S1165" i="1"/>
  <c r="R1163" i="1"/>
  <c r="S1163" i="1"/>
  <c r="R1161" i="1"/>
  <c r="S1161" i="1"/>
  <c r="R1159" i="1"/>
  <c r="S1159" i="1"/>
  <c r="R1157" i="1"/>
  <c r="S1157" i="1"/>
  <c r="R1155" i="1"/>
  <c r="S1155" i="1"/>
  <c r="R1153" i="1"/>
  <c r="S1153" i="1"/>
  <c r="R1151" i="1"/>
  <c r="S1151" i="1"/>
  <c r="R1149" i="1"/>
  <c r="S1149" i="1"/>
  <c r="R1147" i="1"/>
  <c r="S1147" i="1"/>
  <c r="R1145" i="1"/>
  <c r="S1145" i="1"/>
  <c r="R1143" i="1"/>
  <c r="S1143" i="1"/>
  <c r="R1141" i="1"/>
  <c r="S1141" i="1"/>
  <c r="R1139" i="1"/>
  <c r="S1139" i="1"/>
  <c r="R1137" i="1"/>
  <c r="S1137" i="1"/>
  <c r="R1135" i="1"/>
  <c r="S1135" i="1"/>
  <c r="R1133" i="1"/>
  <c r="S1133" i="1"/>
  <c r="R1131" i="1"/>
  <c r="S1131" i="1"/>
  <c r="R1129" i="1"/>
  <c r="S1129" i="1"/>
  <c r="R1127" i="1"/>
  <c r="S1127" i="1"/>
  <c r="R1125" i="1"/>
  <c r="S1125" i="1"/>
  <c r="R1123" i="1"/>
  <c r="S1123" i="1"/>
  <c r="R1121" i="1"/>
  <c r="S1121" i="1"/>
  <c r="R1119" i="1"/>
  <c r="S1119" i="1"/>
  <c r="R1117" i="1"/>
  <c r="S1117" i="1"/>
  <c r="R1115" i="1"/>
  <c r="S1115" i="1"/>
  <c r="R1113" i="1"/>
  <c r="S1113" i="1"/>
  <c r="R1111" i="1"/>
  <c r="S1111" i="1"/>
  <c r="R1109" i="1"/>
  <c r="S1109" i="1"/>
  <c r="R1107" i="1"/>
  <c r="S1107" i="1"/>
  <c r="R1105" i="1"/>
  <c r="S1105" i="1"/>
  <c r="R1103" i="1"/>
  <c r="S1103" i="1"/>
  <c r="R1101" i="1"/>
  <c r="S1101" i="1"/>
  <c r="R1099" i="1"/>
  <c r="S1099" i="1"/>
  <c r="R1097" i="1"/>
  <c r="S1097" i="1"/>
  <c r="R1095" i="1"/>
  <c r="S1095" i="1"/>
  <c r="R1093" i="1"/>
  <c r="S1093" i="1"/>
  <c r="R1091" i="1"/>
  <c r="S1091" i="1"/>
  <c r="R1089" i="1"/>
  <c r="S1089" i="1"/>
  <c r="R1087" i="1"/>
  <c r="S1087" i="1"/>
  <c r="R1085" i="1"/>
  <c r="S1085" i="1"/>
  <c r="R1083" i="1"/>
  <c r="S1083" i="1"/>
  <c r="R1081" i="1"/>
  <c r="S1081" i="1"/>
  <c r="R1079" i="1"/>
  <c r="S1079" i="1"/>
  <c r="R1077" i="1"/>
  <c r="S1077" i="1"/>
  <c r="R1075" i="1"/>
  <c r="S1075" i="1"/>
  <c r="R1073" i="1"/>
  <c r="S1073" i="1"/>
  <c r="R1071" i="1"/>
  <c r="S1071" i="1"/>
  <c r="R1069" i="1"/>
  <c r="S1069" i="1"/>
  <c r="R1067" i="1"/>
  <c r="S1067" i="1"/>
  <c r="R1065" i="1"/>
  <c r="S1065" i="1"/>
  <c r="R1063" i="1"/>
  <c r="S1063" i="1"/>
  <c r="R1061" i="1"/>
  <c r="S1061" i="1"/>
  <c r="R1059" i="1"/>
  <c r="S1059" i="1"/>
  <c r="R1057" i="1"/>
  <c r="S1057" i="1"/>
  <c r="R1055" i="1"/>
  <c r="S1055" i="1"/>
  <c r="R1053" i="1"/>
  <c r="S1053" i="1"/>
  <c r="R1051" i="1"/>
  <c r="S1051" i="1"/>
  <c r="R1049" i="1"/>
  <c r="S1049" i="1"/>
  <c r="R1047" i="1"/>
  <c r="S1047" i="1"/>
  <c r="R1045" i="1"/>
  <c r="S1045" i="1"/>
  <c r="R1043" i="1"/>
  <c r="S1043" i="1"/>
  <c r="R1041" i="1"/>
  <c r="S1041" i="1"/>
  <c r="R1039" i="1"/>
  <c r="S1039" i="1"/>
  <c r="R1037" i="1"/>
  <c r="S1037" i="1"/>
  <c r="R1035" i="1"/>
  <c r="S1035" i="1"/>
  <c r="R1033" i="1"/>
  <c r="S1033" i="1"/>
  <c r="R1031" i="1"/>
  <c r="S1031" i="1"/>
  <c r="R1029" i="1"/>
  <c r="S1029" i="1"/>
  <c r="R1027" i="1"/>
  <c r="S1027" i="1"/>
  <c r="R1025" i="1"/>
  <c r="S1025" i="1"/>
  <c r="R1023" i="1"/>
  <c r="S1023" i="1"/>
  <c r="R1021" i="1"/>
  <c r="S1021" i="1"/>
  <c r="R1019" i="1"/>
  <c r="S1019" i="1"/>
  <c r="R1017" i="1"/>
  <c r="S1017" i="1"/>
  <c r="R1015" i="1"/>
  <c r="S1015" i="1"/>
  <c r="R1013" i="1"/>
  <c r="S1013" i="1"/>
  <c r="R1011" i="1"/>
  <c r="S1011" i="1"/>
  <c r="R1009" i="1"/>
  <c r="S1009" i="1"/>
  <c r="R1007" i="1"/>
  <c r="S1007" i="1"/>
  <c r="R1005" i="1"/>
  <c r="S1005" i="1"/>
  <c r="R1003" i="1"/>
  <c r="S1003" i="1"/>
  <c r="R1001" i="1"/>
  <c r="S1001" i="1"/>
  <c r="R999" i="1"/>
  <c r="S999" i="1"/>
  <c r="R997" i="1"/>
  <c r="S997" i="1"/>
  <c r="R995" i="1"/>
  <c r="S995" i="1"/>
  <c r="R993" i="1"/>
  <c r="S993" i="1"/>
  <c r="R991" i="1"/>
  <c r="S991" i="1"/>
  <c r="R989" i="1"/>
  <c r="S989" i="1"/>
  <c r="R987" i="1"/>
  <c r="S987" i="1"/>
  <c r="R985" i="1"/>
  <c r="S985" i="1"/>
  <c r="R983" i="1"/>
  <c r="S983" i="1"/>
  <c r="R981" i="1"/>
  <c r="S981" i="1"/>
  <c r="R979" i="1"/>
  <c r="S979" i="1"/>
  <c r="R977" i="1"/>
  <c r="S977" i="1"/>
  <c r="R975" i="1"/>
  <c r="S975" i="1"/>
  <c r="R973" i="1"/>
  <c r="S973" i="1"/>
  <c r="R971" i="1"/>
  <c r="S971" i="1"/>
  <c r="R969" i="1"/>
  <c r="S969" i="1"/>
  <c r="R967" i="1"/>
  <c r="S967" i="1"/>
  <c r="R965" i="1"/>
  <c r="S965" i="1"/>
  <c r="R963" i="1"/>
  <c r="S963" i="1"/>
  <c r="R961" i="1"/>
  <c r="S961" i="1"/>
  <c r="R959" i="1"/>
  <c r="S959" i="1"/>
  <c r="R957" i="1"/>
  <c r="S957" i="1"/>
  <c r="R955" i="1"/>
  <c r="S955" i="1"/>
  <c r="R953" i="1"/>
  <c r="S953" i="1"/>
  <c r="R951" i="1"/>
  <c r="S951" i="1"/>
  <c r="R949" i="1"/>
  <c r="S949" i="1"/>
  <c r="R947" i="1"/>
  <c r="S947" i="1"/>
  <c r="R945" i="1"/>
  <c r="S945" i="1"/>
  <c r="R943" i="1"/>
  <c r="S943" i="1"/>
  <c r="R941" i="1"/>
  <c r="S941" i="1"/>
  <c r="R939" i="1"/>
  <c r="S939" i="1"/>
  <c r="R935" i="1"/>
  <c r="S935" i="1"/>
  <c r="R933" i="1"/>
  <c r="S933" i="1"/>
  <c r="R931" i="1"/>
  <c r="S931" i="1"/>
  <c r="R929" i="1"/>
  <c r="S929" i="1"/>
  <c r="R927" i="1"/>
  <c r="S927" i="1"/>
  <c r="R925" i="1"/>
  <c r="S925" i="1"/>
  <c r="R923" i="1"/>
  <c r="S923" i="1"/>
  <c r="R919" i="1"/>
  <c r="S919" i="1"/>
  <c r="R917" i="1"/>
  <c r="S917" i="1"/>
  <c r="R915" i="1"/>
  <c r="S915" i="1"/>
  <c r="R913" i="1"/>
  <c r="S913" i="1"/>
  <c r="R911" i="1"/>
  <c r="S911" i="1"/>
  <c r="R909" i="1"/>
  <c r="S909" i="1"/>
  <c r="R907" i="1"/>
  <c r="S907" i="1"/>
  <c r="R903" i="1"/>
  <c r="S903" i="1"/>
  <c r="R901" i="1"/>
  <c r="S901" i="1"/>
  <c r="R899" i="1"/>
  <c r="S899" i="1"/>
  <c r="R897" i="1"/>
  <c r="S897" i="1"/>
  <c r="R895" i="1"/>
  <c r="S895" i="1"/>
  <c r="R893" i="1"/>
  <c r="S893" i="1"/>
  <c r="R891" i="1"/>
  <c r="S891" i="1"/>
  <c r="R887" i="1"/>
  <c r="S887" i="1"/>
  <c r="R885" i="1"/>
  <c r="S885" i="1"/>
  <c r="R883" i="1"/>
  <c r="S883" i="1"/>
  <c r="R881" i="1"/>
  <c r="S881" i="1"/>
  <c r="R879" i="1"/>
  <c r="S879" i="1"/>
  <c r="R877" i="1"/>
  <c r="S877" i="1"/>
  <c r="R875" i="1"/>
  <c r="S875" i="1"/>
  <c r="R871" i="1"/>
  <c r="S871" i="1"/>
  <c r="R869" i="1"/>
  <c r="S869" i="1"/>
  <c r="R867" i="1"/>
  <c r="S867" i="1"/>
  <c r="R865" i="1"/>
  <c r="S865" i="1"/>
  <c r="R863" i="1"/>
  <c r="S863" i="1"/>
  <c r="R861" i="1"/>
  <c r="S861" i="1"/>
  <c r="R859" i="1"/>
  <c r="S859" i="1"/>
  <c r="R855" i="1"/>
  <c r="S855" i="1"/>
  <c r="R853" i="1"/>
  <c r="S853" i="1"/>
  <c r="R851" i="1"/>
  <c r="S851" i="1"/>
  <c r="R849" i="1"/>
  <c r="S849" i="1"/>
  <c r="R847" i="1"/>
  <c r="S847" i="1"/>
  <c r="R845" i="1"/>
  <c r="S845" i="1"/>
  <c r="R843" i="1"/>
  <c r="S843" i="1"/>
  <c r="R839" i="1"/>
  <c r="S839" i="1"/>
  <c r="R837" i="1"/>
  <c r="S837" i="1"/>
  <c r="R835" i="1"/>
  <c r="S835" i="1"/>
  <c r="R833" i="1"/>
  <c r="S833" i="1"/>
  <c r="R831" i="1"/>
  <c r="S831" i="1"/>
  <c r="R829" i="1"/>
  <c r="S829" i="1"/>
  <c r="R827" i="1"/>
  <c r="S827" i="1"/>
  <c r="R823" i="1"/>
  <c r="S823" i="1"/>
  <c r="R821" i="1"/>
  <c r="S821" i="1"/>
  <c r="R819" i="1"/>
  <c r="S819" i="1"/>
  <c r="R817" i="1"/>
  <c r="S817" i="1"/>
  <c r="R815" i="1"/>
  <c r="S815" i="1"/>
  <c r="R813" i="1"/>
  <c r="S813" i="1"/>
  <c r="R811" i="1"/>
  <c r="S811" i="1"/>
  <c r="R807" i="1"/>
  <c r="S807" i="1"/>
  <c r="R805" i="1"/>
  <c r="S805" i="1"/>
  <c r="R803" i="1"/>
  <c r="S803" i="1"/>
  <c r="R801" i="1"/>
  <c r="S801" i="1"/>
  <c r="R799" i="1"/>
  <c r="S799" i="1"/>
  <c r="R797" i="1"/>
  <c r="S797" i="1"/>
  <c r="R795" i="1"/>
  <c r="S795" i="1"/>
  <c r="R791" i="1"/>
  <c r="S791" i="1"/>
  <c r="R789" i="1"/>
  <c r="S789" i="1"/>
  <c r="R787" i="1"/>
  <c r="S787" i="1"/>
  <c r="R785" i="1"/>
  <c r="S785" i="1"/>
  <c r="R783" i="1"/>
  <c r="S783" i="1"/>
  <c r="R781" i="1"/>
  <c r="S781" i="1"/>
  <c r="R779" i="1"/>
  <c r="S779" i="1"/>
  <c r="R775" i="1"/>
  <c r="S775" i="1"/>
  <c r="R773" i="1"/>
  <c r="S773" i="1"/>
  <c r="R771" i="1"/>
  <c r="S771" i="1"/>
  <c r="R769" i="1"/>
  <c r="S769" i="1"/>
  <c r="R767" i="1"/>
  <c r="S767" i="1"/>
  <c r="R765" i="1"/>
  <c r="S765" i="1"/>
  <c r="R763" i="1"/>
  <c r="S763" i="1"/>
  <c r="R759" i="1"/>
  <c r="S759" i="1"/>
  <c r="R757" i="1"/>
  <c r="S757" i="1"/>
  <c r="R755" i="1"/>
  <c r="S755" i="1"/>
  <c r="R753" i="1"/>
  <c r="S753" i="1"/>
  <c r="R751" i="1"/>
  <c r="S751" i="1"/>
  <c r="R749" i="1"/>
  <c r="S749" i="1"/>
  <c r="R747" i="1"/>
  <c r="S747" i="1"/>
  <c r="R743" i="1"/>
  <c r="S743" i="1"/>
  <c r="R741" i="1"/>
  <c r="S741" i="1"/>
  <c r="R739" i="1"/>
  <c r="S739" i="1"/>
  <c r="R737" i="1"/>
  <c r="S737" i="1"/>
  <c r="R735" i="1"/>
  <c r="S735" i="1"/>
  <c r="R733" i="1"/>
  <c r="S733" i="1"/>
  <c r="R731" i="1"/>
  <c r="S731" i="1"/>
  <c r="R727" i="1"/>
  <c r="S727" i="1"/>
  <c r="R725" i="1"/>
  <c r="S725" i="1"/>
  <c r="R723" i="1"/>
  <c r="S723" i="1"/>
  <c r="R721" i="1"/>
  <c r="S721" i="1"/>
  <c r="R719" i="1"/>
  <c r="S719" i="1"/>
  <c r="R717" i="1"/>
  <c r="S717" i="1"/>
  <c r="R715" i="1"/>
  <c r="S715" i="1"/>
  <c r="R711" i="1"/>
  <c r="S711" i="1"/>
  <c r="R709" i="1"/>
  <c r="S709" i="1"/>
  <c r="R707" i="1"/>
  <c r="S707" i="1"/>
  <c r="R705" i="1"/>
  <c r="S705" i="1"/>
  <c r="R703" i="1"/>
  <c r="S703" i="1"/>
  <c r="R701" i="1"/>
  <c r="S701" i="1"/>
  <c r="R699" i="1"/>
  <c r="S699" i="1"/>
  <c r="R695" i="1"/>
  <c r="S695" i="1"/>
  <c r="R693" i="1"/>
  <c r="S693" i="1"/>
  <c r="R691" i="1"/>
  <c r="S691" i="1"/>
  <c r="R689" i="1"/>
  <c r="S689" i="1"/>
  <c r="R687" i="1"/>
  <c r="S687" i="1"/>
  <c r="R685" i="1"/>
  <c r="S685" i="1"/>
  <c r="R683" i="1"/>
  <c r="S683" i="1"/>
  <c r="R679" i="1"/>
  <c r="S679" i="1"/>
  <c r="R677" i="1"/>
  <c r="S677" i="1"/>
  <c r="R675" i="1"/>
  <c r="S675" i="1"/>
  <c r="R673" i="1"/>
  <c r="S673" i="1"/>
  <c r="R671" i="1"/>
  <c r="S671" i="1"/>
  <c r="R669" i="1"/>
  <c r="S669" i="1"/>
  <c r="R667" i="1"/>
  <c r="S667" i="1"/>
  <c r="R663" i="1"/>
  <c r="S663" i="1"/>
  <c r="R661" i="1"/>
  <c r="S661" i="1"/>
  <c r="R659" i="1"/>
  <c r="S659" i="1"/>
  <c r="R657" i="1"/>
  <c r="S657" i="1"/>
  <c r="R655" i="1"/>
  <c r="S655" i="1"/>
  <c r="R653" i="1"/>
  <c r="S653" i="1"/>
  <c r="R651" i="1"/>
  <c r="S651" i="1"/>
  <c r="R647" i="1"/>
  <c r="S647" i="1"/>
  <c r="R645" i="1"/>
  <c r="S645" i="1"/>
  <c r="R643" i="1"/>
  <c r="S643" i="1"/>
  <c r="R641" i="1"/>
  <c r="S641" i="1"/>
  <c r="R639" i="1"/>
  <c r="S639" i="1"/>
  <c r="R637" i="1"/>
  <c r="S637" i="1"/>
  <c r="R635" i="1"/>
  <c r="S635" i="1"/>
  <c r="R631" i="1"/>
  <c r="S631" i="1"/>
  <c r="R629" i="1"/>
  <c r="S629" i="1"/>
  <c r="R627" i="1"/>
  <c r="S627" i="1"/>
  <c r="R625" i="1"/>
  <c r="S625" i="1"/>
  <c r="R623" i="1"/>
  <c r="S623" i="1"/>
  <c r="R621" i="1"/>
  <c r="S621" i="1"/>
  <c r="R619" i="1"/>
  <c r="S619" i="1"/>
  <c r="R615" i="1"/>
  <c r="S615" i="1"/>
  <c r="R613" i="1"/>
  <c r="S613" i="1"/>
  <c r="R611" i="1"/>
  <c r="S611" i="1"/>
  <c r="R609" i="1"/>
  <c r="S609" i="1"/>
  <c r="R607" i="1"/>
  <c r="S607" i="1"/>
  <c r="R605" i="1"/>
  <c r="S605" i="1"/>
  <c r="R603" i="1"/>
  <c r="S603" i="1"/>
  <c r="R599" i="1"/>
  <c r="S599" i="1"/>
  <c r="R597" i="1"/>
  <c r="S597" i="1"/>
  <c r="R595" i="1"/>
  <c r="S595" i="1"/>
  <c r="R593" i="1"/>
  <c r="S593" i="1"/>
  <c r="R591" i="1"/>
  <c r="S591" i="1"/>
  <c r="R589" i="1"/>
  <c r="S589" i="1"/>
  <c r="R587" i="1"/>
  <c r="S587" i="1"/>
  <c r="R583" i="1"/>
  <c r="S583" i="1"/>
  <c r="R581" i="1"/>
  <c r="S581" i="1"/>
  <c r="R579" i="1"/>
  <c r="S579" i="1"/>
  <c r="R577" i="1"/>
  <c r="S577" i="1"/>
  <c r="R575" i="1"/>
  <c r="S575" i="1"/>
  <c r="R573" i="1"/>
  <c r="S573" i="1"/>
  <c r="R571" i="1"/>
  <c r="S571" i="1"/>
  <c r="R567" i="1"/>
  <c r="S567" i="1"/>
  <c r="R565" i="1"/>
  <c r="S565" i="1"/>
  <c r="R563" i="1"/>
  <c r="S563" i="1"/>
  <c r="R561" i="1"/>
  <c r="S561" i="1"/>
  <c r="R559" i="1"/>
  <c r="S559" i="1"/>
  <c r="R557" i="1"/>
  <c r="S557" i="1"/>
  <c r="R555" i="1"/>
  <c r="S555" i="1"/>
  <c r="R551" i="1"/>
  <c r="S551" i="1"/>
  <c r="R549" i="1"/>
  <c r="S549" i="1"/>
  <c r="R547" i="1"/>
  <c r="S547" i="1"/>
  <c r="R545" i="1"/>
  <c r="S545" i="1"/>
  <c r="R543" i="1"/>
  <c r="S543" i="1"/>
  <c r="R541" i="1"/>
  <c r="S541" i="1"/>
  <c r="R539" i="1"/>
  <c r="S539" i="1"/>
  <c r="R535" i="1"/>
  <c r="S535" i="1"/>
  <c r="R533" i="1"/>
  <c r="S533" i="1"/>
  <c r="R531" i="1"/>
  <c r="S531" i="1"/>
  <c r="R529" i="1"/>
  <c r="S529" i="1"/>
  <c r="R527" i="1"/>
  <c r="S527" i="1"/>
  <c r="R525" i="1"/>
  <c r="S525" i="1"/>
  <c r="R523" i="1"/>
  <c r="S523" i="1"/>
  <c r="R519" i="1"/>
  <c r="S519" i="1"/>
  <c r="R517" i="1"/>
  <c r="S517" i="1"/>
  <c r="R515" i="1"/>
  <c r="S515" i="1"/>
  <c r="R513" i="1"/>
  <c r="S513" i="1"/>
  <c r="R511" i="1"/>
  <c r="S511" i="1"/>
  <c r="R509" i="1"/>
  <c r="S509" i="1"/>
  <c r="R507" i="1"/>
  <c r="S507" i="1"/>
  <c r="R503" i="1"/>
  <c r="S503" i="1"/>
  <c r="R501" i="1"/>
  <c r="S501" i="1"/>
  <c r="R499" i="1"/>
  <c r="S499" i="1"/>
  <c r="R497" i="1"/>
  <c r="S497" i="1"/>
  <c r="R495" i="1"/>
  <c r="S495" i="1"/>
  <c r="R493" i="1"/>
  <c r="S493" i="1"/>
  <c r="R491" i="1"/>
  <c r="S491" i="1"/>
  <c r="R487" i="1"/>
  <c r="S487" i="1"/>
  <c r="R485" i="1"/>
  <c r="S485" i="1"/>
  <c r="R483" i="1"/>
  <c r="S483" i="1"/>
  <c r="R481" i="1"/>
  <c r="S481" i="1"/>
  <c r="R479" i="1"/>
  <c r="S479" i="1"/>
  <c r="R477" i="1"/>
  <c r="S477" i="1"/>
  <c r="R475" i="1"/>
  <c r="S475" i="1"/>
  <c r="R471" i="1"/>
  <c r="S471" i="1"/>
  <c r="R469" i="1"/>
  <c r="S469" i="1"/>
  <c r="R467" i="1"/>
  <c r="S467" i="1"/>
  <c r="R465" i="1"/>
  <c r="S465" i="1"/>
  <c r="R463" i="1"/>
  <c r="S463" i="1"/>
  <c r="R461" i="1"/>
  <c r="S461" i="1"/>
  <c r="R459" i="1"/>
  <c r="S459" i="1"/>
  <c r="R455" i="1"/>
  <c r="S455" i="1"/>
  <c r="R453" i="1"/>
  <c r="S453" i="1"/>
  <c r="R451" i="1"/>
  <c r="S451" i="1"/>
  <c r="R449" i="1"/>
  <c r="S449" i="1"/>
  <c r="R447" i="1"/>
  <c r="S447" i="1"/>
  <c r="R445" i="1"/>
  <c r="S445" i="1"/>
  <c r="R443" i="1"/>
  <c r="S443" i="1"/>
  <c r="R439" i="1"/>
  <c r="S439" i="1"/>
  <c r="R437" i="1"/>
  <c r="S437" i="1"/>
  <c r="R435" i="1"/>
  <c r="S435" i="1"/>
  <c r="R433" i="1"/>
  <c r="S433" i="1"/>
  <c r="R431" i="1"/>
  <c r="S431" i="1"/>
  <c r="R429" i="1"/>
  <c r="S429" i="1"/>
  <c r="R427" i="1"/>
  <c r="S427" i="1"/>
  <c r="R425" i="1"/>
  <c r="S425" i="1"/>
  <c r="R421" i="1"/>
  <c r="S421" i="1"/>
  <c r="R419" i="1"/>
  <c r="S419" i="1"/>
  <c r="R417" i="1"/>
  <c r="S417" i="1"/>
  <c r="R415" i="1"/>
  <c r="S415" i="1"/>
  <c r="R413" i="1"/>
  <c r="S413" i="1"/>
  <c r="R411" i="1"/>
  <c r="S411" i="1"/>
  <c r="R409" i="1"/>
  <c r="S409" i="1"/>
  <c r="R407" i="1"/>
  <c r="S407" i="1"/>
  <c r="R405" i="1"/>
  <c r="S405" i="1"/>
  <c r="R403" i="1"/>
  <c r="S403" i="1"/>
  <c r="R401" i="1"/>
  <c r="S401" i="1"/>
  <c r="R399" i="1"/>
  <c r="S399" i="1"/>
  <c r="R397" i="1"/>
  <c r="S397" i="1"/>
  <c r="R395" i="1"/>
  <c r="S395" i="1"/>
  <c r="R393" i="1"/>
  <c r="S393" i="1"/>
  <c r="R389" i="1"/>
  <c r="S389" i="1"/>
  <c r="R387" i="1"/>
  <c r="S387" i="1"/>
  <c r="R385" i="1"/>
  <c r="S385" i="1"/>
  <c r="R383" i="1"/>
  <c r="S383" i="1"/>
  <c r="R381" i="1"/>
  <c r="S381" i="1"/>
  <c r="R379" i="1"/>
  <c r="S379" i="1"/>
  <c r="R377" i="1"/>
  <c r="S377" i="1"/>
  <c r="R375" i="1"/>
  <c r="S375" i="1"/>
  <c r="R373" i="1"/>
  <c r="S373" i="1"/>
  <c r="R371" i="1"/>
  <c r="S371" i="1"/>
  <c r="R369" i="1"/>
  <c r="S369" i="1"/>
  <c r="R367" i="1"/>
  <c r="S367" i="1"/>
  <c r="R365" i="1"/>
  <c r="S365" i="1"/>
  <c r="R363" i="1"/>
  <c r="S363" i="1"/>
  <c r="R361" i="1"/>
  <c r="S361" i="1"/>
  <c r="R357" i="1"/>
  <c r="S357" i="1"/>
  <c r="R355" i="1"/>
  <c r="S355" i="1"/>
  <c r="R353" i="1"/>
  <c r="S353" i="1"/>
  <c r="R351" i="1"/>
  <c r="S351" i="1"/>
  <c r="R349" i="1"/>
  <c r="S349" i="1"/>
  <c r="R347" i="1"/>
  <c r="S347" i="1"/>
  <c r="R345" i="1"/>
  <c r="S345" i="1"/>
  <c r="R343" i="1"/>
  <c r="S343" i="1"/>
  <c r="R341" i="1"/>
  <c r="S341" i="1"/>
  <c r="R339" i="1"/>
  <c r="S339" i="1"/>
  <c r="R337" i="1"/>
  <c r="S337" i="1"/>
  <c r="R335" i="1"/>
  <c r="S335" i="1"/>
  <c r="R333" i="1"/>
  <c r="S333" i="1"/>
  <c r="R331" i="1"/>
  <c r="S331" i="1"/>
  <c r="R329" i="1"/>
  <c r="S329" i="1"/>
  <c r="R325" i="1"/>
  <c r="S325" i="1"/>
  <c r="R323" i="1"/>
  <c r="S323" i="1"/>
  <c r="R321" i="1"/>
  <c r="S321" i="1"/>
  <c r="R319" i="1"/>
  <c r="S319" i="1"/>
  <c r="R317" i="1"/>
  <c r="S317" i="1"/>
  <c r="R315" i="1"/>
  <c r="S315" i="1"/>
  <c r="R313" i="1"/>
  <c r="S313" i="1"/>
  <c r="R311" i="1"/>
  <c r="S311" i="1"/>
  <c r="R309" i="1"/>
  <c r="S309" i="1"/>
  <c r="R307" i="1"/>
  <c r="S307" i="1"/>
  <c r="R305" i="1"/>
  <c r="S305" i="1"/>
  <c r="R303" i="1"/>
  <c r="S303" i="1"/>
  <c r="R301" i="1"/>
  <c r="S301" i="1"/>
  <c r="R299" i="1"/>
  <c r="S299" i="1"/>
  <c r="R297" i="1"/>
  <c r="S297" i="1"/>
  <c r="R293" i="1"/>
  <c r="S293" i="1"/>
  <c r="R291" i="1"/>
  <c r="S291" i="1"/>
  <c r="R289" i="1"/>
  <c r="S289" i="1"/>
  <c r="R287" i="1"/>
  <c r="S287" i="1"/>
  <c r="R285" i="1"/>
  <c r="S285" i="1"/>
  <c r="R283" i="1"/>
  <c r="S283" i="1"/>
  <c r="R281" i="1"/>
  <c r="S281" i="1"/>
  <c r="R279" i="1"/>
  <c r="S279" i="1"/>
  <c r="R277" i="1"/>
  <c r="S277" i="1"/>
  <c r="R275" i="1"/>
  <c r="S275" i="1"/>
  <c r="R273" i="1"/>
  <c r="S273" i="1"/>
  <c r="R271" i="1"/>
  <c r="S271" i="1"/>
  <c r="R269" i="1"/>
  <c r="S269" i="1"/>
  <c r="R267" i="1"/>
  <c r="S267" i="1"/>
  <c r="R265" i="1"/>
  <c r="S265" i="1"/>
  <c r="R261" i="1"/>
  <c r="S261" i="1"/>
  <c r="R259" i="1"/>
  <c r="S259" i="1"/>
  <c r="R257" i="1"/>
  <c r="S257" i="1"/>
  <c r="R255" i="1"/>
  <c r="S255" i="1"/>
  <c r="R253" i="1"/>
  <c r="S253" i="1"/>
  <c r="R251" i="1"/>
  <c r="S251" i="1"/>
  <c r="R249" i="1"/>
  <c r="S249" i="1"/>
  <c r="R247" i="1"/>
  <c r="S247" i="1"/>
  <c r="R245" i="1"/>
  <c r="S245" i="1"/>
  <c r="R243" i="1"/>
  <c r="S243" i="1"/>
  <c r="R241" i="1"/>
  <c r="S241" i="1"/>
  <c r="R239" i="1"/>
  <c r="S239" i="1"/>
  <c r="R237" i="1"/>
  <c r="S237" i="1"/>
  <c r="R235" i="1"/>
  <c r="S235" i="1"/>
  <c r="R233" i="1"/>
  <c r="S233" i="1"/>
  <c r="R229" i="1"/>
  <c r="S229" i="1"/>
  <c r="R227" i="1"/>
  <c r="S227" i="1"/>
  <c r="R225" i="1"/>
  <c r="S225" i="1"/>
  <c r="R223" i="1"/>
  <c r="S223" i="1"/>
  <c r="R221" i="1"/>
  <c r="S221" i="1"/>
  <c r="R219" i="1"/>
  <c r="S219" i="1"/>
  <c r="R217" i="1"/>
  <c r="S217" i="1"/>
  <c r="R215" i="1"/>
  <c r="S215" i="1"/>
  <c r="R213" i="1"/>
  <c r="S213" i="1"/>
  <c r="R211" i="1"/>
  <c r="S211" i="1"/>
  <c r="R209" i="1"/>
  <c r="S209" i="1"/>
  <c r="R207" i="1"/>
  <c r="S207" i="1"/>
  <c r="R205" i="1"/>
  <c r="S205" i="1"/>
  <c r="R203" i="1"/>
  <c r="S203" i="1"/>
  <c r="R201" i="1"/>
  <c r="S201" i="1"/>
  <c r="R197" i="1"/>
  <c r="S197" i="1"/>
  <c r="R195" i="1"/>
  <c r="S195" i="1"/>
  <c r="R193" i="1"/>
  <c r="S193" i="1"/>
  <c r="R191" i="1"/>
  <c r="S191" i="1"/>
  <c r="R189" i="1"/>
  <c r="S189" i="1"/>
  <c r="R187" i="1"/>
  <c r="S187" i="1"/>
  <c r="R185" i="1"/>
  <c r="S185" i="1"/>
  <c r="R183" i="1"/>
  <c r="S183" i="1"/>
  <c r="R181" i="1"/>
  <c r="S181" i="1"/>
  <c r="R179" i="1"/>
  <c r="S179" i="1"/>
  <c r="R177" i="1"/>
  <c r="S177" i="1"/>
  <c r="R175" i="1"/>
  <c r="S175" i="1"/>
  <c r="R173" i="1"/>
  <c r="S173" i="1"/>
  <c r="R171" i="1"/>
  <c r="S171" i="1"/>
  <c r="R169" i="1"/>
  <c r="S169" i="1"/>
  <c r="R167" i="1"/>
  <c r="S167" i="1"/>
  <c r="R165" i="1"/>
  <c r="S165" i="1"/>
  <c r="R163" i="1"/>
  <c r="S163" i="1"/>
  <c r="R161" i="1"/>
  <c r="S161" i="1"/>
  <c r="R159" i="1"/>
  <c r="S159" i="1"/>
  <c r="R157" i="1"/>
  <c r="S157" i="1"/>
  <c r="R155" i="1"/>
  <c r="S155" i="1"/>
  <c r="R153" i="1"/>
  <c r="S153" i="1"/>
  <c r="R151" i="1"/>
  <c r="S151" i="1"/>
  <c r="R149" i="1"/>
  <c r="S149" i="1"/>
  <c r="R147" i="1"/>
  <c r="S147" i="1"/>
  <c r="R145" i="1"/>
  <c r="S145" i="1"/>
  <c r="R143" i="1"/>
  <c r="S143" i="1"/>
  <c r="R141" i="1"/>
  <c r="S141" i="1"/>
  <c r="R139" i="1"/>
  <c r="S139" i="1"/>
  <c r="R137" i="1"/>
  <c r="S137" i="1"/>
  <c r="R135" i="1"/>
  <c r="S135" i="1"/>
  <c r="R133" i="1"/>
  <c r="S133" i="1"/>
  <c r="R131" i="1"/>
  <c r="S131" i="1"/>
  <c r="R129" i="1"/>
  <c r="S129" i="1"/>
  <c r="R127" i="1"/>
  <c r="S127" i="1"/>
  <c r="R125" i="1"/>
  <c r="S125" i="1"/>
  <c r="R123" i="1"/>
  <c r="S123" i="1"/>
  <c r="R121" i="1"/>
  <c r="S121" i="1"/>
  <c r="R119" i="1"/>
  <c r="S119" i="1"/>
  <c r="R117" i="1"/>
  <c r="S117" i="1"/>
  <c r="R115" i="1"/>
  <c r="S115" i="1"/>
  <c r="R113" i="1"/>
  <c r="S113" i="1"/>
  <c r="R111" i="1"/>
  <c r="S111" i="1"/>
  <c r="R109" i="1"/>
  <c r="S109" i="1"/>
  <c r="R107" i="1"/>
  <c r="S107" i="1"/>
  <c r="R105" i="1"/>
  <c r="S105" i="1"/>
  <c r="R103" i="1"/>
  <c r="S103" i="1"/>
  <c r="R101" i="1"/>
  <c r="S101" i="1"/>
  <c r="R99" i="1"/>
  <c r="S99" i="1"/>
  <c r="R97" i="1"/>
  <c r="S97" i="1"/>
  <c r="R95" i="1"/>
  <c r="S95" i="1"/>
  <c r="R93" i="1"/>
  <c r="S93" i="1"/>
  <c r="R91" i="1"/>
  <c r="S91" i="1"/>
  <c r="R89" i="1"/>
  <c r="S89" i="1"/>
  <c r="R87" i="1"/>
  <c r="S87" i="1"/>
  <c r="R85" i="1"/>
  <c r="S85" i="1"/>
  <c r="R83" i="1"/>
  <c r="S83" i="1"/>
  <c r="R81" i="1"/>
  <c r="S81" i="1"/>
  <c r="R79" i="1"/>
  <c r="S79" i="1"/>
  <c r="R77" i="1"/>
  <c r="S77" i="1"/>
  <c r="R75" i="1"/>
  <c r="S75" i="1"/>
  <c r="R73" i="1"/>
  <c r="S73" i="1"/>
  <c r="R71" i="1"/>
  <c r="S71" i="1"/>
  <c r="R69" i="1"/>
  <c r="S69" i="1"/>
  <c r="R67" i="1"/>
  <c r="S67" i="1"/>
  <c r="R65" i="1"/>
  <c r="S65" i="1"/>
  <c r="R63" i="1"/>
  <c r="S63" i="1"/>
  <c r="R61" i="1"/>
  <c r="S61" i="1"/>
  <c r="R59" i="1"/>
  <c r="S59" i="1"/>
  <c r="R57" i="1"/>
  <c r="S57" i="1"/>
  <c r="R55" i="1"/>
  <c r="S55" i="1"/>
  <c r="R53" i="1"/>
  <c r="S53" i="1"/>
  <c r="R51" i="1"/>
  <c r="S51" i="1"/>
  <c r="R49" i="1"/>
  <c r="S49" i="1"/>
  <c r="R47" i="1"/>
  <c r="S47" i="1"/>
  <c r="R45" i="1"/>
  <c r="S45" i="1"/>
  <c r="R43" i="1"/>
  <c r="S43" i="1"/>
  <c r="R41" i="1"/>
  <c r="S41" i="1"/>
  <c r="R39" i="1"/>
  <c r="S39" i="1"/>
  <c r="R37" i="1"/>
  <c r="S37" i="1"/>
  <c r="R35" i="1"/>
  <c r="S35" i="1"/>
  <c r="R33" i="1"/>
  <c r="S33" i="1"/>
  <c r="R31" i="1"/>
  <c r="S31" i="1"/>
  <c r="R29" i="1"/>
  <c r="S29" i="1"/>
  <c r="R27" i="1"/>
  <c r="S27" i="1"/>
  <c r="R25" i="1"/>
  <c r="S25" i="1"/>
  <c r="R23" i="1"/>
  <c r="S23" i="1"/>
  <c r="R21" i="1"/>
  <c r="S21" i="1"/>
  <c r="R19" i="1"/>
  <c r="S19" i="1"/>
  <c r="R17" i="1"/>
  <c r="S17" i="1"/>
  <c r="R15" i="1"/>
  <c r="S15" i="1"/>
  <c r="R13" i="1"/>
  <c r="S13" i="1"/>
  <c r="R11" i="1"/>
  <c r="S11" i="1"/>
  <c r="R9" i="1"/>
  <c r="S9" i="1"/>
  <c r="R7" i="1"/>
  <c r="S7" i="1"/>
  <c r="R5" i="1"/>
  <c r="S5" i="1"/>
  <c r="R3" i="1"/>
  <c r="S3" i="1"/>
  <c r="R937" i="1"/>
  <c r="S937" i="1"/>
  <c r="R921" i="1"/>
  <c r="S921" i="1"/>
  <c r="R905" i="1"/>
  <c r="S905" i="1"/>
  <c r="R889" i="1"/>
  <c r="S889" i="1"/>
  <c r="R873" i="1"/>
  <c r="S873" i="1"/>
  <c r="R857" i="1"/>
  <c r="S857" i="1"/>
  <c r="R841" i="1"/>
  <c r="S841" i="1"/>
  <c r="R825" i="1"/>
  <c r="S825" i="1"/>
  <c r="R809" i="1"/>
  <c r="S809" i="1"/>
  <c r="R793" i="1"/>
  <c r="S793" i="1"/>
  <c r="R777" i="1"/>
  <c r="S777" i="1"/>
  <c r="R761" i="1"/>
  <c r="S761" i="1"/>
  <c r="R745" i="1"/>
  <c r="S745" i="1"/>
  <c r="R729" i="1"/>
  <c r="S729" i="1"/>
  <c r="R713" i="1"/>
  <c r="S713" i="1"/>
  <c r="R697" i="1"/>
  <c r="S697" i="1"/>
  <c r="R681" i="1"/>
  <c r="S681" i="1"/>
  <c r="R665" i="1"/>
  <c r="S665" i="1"/>
  <c r="R649" i="1"/>
  <c r="S649" i="1"/>
  <c r="R633" i="1"/>
  <c r="S633" i="1"/>
  <c r="R617" i="1"/>
  <c r="S617" i="1"/>
  <c r="R601" i="1"/>
  <c r="S601" i="1"/>
  <c r="R585" i="1"/>
  <c r="S585" i="1"/>
  <c r="R569" i="1"/>
  <c r="S569" i="1"/>
  <c r="R553" i="1"/>
  <c r="S553" i="1"/>
  <c r="R537" i="1"/>
  <c r="S537" i="1"/>
  <c r="R521" i="1"/>
  <c r="S521" i="1"/>
  <c r="R505" i="1"/>
  <c r="S505" i="1"/>
  <c r="R489" i="1"/>
  <c r="S489" i="1"/>
  <c r="R473" i="1"/>
  <c r="S473" i="1"/>
  <c r="R457" i="1"/>
  <c r="S457" i="1"/>
  <c r="R441" i="1"/>
  <c r="S441" i="1"/>
  <c r="R423" i="1"/>
  <c r="S423" i="1"/>
  <c r="R391" i="1"/>
  <c r="S391" i="1"/>
  <c r="R359" i="1"/>
  <c r="S359" i="1"/>
  <c r="R327" i="1"/>
  <c r="S327" i="1"/>
  <c r="R295" i="1"/>
  <c r="S295" i="1"/>
  <c r="R263" i="1"/>
  <c r="S263" i="1"/>
  <c r="R231" i="1"/>
  <c r="S231" i="1"/>
  <c r="R199" i="1"/>
  <c r="S199" i="1"/>
  <c r="R2" i="1"/>
  <c r="E3" i="1"/>
  <c r="E4" i="1"/>
  <c r="G4" i="1"/>
  <c r="H4" i="1"/>
  <c r="E5" i="1"/>
  <c r="E6" i="1"/>
  <c r="G6" i="1"/>
  <c r="H6" i="1"/>
  <c r="E7" i="1"/>
  <c r="E8" i="1"/>
  <c r="G8" i="1"/>
  <c r="H8" i="1"/>
  <c r="E9" i="1"/>
  <c r="E10" i="1"/>
  <c r="G10" i="1"/>
  <c r="H10" i="1"/>
  <c r="E11" i="1"/>
  <c r="E12" i="1"/>
  <c r="G12" i="1"/>
  <c r="H12" i="1"/>
  <c r="E13" i="1"/>
  <c r="E14" i="1"/>
  <c r="G14" i="1"/>
  <c r="H14" i="1"/>
  <c r="E15" i="1"/>
  <c r="E16" i="1"/>
  <c r="G16" i="1"/>
  <c r="H16" i="1"/>
  <c r="E17" i="1"/>
  <c r="E18" i="1"/>
  <c r="G18" i="1"/>
  <c r="H18" i="1"/>
  <c r="E19" i="1"/>
  <c r="E20" i="1"/>
  <c r="G20" i="1"/>
  <c r="H20" i="1"/>
  <c r="E21" i="1"/>
  <c r="E22" i="1"/>
  <c r="G22" i="1"/>
  <c r="H22" i="1"/>
  <c r="E23" i="1"/>
  <c r="E24" i="1"/>
  <c r="G24" i="1"/>
  <c r="H24" i="1"/>
  <c r="E25" i="1"/>
  <c r="E26" i="1"/>
  <c r="G26" i="1"/>
  <c r="H26" i="1"/>
  <c r="E27" i="1"/>
  <c r="E28" i="1"/>
  <c r="G28" i="1"/>
  <c r="H28" i="1"/>
  <c r="E29" i="1"/>
  <c r="E30" i="1"/>
  <c r="G30" i="1"/>
  <c r="H30" i="1"/>
  <c r="E31" i="1"/>
  <c r="E32" i="1"/>
  <c r="G32" i="1"/>
  <c r="H32" i="1"/>
  <c r="E33" i="1"/>
  <c r="E34" i="1"/>
  <c r="G34" i="1"/>
  <c r="H34" i="1"/>
  <c r="E35" i="1"/>
  <c r="E36" i="1"/>
  <c r="G36" i="1"/>
  <c r="H36" i="1"/>
  <c r="E37" i="1"/>
  <c r="E38" i="1"/>
  <c r="G38" i="1"/>
  <c r="H38" i="1"/>
  <c r="E39" i="1"/>
  <c r="E40" i="1"/>
  <c r="G40" i="1"/>
  <c r="H40" i="1"/>
  <c r="E41" i="1"/>
  <c r="E42" i="1"/>
  <c r="G42" i="1"/>
  <c r="H42" i="1"/>
  <c r="E43" i="1"/>
  <c r="E44" i="1"/>
  <c r="G44" i="1"/>
  <c r="H44" i="1"/>
  <c r="E45" i="1"/>
  <c r="E46" i="1"/>
  <c r="G46" i="1"/>
  <c r="H46" i="1"/>
  <c r="E47" i="1"/>
  <c r="E48" i="1"/>
  <c r="G48" i="1"/>
  <c r="H48" i="1"/>
  <c r="E49" i="1"/>
  <c r="E50" i="1"/>
  <c r="G50" i="1"/>
  <c r="H50" i="1"/>
  <c r="E51" i="1"/>
  <c r="E52" i="1"/>
  <c r="G52" i="1"/>
  <c r="H52" i="1"/>
  <c r="E53" i="1"/>
  <c r="E54" i="1"/>
  <c r="G54" i="1"/>
  <c r="H54" i="1"/>
  <c r="E55" i="1"/>
  <c r="E56" i="1"/>
  <c r="G56" i="1"/>
  <c r="H56" i="1"/>
  <c r="E57" i="1"/>
  <c r="E58" i="1"/>
  <c r="G58" i="1"/>
  <c r="H58" i="1"/>
  <c r="E59" i="1"/>
  <c r="E60" i="1"/>
  <c r="G60" i="1"/>
  <c r="H60" i="1"/>
  <c r="E61" i="1"/>
  <c r="E62" i="1"/>
  <c r="G62" i="1"/>
  <c r="H62" i="1"/>
  <c r="E63" i="1"/>
  <c r="E64" i="1"/>
  <c r="G64" i="1"/>
  <c r="H64" i="1"/>
  <c r="E65" i="1"/>
  <c r="E66" i="1"/>
  <c r="G66" i="1"/>
  <c r="H66" i="1"/>
  <c r="E67" i="1"/>
  <c r="E68" i="1"/>
  <c r="G68" i="1"/>
  <c r="H68" i="1"/>
  <c r="E69" i="1"/>
  <c r="E70" i="1"/>
  <c r="G70" i="1"/>
  <c r="H70" i="1"/>
  <c r="E71" i="1"/>
  <c r="E72" i="1"/>
  <c r="G72" i="1"/>
  <c r="H72" i="1"/>
  <c r="E73" i="1"/>
  <c r="E74" i="1"/>
  <c r="G74" i="1"/>
  <c r="H74" i="1"/>
  <c r="E75" i="1"/>
  <c r="E76" i="1"/>
  <c r="G76" i="1"/>
  <c r="H76" i="1"/>
  <c r="E77" i="1"/>
  <c r="E78" i="1"/>
  <c r="G78" i="1"/>
  <c r="H78" i="1"/>
  <c r="E79" i="1"/>
  <c r="E80" i="1"/>
  <c r="G80" i="1"/>
  <c r="H80" i="1"/>
  <c r="E81" i="1"/>
  <c r="E82" i="1"/>
  <c r="G82" i="1"/>
  <c r="H82" i="1"/>
  <c r="E83" i="1"/>
  <c r="E84" i="1"/>
  <c r="G84" i="1"/>
  <c r="H84" i="1"/>
  <c r="E85" i="1"/>
  <c r="E86" i="1"/>
  <c r="G86" i="1"/>
  <c r="H86" i="1"/>
  <c r="E87" i="1"/>
  <c r="E88" i="1"/>
  <c r="G88" i="1"/>
  <c r="H88" i="1"/>
  <c r="E89" i="1"/>
  <c r="E90" i="1"/>
  <c r="G90" i="1"/>
  <c r="H90" i="1"/>
  <c r="E91" i="1"/>
  <c r="E92" i="1"/>
  <c r="G92" i="1"/>
  <c r="H92" i="1"/>
  <c r="E93" i="1"/>
  <c r="E94" i="1"/>
  <c r="G94" i="1"/>
  <c r="H94" i="1"/>
  <c r="E95" i="1"/>
  <c r="E96" i="1"/>
  <c r="G96" i="1"/>
  <c r="H96" i="1"/>
  <c r="E97" i="1"/>
  <c r="E98" i="1"/>
  <c r="G98" i="1"/>
  <c r="H98" i="1"/>
  <c r="E99" i="1"/>
  <c r="E100" i="1"/>
  <c r="G100" i="1"/>
  <c r="H100" i="1"/>
  <c r="E101" i="1"/>
  <c r="E102" i="1"/>
  <c r="G102" i="1"/>
  <c r="H102" i="1"/>
  <c r="E103" i="1"/>
  <c r="E104" i="1"/>
  <c r="G104" i="1"/>
  <c r="H104" i="1"/>
  <c r="E105" i="1"/>
  <c r="E106" i="1"/>
  <c r="G106" i="1"/>
  <c r="H106" i="1"/>
  <c r="E107" i="1"/>
  <c r="E108" i="1"/>
  <c r="G108" i="1"/>
  <c r="H108" i="1"/>
  <c r="E109" i="1"/>
  <c r="E110" i="1"/>
  <c r="G110" i="1"/>
  <c r="H110" i="1"/>
  <c r="E111" i="1"/>
  <c r="E112" i="1"/>
  <c r="G112" i="1"/>
  <c r="H112" i="1"/>
  <c r="E113" i="1"/>
  <c r="E114" i="1"/>
  <c r="G114" i="1"/>
  <c r="H114" i="1"/>
  <c r="E115" i="1"/>
  <c r="E116" i="1"/>
  <c r="G116" i="1"/>
  <c r="H116" i="1"/>
  <c r="E117" i="1"/>
  <c r="E118" i="1"/>
  <c r="G118" i="1"/>
  <c r="H118" i="1"/>
  <c r="E119" i="1"/>
  <c r="E120" i="1"/>
  <c r="G120" i="1"/>
  <c r="H120" i="1"/>
  <c r="E121" i="1"/>
  <c r="E122" i="1"/>
  <c r="G122" i="1"/>
  <c r="H122" i="1"/>
  <c r="E123" i="1"/>
  <c r="E124" i="1"/>
  <c r="G124" i="1"/>
  <c r="H124" i="1"/>
  <c r="E125" i="1"/>
  <c r="E126" i="1"/>
  <c r="G126" i="1"/>
  <c r="H126" i="1"/>
  <c r="E127" i="1"/>
  <c r="E128" i="1"/>
  <c r="G128" i="1"/>
  <c r="H128" i="1"/>
  <c r="E129" i="1"/>
  <c r="E130" i="1"/>
  <c r="G130" i="1"/>
  <c r="H130" i="1"/>
  <c r="E131" i="1"/>
  <c r="E132" i="1"/>
  <c r="G132" i="1"/>
  <c r="H132" i="1"/>
  <c r="E133" i="1"/>
  <c r="E134" i="1"/>
  <c r="G134" i="1"/>
  <c r="H134" i="1"/>
  <c r="E135" i="1"/>
  <c r="E136" i="1"/>
  <c r="G136" i="1"/>
  <c r="H136" i="1"/>
  <c r="E137" i="1"/>
  <c r="E138" i="1"/>
  <c r="G138" i="1"/>
  <c r="H138" i="1"/>
  <c r="E139" i="1"/>
  <c r="E140" i="1"/>
  <c r="G140" i="1"/>
  <c r="H140" i="1"/>
  <c r="E141" i="1"/>
  <c r="E142" i="1"/>
  <c r="G142" i="1"/>
  <c r="H142" i="1"/>
  <c r="E143" i="1"/>
  <c r="E144" i="1"/>
  <c r="G144" i="1"/>
  <c r="H144" i="1"/>
  <c r="E145" i="1"/>
  <c r="E146" i="1"/>
  <c r="G146" i="1"/>
  <c r="H146" i="1"/>
  <c r="E147" i="1"/>
  <c r="E148" i="1"/>
  <c r="G148" i="1"/>
  <c r="H148" i="1"/>
  <c r="E149" i="1"/>
  <c r="E150" i="1"/>
  <c r="G150" i="1"/>
  <c r="H150" i="1"/>
  <c r="E151" i="1"/>
  <c r="E152" i="1"/>
  <c r="G152" i="1"/>
  <c r="H152" i="1"/>
  <c r="E153" i="1"/>
  <c r="E154" i="1"/>
  <c r="G154" i="1"/>
  <c r="H154" i="1"/>
  <c r="E155" i="1"/>
  <c r="E156" i="1"/>
  <c r="G156" i="1"/>
  <c r="H156" i="1"/>
  <c r="E157" i="1"/>
  <c r="E158" i="1"/>
  <c r="G158" i="1"/>
  <c r="H158" i="1"/>
  <c r="E159" i="1"/>
  <c r="E160" i="1"/>
  <c r="G160" i="1"/>
  <c r="H160" i="1"/>
  <c r="E161" i="1"/>
  <c r="E162" i="1"/>
  <c r="G162" i="1"/>
  <c r="H162" i="1"/>
  <c r="E163" i="1"/>
  <c r="E164" i="1"/>
  <c r="G164" i="1"/>
  <c r="H164" i="1"/>
  <c r="E165" i="1"/>
  <c r="E166" i="1"/>
  <c r="G166" i="1"/>
  <c r="H166" i="1"/>
  <c r="E167" i="1"/>
  <c r="E168" i="1"/>
  <c r="G168" i="1"/>
  <c r="H168" i="1"/>
  <c r="E169" i="1"/>
  <c r="E170" i="1"/>
  <c r="G170" i="1"/>
  <c r="H170" i="1"/>
  <c r="E171" i="1"/>
  <c r="E172" i="1"/>
  <c r="G172" i="1"/>
  <c r="H172" i="1"/>
  <c r="E173" i="1"/>
  <c r="E174" i="1"/>
  <c r="G174" i="1"/>
  <c r="H174" i="1"/>
  <c r="E175" i="1"/>
  <c r="E176" i="1"/>
  <c r="G176" i="1"/>
  <c r="H176" i="1"/>
  <c r="E177" i="1"/>
  <c r="E178" i="1"/>
  <c r="G178" i="1"/>
  <c r="H178" i="1"/>
  <c r="E179" i="1"/>
  <c r="E180" i="1"/>
  <c r="G180" i="1"/>
  <c r="H180" i="1"/>
  <c r="E181" i="1"/>
  <c r="E182" i="1"/>
  <c r="G182" i="1"/>
  <c r="H182" i="1"/>
  <c r="E183" i="1"/>
  <c r="E184" i="1"/>
  <c r="G184" i="1"/>
  <c r="H184" i="1"/>
  <c r="E185" i="1"/>
  <c r="E186" i="1"/>
  <c r="G186" i="1"/>
  <c r="H186" i="1"/>
  <c r="E187" i="1"/>
  <c r="E188" i="1"/>
  <c r="G188" i="1"/>
  <c r="H188" i="1"/>
  <c r="E189" i="1"/>
  <c r="E190" i="1"/>
  <c r="G190" i="1"/>
  <c r="H190" i="1"/>
  <c r="E191" i="1"/>
  <c r="E192" i="1"/>
  <c r="G192" i="1"/>
  <c r="H192" i="1"/>
  <c r="E193" i="1"/>
  <c r="E194" i="1"/>
  <c r="G194" i="1"/>
  <c r="H194" i="1"/>
  <c r="E195" i="1"/>
  <c r="E196" i="1"/>
  <c r="G196" i="1"/>
  <c r="H196" i="1"/>
  <c r="E197" i="1"/>
  <c r="E198" i="1"/>
  <c r="G198" i="1"/>
  <c r="H198" i="1"/>
  <c r="E199" i="1"/>
  <c r="E200" i="1"/>
  <c r="G200" i="1"/>
  <c r="H200" i="1"/>
  <c r="E201" i="1"/>
  <c r="E202" i="1"/>
  <c r="G202" i="1"/>
  <c r="H202" i="1"/>
  <c r="E203" i="1"/>
  <c r="E204" i="1"/>
  <c r="G204" i="1"/>
  <c r="H204" i="1"/>
  <c r="E205" i="1"/>
  <c r="E206" i="1"/>
  <c r="G206" i="1"/>
  <c r="H206" i="1"/>
  <c r="E207" i="1"/>
  <c r="E208" i="1"/>
  <c r="G208" i="1"/>
  <c r="H208" i="1"/>
  <c r="E209" i="1"/>
  <c r="E210" i="1"/>
  <c r="G210" i="1"/>
  <c r="H210" i="1"/>
  <c r="E211" i="1"/>
  <c r="E212" i="1"/>
  <c r="G212" i="1"/>
  <c r="H212" i="1"/>
  <c r="E213" i="1"/>
  <c r="E214" i="1"/>
  <c r="G214" i="1"/>
  <c r="H214" i="1"/>
  <c r="E215" i="1"/>
  <c r="E216" i="1"/>
  <c r="G216" i="1"/>
  <c r="H216" i="1"/>
  <c r="E217" i="1"/>
  <c r="E218" i="1"/>
  <c r="G218" i="1"/>
  <c r="H218" i="1"/>
  <c r="E219" i="1"/>
  <c r="E220" i="1"/>
  <c r="G220" i="1"/>
  <c r="H220" i="1"/>
  <c r="E221" i="1"/>
  <c r="E222" i="1"/>
  <c r="G222" i="1"/>
  <c r="H222" i="1"/>
  <c r="E223" i="1"/>
  <c r="E224" i="1"/>
  <c r="G224" i="1"/>
  <c r="H224" i="1"/>
  <c r="E225" i="1"/>
  <c r="E226" i="1"/>
  <c r="G226" i="1"/>
  <c r="H226" i="1"/>
  <c r="E227" i="1"/>
  <c r="E228" i="1"/>
  <c r="G228" i="1"/>
  <c r="H228" i="1"/>
  <c r="E229" i="1"/>
  <c r="E230" i="1"/>
  <c r="G230" i="1"/>
  <c r="H230" i="1"/>
  <c r="E231" i="1"/>
  <c r="E232" i="1"/>
  <c r="G232" i="1"/>
  <c r="H232" i="1"/>
  <c r="E233" i="1"/>
  <c r="E234" i="1"/>
  <c r="G234" i="1"/>
  <c r="H234" i="1"/>
  <c r="E235" i="1"/>
  <c r="E236" i="1"/>
  <c r="G236" i="1"/>
  <c r="H236" i="1"/>
  <c r="E237" i="1"/>
  <c r="E238" i="1"/>
  <c r="G238" i="1"/>
  <c r="H238" i="1"/>
  <c r="E239" i="1"/>
  <c r="E240" i="1"/>
  <c r="G240" i="1"/>
  <c r="H240" i="1"/>
  <c r="E241" i="1"/>
  <c r="E242" i="1"/>
  <c r="G242" i="1"/>
  <c r="H242" i="1"/>
  <c r="E243" i="1"/>
  <c r="E244" i="1"/>
  <c r="G244" i="1"/>
  <c r="H244" i="1"/>
  <c r="E245" i="1"/>
  <c r="E246" i="1"/>
  <c r="G246" i="1"/>
  <c r="H246" i="1"/>
  <c r="E247" i="1"/>
  <c r="E248" i="1"/>
  <c r="G248" i="1"/>
  <c r="H248" i="1"/>
  <c r="E249" i="1"/>
  <c r="E250" i="1"/>
  <c r="G250" i="1"/>
  <c r="H250" i="1"/>
  <c r="E251" i="1"/>
  <c r="E252" i="1"/>
  <c r="G252" i="1"/>
  <c r="H252" i="1"/>
  <c r="E2" i="1"/>
  <c r="S2" i="1"/>
  <c r="B19" i="1"/>
  <c r="I250" i="1"/>
  <c r="I246" i="1"/>
  <c r="I242" i="1"/>
  <c r="I238" i="1"/>
  <c r="I234" i="1"/>
  <c r="I230" i="1"/>
  <c r="I226" i="1"/>
  <c r="I222" i="1"/>
  <c r="I218" i="1"/>
  <c r="I214" i="1"/>
  <c r="I210" i="1"/>
  <c r="I204" i="1"/>
  <c r="I200" i="1"/>
  <c r="I196" i="1"/>
  <c r="I192" i="1"/>
  <c r="I188" i="1"/>
  <c r="I184" i="1"/>
  <c r="I180" i="1"/>
  <c r="I176" i="1"/>
  <c r="I172" i="1"/>
  <c r="I168" i="1"/>
  <c r="I164" i="1"/>
  <c r="I160" i="1"/>
  <c r="I156" i="1"/>
  <c r="I152" i="1"/>
  <c r="I148" i="1"/>
  <c r="I144" i="1"/>
  <c r="I140" i="1"/>
  <c r="I136" i="1"/>
  <c r="I132" i="1"/>
  <c r="I128" i="1"/>
  <c r="I124" i="1"/>
  <c r="I120" i="1"/>
  <c r="I116" i="1"/>
  <c r="I112" i="1"/>
  <c r="I108" i="1"/>
  <c r="I104" i="1"/>
  <c r="I100" i="1"/>
  <c r="I96" i="1"/>
  <c r="I92" i="1"/>
  <c r="I88" i="1"/>
  <c r="I84" i="1"/>
  <c r="I80" i="1"/>
  <c r="I76" i="1"/>
  <c r="I72" i="1"/>
  <c r="I68" i="1"/>
  <c r="I64" i="1"/>
  <c r="I60" i="1"/>
  <c r="I56" i="1"/>
  <c r="I52" i="1"/>
  <c r="I48" i="1"/>
  <c r="I44" i="1"/>
  <c r="I40" i="1"/>
  <c r="I36" i="1"/>
  <c r="I32" i="1"/>
  <c r="I28" i="1"/>
  <c r="I24" i="1"/>
  <c r="I20" i="1"/>
  <c r="I16" i="1"/>
  <c r="I10" i="1"/>
  <c r="I4" i="1"/>
  <c r="I252" i="1"/>
  <c r="I248" i="1"/>
  <c r="I244" i="1"/>
  <c r="I240" i="1"/>
  <c r="I236" i="1"/>
  <c r="I232" i="1"/>
  <c r="I228" i="1"/>
  <c r="I224" i="1"/>
  <c r="I220" i="1"/>
  <c r="I216" i="1"/>
  <c r="I212" i="1"/>
  <c r="I208" i="1"/>
  <c r="I206" i="1"/>
  <c r="I202" i="1"/>
  <c r="I198" i="1"/>
  <c r="I194" i="1"/>
  <c r="I190" i="1"/>
  <c r="I186" i="1"/>
  <c r="I182" i="1"/>
  <c r="I178" i="1"/>
  <c r="I174" i="1"/>
  <c r="I170" i="1"/>
  <c r="I166" i="1"/>
  <c r="I162" i="1"/>
  <c r="I158" i="1"/>
  <c r="I154" i="1"/>
  <c r="I150" i="1"/>
  <c r="I146" i="1"/>
  <c r="I142" i="1"/>
  <c r="I138" i="1"/>
  <c r="I134" i="1"/>
  <c r="I130" i="1"/>
  <c r="I126" i="1"/>
  <c r="I122" i="1"/>
  <c r="I118" i="1"/>
  <c r="I114" i="1"/>
  <c r="I110" i="1"/>
  <c r="I106" i="1"/>
  <c r="I102" i="1"/>
  <c r="I98" i="1"/>
  <c r="I94" i="1"/>
  <c r="I90" i="1"/>
  <c r="I86" i="1"/>
  <c r="I82" i="1"/>
  <c r="I78" i="1"/>
  <c r="I74" i="1"/>
  <c r="I70" i="1"/>
  <c r="I66" i="1"/>
  <c r="I62" i="1"/>
  <c r="I58" i="1"/>
  <c r="I54" i="1"/>
  <c r="I50" i="1"/>
  <c r="I46" i="1"/>
  <c r="I42" i="1"/>
  <c r="I38" i="1"/>
  <c r="I34" i="1"/>
  <c r="I30" i="1"/>
  <c r="I26" i="1"/>
  <c r="I22" i="1"/>
  <c r="I18" i="1"/>
  <c r="I14" i="1"/>
  <c r="I12" i="1"/>
  <c r="I8" i="1"/>
  <c r="I6" i="1"/>
  <c r="J2" i="1"/>
  <c r="J251" i="1"/>
  <c r="J249" i="1"/>
  <c r="J247" i="1"/>
  <c r="J245" i="1"/>
  <c r="J243" i="1"/>
  <c r="J241" i="1"/>
  <c r="J239" i="1"/>
  <c r="J237" i="1"/>
  <c r="J235" i="1"/>
  <c r="J233" i="1"/>
  <c r="J231" i="1"/>
  <c r="J229" i="1"/>
  <c r="J227" i="1"/>
  <c r="J225" i="1"/>
  <c r="J223" i="1"/>
  <c r="J221" i="1"/>
  <c r="J219" i="1"/>
  <c r="J217" i="1"/>
  <c r="J215" i="1"/>
  <c r="J213" i="1"/>
  <c r="J211" i="1"/>
  <c r="J209" i="1"/>
  <c r="J207" i="1"/>
  <c r="J205" i="1"/>
  <c r="J203" i="1"/>
  <c r="J201" i="1"/>
  <c r="J199" i="1"/>
  <c r="J197" i="1"/>
  <c r="J195" i="1"/>
  <c r="J193" i="1"/>
  <c r="J191" i="1"/>
  <c r="J189" i="1"/>
  <c r="J187" i="1"/>
  <c r="J185" i="1"/>
  <c r="J183" i="1"/>
  <c r="J181" i="1"/>
  <c r="J179" i="1"/>
  <c r="J177" i="1"/>
  <c r="J175" i="1"/>
  <c r="J173" i="1"/>
  <c r="J171" i="1"/>
  <c r="J169" i="1"/>
  <c r="J167" i="1"/>
  <c r="J165" i="1"/>
  <c r="J163" i="1"/>
  <c r="J161" i="1"/>
  <c r="J159" i="1"/>
  <c r="J157" i="1"/>
  <c r="J155" i="1"/>
  <c r="J153" i="1"/>
  <c r="J151" i="1"/>
  <c r="J149" i="1"/>
  <c r="J147" i="1"/>
  <c r="J145" i="1"/>
  <c r="J143" i="1"/>
  <c r="J141" i="1"/>
  <c r="J139" i="1"/>
  <c r="J137" i="1"/>
  <c r="J135" i="1"/>
  <c r="J133" i="1"/>
  <c r="J131" i="1"/>
  <c r="J129" i="1"/>
  <c r="J127" i="1"/>
  <c r="J125" i="1"/>
  <c r="J123" i="1"/>
  <c r="J121" i="1"/>
  <c r="J119" i="1"/>
  <c r="J117" i="1"/>
  <c r="J115" i="1"/>
  <c r="J113" i="1"/>
  <c r="J111" i="1"/>
  <c r="J109" i="1"/>
  <c r="J107" i="1"/>
  <c r="J105" i="1"/>
  <c r="J103" i="1"/>
  <c r="J101" i="1"/>
  <c r="J99" i="1"/>
  <c r="J97" i="1"/>
  <c r="J95" i="1"/>
  <c r="J93" i="1"/>
  <c r="J91" i="1"/>
  <c r="J89" i="1"/>
  <c r="J87" i="1"/>
  <c r="J85" i="1"/>
  <c r="J83" i="1"/>
  <c r="J81" i="1"/>
  <c r="J79" i="1"/>
  <c r="J77" i="1"/>
  <c r="J75" i="1"/>
  <c r="J73" i="1"/>
  <c r="J71" i="1"/>
  <c r="J69" i="1"/>
  <c r="J67" i="1"/>
  <c r="J65" i="1"/>
  <c r="J63" i="1"/>
  <c r="J61" i="1"/>
  <c r="J59" i="1"/>
  <c r="J57" i="1"/>
  <c r="J55" i="1"/>
  <c r="J53" i="1"/>
  <c r="J51" i="1"/>
  <c r="J49" i="1"/>
  <c r="J47" i="1"/>
  <c r="J45" i="1"/>
  <c r="J43" i="1"/>
  <c r="J41" i="1"/>
  <c r="J39" i="1"/>
  <c r="J37" i="1"/>
  <c r="J35" i="1"/>
  <c r="J33" i="1"/>
  <c r="J31" i="1"/>
  <c r="J29" i="1"/>
  <c r="J27" i="1"/>
  <c r="J25" i="1"/>
  <c r="J23" i="1"/>
  <c r="J21" i="1"/>
  <c r="J19" i="1"/>
  <c r="J17" i="1"/>
  <c r="J15" i="1"/>
  <c r="J13" i="1"/>
  <c r="J11" i="1"/>
  <c r="J9" i="1"/>
  <c r="J7" i="1"/>
  <c r="J5" i="1"/>
  <c r="J3" i="1"/>
  <c r="J252" i="1"/>
  <c r="J250" i="1"/>
  <c r="J248" i="1"/>
  <c r="J246" i="1"/>
  <c r="J244" i="1"/>
  <c r="J242" i="1"/>
  <c r="J240" i="1"/>
  <c r="J238" i="1"/>
  <c r="J236" i="1"/>
  <c r="J234" i="1"/>
  <c r="J232" i="1"/>
  <c r="J230" i="1"/>
  <c r="J228" i="1"/>
  <c r="J226" i="1"/>
  <c r="J224" i="1"/>
  <c r="J222" i="1"/>
  <c r="J220" i="1"/>
  <c r="J218" i="1"/>
  <c r="J216" i="1"/>
  <c r="J214" i="1"/>
  <c r="J212" i="1"/>
  <c r="J210" i="1"/>
  <c r="J208" i="1"/>
  <c r="J206" i="1"/>
  <c r="J204" i="1"/>
  <c r="J202" i="1"/>
  <c r="J200" i="1"/>
  <c r="J198" i="1"/>
  <c r="J196" i="1"/>
  <c r="J194" i="1"/>
  <c r="J192" i="1"/>
  <c r="J190" i="1"/>
  <c r="J188" i="1"/>
  <c r="J186" i="1"/>
  <c r="J184" i="1"/>
  <c r="J182" i="1"/>
  <c r="J180" i="1"/>
  <c r="J178" i="1"/>
  <c r="J176" i="1"/>
  <c r="J174" i="1"/>
  <c r="J172" i="1"/>
  <c r="J170" i="1"/>
  <c r="J168" i="1"/>
  <c r="J166" i="1"/>
  <c r="J164" i="1"/>
  <c r="J162" i="1"/>
  <c r="J160" i="1"/>
  <c r="J158" i="1"/>
  <c r="J156" i="1"/>
  <c r="J154" i="1"/>
  <c r="J152" i="1"/>
  <c r="J150" i="1"/>
  <c r="J148" i="1"/>
  <c r="J146" i="1"/>
  <c r="J144" i="1"/>
  <c r="J142" i="1"/>
  <c r="J140" i="1"/>
  <c r="J138" i="1"/>
  <c r="J136" i="1"/>
  <c r="J134" i="1"/>
  <c r="J132" i="1"/>
  <c r="J130" i="1"/>
  <c r="J128" i="1"/>
  <c r="J126" i="1"/>
  <c r="J124" i="1"/>
  <c r="J122" i="1"/>
  <c r="J120" i="1"/>
  <c r="J118" i="1"/>
  <c r="J116" i="1"/>
  <c r="J114" i="1"/>
  <c r="J112" i="1"/>
  <c r="J110" i="1"/>
  <c r="J108" i="1"/>
  <c r="J106" i="1"/>
  <c r="J104" i="1"/>
  <c r="J102" i="1"/>
  <c r="J100" i="1"/>
  <c r="J98" i="1"/>
  <c r="J96" i="1"/>
  <c r="J94" i="1"/>
  <c r="J92" i="1"/>
  <c r="J90" i="1"/>
  <c r="J88" i="1"/>
  <c r="J86" i="1"/>
  <c r="J84" i="1"/>
  <c r="J82" i="1"/>
  <c r="J80" i="1"/>
  <c r="J78" i="1"/>
  <c r="J76" i="1"/>
  <c r="J74" i="1"/>
  <c r="J72" i="1"/>
  <c r="J70" i="1"/>
  <c r="J68" i="1"/>
  <c r="J66" i="1"/>
  <c r="J64" i="1"/>
  <c r="J62" i="1"/>
  <c r="J60" i="1"/>
  <c r="J58" i="1"/>
  <c r="J56" i="1"/>
  <c r="J54" i="1"/>
  <c r="J52" i="1"/>
  <c r="J50" i="1"/>
  <c r="J48" i="1"/>
  <c r="J46" i="1"/>
  <c r="J44" i="1"/>
  <c r="J42" i="1"/>
  <c r="J40" i="1"/>
  <c r="J38" i="1"/>
  <c r="J36" i="1"/>
  <c r="J34" i="1"/>
  <c r="J32" i="1"/>
  <c r="J30" i="1"/>
  <c r="J28" i="1"/>
  <c r="J26" i="1"/>
  <c r="J24" i="1"/>
  <c r="J22" i="1"/>
  <c r="J20" i="1"/>
  <c r="J18" i="1"/>
  <c r="J16" i="1"/>
  <c r="J14" i="1"/>
  <c r="J12" i="1"/>
  <c r="J10" i="1"/>
  <c r="J8" i="1"/>
  <c r="J6" i="1"/>
  <c r="J4" i="1"/>
  <c r="G2" i="1"/>
  <c r="H2" i="1"/>
  <c r="I2" i="1"/>
  <c r="G251" i="1"/>
  <c r="H251" i="1"/>
  <c r="I251" i="1"/>
  <c r="G249" i="1"/>
  <c r="H249" i="1"/>
  <c r="I249" i="1"/>
  <c r="G247" i="1"/>
  <c r="H247" i="1"/>
  <c r="I247" i="1"/>
  <c r="G245" i="1"/>
  <c r="H245" i="1"/>
  <c r="I245" i="1"/>
  <c r="G243" i="1"/>
  <c r="H243" i="1"/>
  <c r="I243" i="1"/>
  <c r="G241" i="1"/>
  <c r="H241" i="1"/>
  <c r="I241" i="1"/>
  <c r="G239" i="1"/>
  <c r="H239" i="1"/>
  <c r="I239" i="1"/>
  <c r="G237" i="1"/>
  <c r="H237" i="1"/>
  <c r="I237" i="1"/>
  <c r="G235" i="1"/>
  <c r="H235" i="1"/>
  <c r="I235" i="1"/>
  <c r="G233" i="1"/>
  <c r="H233" i="1"/>
  <c r="I233" i="1"/>
  <c r="G231" i="1"/>
  <c r="H231" i="1"/>
  <c r="I231" i="1"/>
  <c r="G229" i="1"/>
  <c r="H229" i="1"/>
  <c r="I229" i="1"/>
  <c r="G227" i="1"/>
  <c r="H227" i="1"/>
  <c r="I227" i="1"/>
  <c r="G225" i="1"/>
  <c r="H225" i="1"/>
  <c r="I225" i="1"/>
  <c r="G223" i="1"/>
  <c r="H223" i="1"/>
  <c r="I223" i="1"/>
  <c r="G221" i="1"/>
  <c r="H221" i="1"/>
  <c r="I221" i="1"/>
  <c r="G219" i="1"/>
  <c r="H219" i="1"/>
  <c r="I219" i="1"/>
  <c r="G217" i="1"/>
  <c r="H217" i="1"/>
  <c r="I217" i="1"/>
  <c r="G215" i="1"/>
  <c r="H215" i="1"/>
  <c r="I215" i="1"/>
  <c r="G213" i="1"/>
  <c r="H213" i="1"/>
  <c r="I213" i="1"/>
  <c r="G211" i="1"/>
  <c r="H211" i="1"/>
  <c r="I211" i="1"/>
  <c r="G209" i="1"/>
  <c r="H209" i="1"/>
  <c r="I209" i="1"/>
  <c r="G207" i="1"/>
  <c r="H207" i="1"/>
  <c r="I207" i="1"/>
  <c r="G205" i="1"/>
  <c r="H205" i="1"/>
  <c r="I205" i="1"/>
  <c r="G203" i="1"/>
  <c r="H203" i="1"/>
  <c r="I203" i="1"/>
  <c r="G201" i="1"/>
  <c r="H201" i="1"/>
  <c r="I201" i="1"/>
  <c r="G199" i="1"/>
  <c r="H199" i="1"/>
  <c r="I199" i="1"/>
  <c r="G197" i="1"/>
  <c r="H197" i="1"/>
  <c r="I197" i="1"/>
  <c r="G195" i="1"/>
  <c r="H195" i="1"/>
  <c r="I195" i="1"/>
  <c r="G193" i="1"/>
  <c r="H193" i="1"/>
  <c r="I193" i="1"/>
  <c r="G191" i="1"/>
  <c r="H191" i="1"/>
  <c r="I191" i="1"/>
  <c r="G189" i="1"/>
  <c r="H189" i="1"/>
  <c r="I189" i="1"/>
  <c r="G187" i="1"/>
  <c r="H187" i="1"/>
  <c r="I187" i="1"/>
  <c r="G185" i="1"/>
  <c r="H185" i="1"/>
  <c r="I185" i="1"/>
  <c r="G183" i="1"/>
  <c r="H183" i="1"/>
  <c r="I183" i="1"/>
  <c r="G181" i="1"/>
  <c r="H181" i="1"/>
  <c r="I181" i="1"/>
  <c r="G179" i="1"/>
  <c r="H179" i="1"/>
  <c r="I179" i="1"/>
  <c r="G177" i="1"/>
  <c r="H177" i="1"/>
  <c r="I177" i="1"/>
  <c r="G175" i="1"/>
  <c r="H175" i="1"/>
  <c r="I175" i="1"/>
  <c r="G173" i="1"/>
  <c r="H173" i="1"/>
  <c r="I173" i="1"/>
  <c r="G171" i="1"/>
  <c r="H171" i="1"/>
  <c r="I171" i="1"/>
  <c r="G169" i="1"/>
  <c r="H169" i="1"/>
  <c r="I169" i="1"/>
  <c r="G167" i="1"/>
  <c r="H167" i="1"/>
  <c r="I167" i="1"/>
  <c r="G165" i="1"/>
  <c r="H165" i="1"/>
  <c r="I165" i="1"/>
  <c r="G163" i="1"/>
  <c r="H163" i="1"/>
  <c r="I163" i="1"/>
  <c r="G161" i="1"/>
  <c r="H161" i="1"/>
  <c r="I161" i="1"/>
  <c r="G159" i="1"/>
  <c r="H159" i="1"/>
  <c r="I159" i="1"/>
  <c r="G157" i="1"/>
  <c r="H157" i="1"/>
  <c r="I157" i="1"/>
  <c r="G155" i="1"/>
  <c r="H155" i="1"/>
  <c r="I155" i="1"/>
  <c r="G153" i="1"/>
  <c r="H153" i="1"/>
  <c r="I153" i="1"/>
  <c r="G151" i="1"/>
  <c r="H151" i="1"/>
  <c r="I151" i="1"/>
  <c r="G149" i="1"/>
  <c r="H149" i="1"/>
  <c r="I149" i="1"/>
  <c r="G147" i="1"/>
  <c r="H147" i="1"/>
  <c r="I147" i="1"/>
  <c r="G145" i="1"/>
  <c r="H145" i="1"/>
  <c r="I145" i="1"/>
  <c r="G143" i="1"/>
  <c r="H143" i="1"/>
  <c r="I143" i="1"/>
  <c r="G141" i="1"/>
  <c r="H141" i="1"/>
  <c r="I141" i="1"/>
  <c r="G139" i="1"/>
  <c r="H139" i="1"/>
  <c r="I139" i="1"/>
  <c r="G137" i="1"/>
  <c r="H137" i="1"/>
  <c r="I137" i="1"/>
  <c r="G135" i="1"/>
  <c r="H135" i="1"/>
  <c r="I135" i="1"/>
  <c r="G133" i="1"/>
  <c r="H133" i="1"/>
  <c r="I133" i="1"/>
  <c r="G131" i="1"/>
  <c r="H131" i="1"/>
  <c r="I131" i="1"/>
  <c r="G129" i="1"/>
  <c r="H129" i="1"/>
  <c r="I129" i="1"/>
  <c r="G127" i="1"/>
  <c r="H127" i="1"/>
  <c r="I127" i="1"/>
  <c r="G125" i="1"/>
  <c r="H125" i="1"/>
  <c r="I125" i="1"/>
  <c r="G123" i="1"/>
  <c r="H123" i="1"/>
  <c r="I123" i="1"/>
  <c r="G121" i="1"/>
  <c r="H121" i="1"/>
  <c r="I121" i="1"/>
  <c r="G119" i="1"/>
  <c r="H119" i="1"/>
  <c r="I119" i="1"/>
  <c r="G117" i="1"/>
  <c r="H117" i="1"/>
  <c r="I117" i="1"/>
  <c r="G115" i="1"/>
  <c r="H115" i="1"/>
  <c r="I115" i="1"/>
  <c r="G113" i="1"/>
  <c r="H113" i="1"/>
  <c r="I113" i="1"/>
  <c r="G111" i="1"/>
  <c r="H111" i="1"/>
  <c r="I111" i="1"/>
  <c r="G109" i="1"/>
  <c r="H109" i="1"/>
  <c r="I109" i="1"/>
  <c r="G107" i="1"/>
  <c r="H107" i="1"/>
  <c r="I107" i="1"/>
  <c r="G105" i="1"/>
  <c r="H105" i="1"/>
  <c r="I105" i="1"/>
  <c r="G103" i="1"/>
  <c r="H103" i="1"/>
  <c r="I103" i="1"/>
  <c r="G101" i="1"/>
  <c r="H101" i="1"/>
  <c r="I101" i="1"/>
  <c r="G99" i="1"/>
  <c r="H99" i="1"/>
  <c r="I99" i="1"/>
  <c r="G97" i="1"/>
  <c r="H97" i="1"/>
  <c r="I97" i="1"/>
  <c r="G95" i="1"/>
  <c r="H95" i="1"/>
  <c r="I95" i="1"/>
  <c r="G93" i="1"/>
  <c r="H93" i="1"/>
  <c r="I93" i="1"/>
  <c r="G91" i="1"/>
  <c r="H91" i="1"/>
  <c r="I91" i="1"/>
  <c r="G89" i="1"/>
  <c r="H89" i="1"/>
  <c r="I89" i="1"/>
  <c r="G87" i="1"/>
  <c r="H87" i="1"/>
  <c r="I87" i="1"/>
  <c r="G85" i="1"/>
  <c r="H85" i="1"/>
  <c r="I85" i="1"/>
  <c r="G83" i="1"/>
  <c r="H83" i="1"/>
  <c r="I83" i="1"/>
  <c r="G81" i="1"/>
  <c r="H81" i="1"/>
  <c r="I81" i="1"/>
  <c r="G79" i="1"/>
  <c r="H79" i="1"/>
  <c r="I79" i="1"/>
  <c r="G77" i="1"/>
  <c r="H77" i="1"/>
  <c r="I77" i="1"/>
  <c r="G75" i="1"/>
  <c r="H75" i="1"/>
  <c r="I75" i="1"/>
  <c r="G73" i="1"/>
  <c r="H73" i="1"/>
  <c r="I73" i="1"/>
  <c r="G71" i="1"/>
  <c r="H71" i="1"/>
  <c r="I71" i="1"/>
  <c r="G69" i="1"/>
  <c r="H69" i="1"/>
  <c r="I69" i="1"/>
  <c r="G67" i="1"/>
  <c r="H67" i="1"/>
  <c r="I67" i="1"/>
  <c r="G65" i="1"/>
  <c r="H65" i="1"/>
  <c r="I65" i="1"/>
  <c r="G63" i="1"/>
  <c r="H63" i="1"/>
  <c r="I63" i="1"/>
  <c r="G61" i="1"/>
  <c r="H61" i="1"/>
  <c r="I61" i="1"/>
  <c r="G59" i="1"/>
  <c r="H59" i="1"/>
  <c r="I59" i="1"/>
  <c r="G57" i="1"/>
  <c r="H57" i="1"/>
  <c r="I57" i="1"/>
  <c r="G55" i="1"/>
  <c r="H55" i="1"/>
  <c r="I55" i="1"/>
  <c r="G53" i="1"/>
  <c r="H53" i="1"/>
  <c r="I53" i="1"/>
  <c r="G51" i="1"/>
  <c r="H51" i="1"/>
  <c r="I51" i="1"/>
  <c r="G49" i="1"/>
  <c r="H49" i="1"/>
  <c r="I49" i="1"/>
  <c r="G47" i="1"/>
  <c r="H47" i="1"/>
  <c r="I47" i="1"/>
  <c r="G45" i="1"/>
  <c r="H45" i="1"/>
  <c r="I45" i="1"/>
  <c r="G43" i="1"/>
  <c r="H43" i="1"/>
  <c r="I43" i="1"/>
  <c r="G41" i="1"/>
  <c r="H41" i="1"/>
  <c r="I41" i="1"/>
  <c r="G39" i="1"/>
  <c r="H39" i="1"/>
  <c r="I39" i="1"/>
  <c r="G37" i="1"/>
  <c r="H37" i="1"/>
  <c r="I37" i="1"/>
  <c r="G35" i="1"/>
  <c r="H35" i="1"/>
  <c r="I35" i="1"/>
  <c r="G33" i="1"/>
  <c r="H33" i="1"/>
  <c r="I33" i="1"/>
  <c r="G31" i="1"/>
  <c r="H31" i="1"/>
  <c r="I31" i="1"/>
  <c r="G29" i="1"/>
  <c r="H29" i="1"/>
  <c r="I29" i="1"/>
  <c r="G27" i="1"/>
  <c r="H27" i="1"/>
  <c r="I27" i="1"/>
  <c r="G25" i="1"/>
  <c r="H25" i="1"/>
  <c r="I25" i="1"/>
  <c r="G23" i="1"/>
  <c r="H23" i="1"/>
  <c r="I23" i="1"/>
  <c r="G21" i="1"/>
  <c r="H21" i="1"/>
  <c r="I21" i="1"/>
  <c r="G19" i="1"/>
  <c r="H19" i="1"/>
  <c r="I19" i="1"/>
  <c r="G17" i="1"/>
  <c r="H17" i="1"/>
  <c r="I17" i="1"/>
  <c r="G15" i="1"/>
  <c r="H15" i="1"/>
  <c r="I15" i="1"/>
  <c r="G13" i="1"/>
  <c r="H13" i="1"/>
  <c r="I13" i="1"/>
  <c r="G11" i="1"/>
  <c r="H11" i="1"/>
  <c r="I11" i="1"/>
  <c r="G9" i="1"/>
  <c r="H9" i="1"/>
  <c r="I9" i="1"/>
  <c r="G7" i="1"/>
  <c r="H7" i="1"/>
  <c r="I7" i="1"/>
  <c r="G5" i="1"/>
  <c r="H5" i="1"/>
  <c r="I5" i="1"/>
  <c r="G3" i="1"/>
  <c r="H3" i="1"/>
  <c r="I3" i="1"/>
  <c r="B11" i="1"/>
  <c r="K3" i="1"/>
  <c r="K5" i="1"/>
  <c r="K7" i="1"/>
  <c r="K9" i="1"/>
  <c r="K11" i="1"/>
  <c r="K13" i="1"/>
  <c r="K15" i="1"/>
  <c r="K17" i="1"/>
  <c r="K19" i="1"/>
  <c r="K21" i="1"/>
  <c r="K23" i="1"/>
  <c r="K25" i="1"/>
  <c r="K27" i="1"/>
  <c r="K29" i="1"/>
  <c r="K31" i="1"/>
  <c r="K33" i="1"/>
  <c r="K35" i="1"/>
  <c r="K37" i="1"/>
  <c r="K39" i="1"/>
  <c r="K41" i="1"/>
  <c r="K43" i="1"/>
  <c r="K45" i="1"/>
  <c r="K47" i="1"/>
  <c r="K49" i="1"/>
  <c r="K51" i="1"/>
  <c r="K53" i="1"/>
  <c r="K55" i="1"/>
  <c r="K57" i="1"/>
  <c r="K59" i="1"/>
  <c r="K61" i="1"/>
  <c r="K63" i="1"/>
  <c r="K65" i="1"/>
  <c r="K67" i="1"/>
  <c r="K69" i="1"/>
  <c r="K71" i="1"/>
  <c r="K73" i="1"/>
  <c r="K75" i="1"/>
  <c r="K77" i="1"/>
  <c r="K79" i="1"/>
  <c r="K81" i="1"/>
  <c r="K83" i="1"/>
  <c r="K85" i="1"/>
  <c r="K87" i="1"/>
  <c r="K89" i="1"/>
  <c r="K91" i="1"/>
  <c r="K93" i="1"/>
  <c r="K95" i="1"/>
  <c r="K97" i="1"/>
  <c r="K99" i="1"/>
  <c r="K101" i="1"/>
  <c r="K103" i="1"/>
  <c r="K105" i="1"/>
  <c r="K107" i="1"/>
  <c r="K109" i="1"/>
  <c r="K111" i="1"/>
  <c r="K113" i="1"/>
  <c r="K115" i="1"/>
  <c r="K117" i="1"/>
  <c r="K119" i="1"/>
  <c r="K121" i="1"/>
  <c r="K123" i="1"/>
  <c r="K125" i="1"/>
  <c r="K127" i="1"/>
  <c r="K129" i="1"/>
  <c r="K131" i="1"/>
  <c r="K133" i="1"/>
  <c r="K135" i="1"/>
  <c r="K137" i="1"/>
  <c r="K139" i="1"/>
  <c r="K141" i="1"/>
  <c r="K143" i="1"/>
  <c r="K145" i="1"/>
  <c r="K147" i="1"/>
  <c r="K149" i="1"/>
  <c r="K151" i="1"/>
  <c r="K153" i="1"/>
  <c r="K155" i="1"/>
  <c r="K157" i="1"/>
  <c r="K159" i="1"/>
  <c r="K161" i="1"/>
  <c r="K163" i="1"/>
  <c r="K165" i="1"/>
  <c r="K167" i="1"/>
  <c r="K169" i="1"/>
  <c r="K171" i="1"/>
  <c r="K4" i="1"/>
  <c r="K8" i="1"/>
  <c r="K12" i="1"/>
  <c r="K16" i="1"/>
  <c r="K20" i="1"/>
  <c r="K24" i="1"/>
  <c r="K28" i="1"/>
  <c r="K32" i="1"/>
  <c r="K36" i="1"/>
  <c r="K40" i="1"/>
  <c r="K44" i="1"/>
  <c r="K48" i="1"/>
  <c r="K52" i="1"/>
  <c r="K56" i="1"/>
  <c r="K60" i="1"/>
  <c r="K64" i="1"/>
  <c r="K68" i="1"/>
  <c r="K72" i="1"/>
  <c r="K76" i="1"/>
  <c r="K80" i="1"/>
  <c r="K84" i="1"/>
  <c r="K88" i="1"/>
  <c r="K92" i="1"/>
  <c r="K96" i="1"/>
  <c r="K100" i="1"/>
  <c r="K104" i="1"/>
  <c r="K108" i="1"/>
  <c r="K112" i="1"/>
  <c r="K116" i="1"/>
  <c r="K120" i="1"/>
  <c r="K124" i="1"/>
  <c r="K128" i="1"/>
  <c r="K132" i="1"/>
  <c r="K136" i="1"/>
  <c r="K140" i="1"/>
  <c r="K144" i="1"/>
  <c r="K148" i="1"/>
  <c r="K152" i="1"/>
  <c r="K156" i="1"/>
  <c r="K160" i="1"/>
  <c r="K164" i="1"/>
  <c r="K168" i="1"/>
  <c r="K172" i="1"/>
  <c r="K174" i="1"/>
  <c r="K176" i="1"/>
  <c r="K178" i="1"/>
  <c r="K180" i="1"/>
  <c r="K182" i="1"/>
  <c r="K184" i="1"/>
  <c r="K186" i="1"/>
  <c r="K188" i="1"/>
  <c r="K190" i="1"/>
  <c r="K192" i="1"/>
  <c r="K194" i="1"/>
  <c r="K196" i="1"/>
  <c r="K198" i="1"/>
  <c r="K200" i="1"/>
  <c r="K202" i="1"/>
  <c r="K204" i="1"/>
  <c r="K206" i="1"/>
  <c r="K208" i="1"/>
  <c r="K210" i="1"/>
  <c r="K212" i="1"/>
  <c r="K214" i="1"/>
  <c r="K216" i="1"/>
  <c r="K218" i="1"/>
  <c r="K220" i="1"/>
  <c r="K222" i="1"/>
  <c r="K224" i="1"/>
  <c r="K226" i="1"/>
  <c r="K228" i="1"/>
  <c r="K230" i="1"/>
  <c r="K232" i="1"/>
  <c r="K234" i="1"/>
  <c r="K236" i="1"/>
  <c r="K238" i="1"/>
  <c r="K240" i="1"/>
  <c r="K242" i="1"/>
  <c r="K244" i="1"/>
  <c r="K246" i="1"/>
  <c r="K248" i="1"/>
  <c r="K250" i="1"/>
  <c r="K252" i="1"/>
  <c r="K6" i="1"/>
  <c r="K10" i="1"/>
  <c r="K14" i="1"/>
  <c r="K18" i="1"/>
  <c r="K22" i="1"/>
  <c r="K26" i="1"/>
  <c r="K30" i="1"/>
  <c r="K34" i="1"/>
  <c r="K38" i="1"/>
  <c r="K42" i="1"/>
  <c r="K46" i="1"/>
  <c r="K50" i="1"/>
  <c r="K54" i="1"/>
  <c r="K58" i="1"/>
  <c r="K62" i="1"/>
  <c r="K66" i="1"/>
  <c r="K70" i="1"/>
  <c r="K74" i="1"/>
  <c r="K78" i="1"/>
  <c r="K82" i="1"/>
  <c r="K86" i="1"/>
  <c r="K90" i="1"/>
  <c r="K94" i="1"/>
  <c r="K98" i="1"/>
  <c r="K102" i="1"/>
  <c r="K106" i="1"/>
  <c r="K110" i="1"/>
  <c r="K114" i="1"/>
  <c r="K118" i="1"/>
  <c r="K122" i="1"/>
  <c r="K126" i="1"/>
  <c r="K130" i="1"/>
  <c r="K134" i="1"/>
  <c r="K138" i="1"/>
  <c r="K142" i="1"/>
  <c r="K146" i="1"/>
  <c r="K150" i="1"/>
  <c r="K154" i="1"/>
  <c r="K158" i="1"/>
  <c r="K162" i="1"/>
  <c r="K166" i="1"/>
  <c r="K170" i="1"/>
  <c r="K173" i="1"/>
  <c r="K175" i="1"/>
  <c r="K177" i="1"/>
  <c r="K179" i="1"/>
  <c r="K181" i="1"/>
  <c r="K183" i="1"/>
  <c r="K185" i="1"/>
  <c r="K187" i="1"/>
  <c r="K189" i="1"/>
  <c r="K191" i="1"/>
  <c r="K193" i="1"/>
  <c r="K195" i="1"/>
  <c r="K197" i="1"/>
  <c r="K199" i="1"/>
  <c r="K201" i="1"/>
  <c r="K203" i="1"/>
  <c r="K205" i="1"/>
  <c r="K207" i="1"/>
  <c r="K209" i="1"/>
  <c r="K211" i="1"/>
  <c r="K213" i="1"/>
  <c r="K215" i="1"/>
  <c r="K217" i="1"/>
  <c r="K219" i="1"/>
  <c r="K221" i="1"/>
  <c r="K223" i="1"/>
  <c r="K225" i="1"/>
  <c r="K227" i="1"/>
  <c r="K229" i="1"/>
  <c r="K231" i="1"/>
  <c r="K233" i="1"/>
  <c r="K235" i="1"/>
  <c r="K237" i="1"/>
  <c r="K239" i="1"/>
  <c r="K241" i="1"/>
  <c r="K243" i="1"/>
  <c r="K245" i="1"/>
  <c r="K247" i="1"/>
  <c r="K249" i="1"/>
  <c r="K251" i="1"/>
  <c r="K2" i="1"/>
  <c r="B15" i="1"/>
</calcChain>
</file>

<file path=xl/sharedStrings.xml><?xml version="1.0" encoding="utf-8"?>
<sst xmlns="http://schemas.openxmlformats.org/spreadsheetml/2006/main" count="35" uniqueCount="34">
  <si>
    <t>Simple historical VaR example</t>
  </si>
  <si>
    <t>one year option on SPX</t>
  </si>
  <si>
    <t>Date</t>
  </si>
  <si>
    <t>current price</t>
  </si>
  <si>
    <t>strike</t>
  </si>
  <si>
    <t>volatility</t>
  </si>
  <si>
    <t>prices</t>
  </si>
  <si>
    <t>time to exp</t>
  </si>
  <si>
    <t>risk free rate</t>
  </si>
  <si>
    <t>dividend rate</t>
  </si>
  <si>
    <t>shifted current prices</t>
  </si>
  <si>
    <t>current option value</t>
  </si>
  <si>
    <t>full reval</t>
  </si>
  <si>
    <t>Delta P</t>
  </si>
  <si>
    <t xml:space="preserve">VaR (full reval) </t>
  </si>
  <si>
    <t>delta</t>
  </si>
  <si>
    <t>gamma</t>
  </si>
  <si>
    <t>D-G approx</t>
  </si>
  <si>
    <t>normalized relative shifts</t>
  </si>
  <si>
    <t>pct shifts</t>
  </si>
  <si>
    <t>VaR D-G approx</t>
  </si>
  <si>
    <t>Monte Carlo</t>
  </si>
  <si>
    <t>For Beginners</t>
  </si>
  <si>
    <t>rand</t>
  </si>
  <si>
    <t>normal</t>
  </si>
  <si>
    <t>Shifted stock price</t>
  </si>
  <si>
    <t>shift</t>
  </si>
  <si>
    <t>real-world drift</t>
  </si>
  <si>
    <t>log diffs</t>
  </si>
  <si>
    <t>Beginner VaR D-G Approx</t>
  </si>
  <si>
    <t>One dimensional grid</t>
  </si>
  <si>
    <t>Price</t>
  </si>
  <si>
    <t>Grid approx</t>
  </si>
  <si>
    <t>Grid Approx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</si>
</sst>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4" fontId="0" fillId="0" borderId="0" xfId="0" applyNumberFormat="1"/>
    <xf numFmtId="10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S5001"/>
  <sheetViews>
    <sheetView tabSelected="1" workbookViewId="0">
      <selection activeCell="B4" sqref="B4"/>
    </sheetView>
  </sheetViews>
  <sheetFormatPr baseColWidth="10" defaultColWidth="8.83203125" defaultRowHeight="15" x14ac:dyDescent="0.2"/>
  <cols>
    <col min="1" max="1" width="28.6640625" customWidth="1"/>
    <col min="3" max="3" width="20" customWidth="1"/>
    <col min="4" max="4" width="10.5" customWidth="1"/>
    <col min="5" max="6" width="13.6640625" customWidth="1"/>
    <col min="7" max="7" width="20.1640625" customWidth="1"/>
    <col min="8" max="8" width="16.1640625" customWidth="1"/>
    <col min="9" max="9" width="13.1640625" customWidth="1"/>
    <col min="10" max="10" width="27.6640625" customWidth="1"/>
    <col min="11" max="13" width="14.6640625" customWidth="1"/>
    <col min="14" max="14" width="16.33203125" customWidth="1"/>
    <col min="15" max="15" width="19" customWidth="1"/>
    <col min="16" max="16" width="11.5" customWidth="1"/>
    <col min="17" max="17" width="17.6640625" customWidth="1"/>
    <col min="19" max="19" width="12.1640625" customWidth="1"/>
  </cols>
  <sheetData>
    <row r="1" spans="1:19" x14ac:dyDescent="0.2">
      <c r="A1" t="s">
        <v>0</v>
      </c>
      <c r="C1" t="s">
        <v>2</v>
      </c>
      <c r="D1" t="s">
        <v>6</v>
      </c>
      <c r="E1" t="s">
        <v>19</v>
      </c>
      <c r="F1" t="s">
        <v>28</v>
      </c>
      <c r="G1" t="s">
        <v>10</v>
      </c>
      <c r="H1" t="s">
        <v>12</v>
      </c>
      <c r="I1" t="s">
        <v>13</v>
      </c>
      <c r="J1" t="s">
        <v>18</v>
      </c>
      <c r="K1" t="s">
        <v>17</v>
      </c>
      <c r="L1" t="s">
        <v>32</v>
      </c>
      <c r="N1" t="s">
        <v>21</v>
      </c>
      <c r="O1" t="s">
        <v>23</v>
      </c>
      <c r="P1" t="s">
        <v>24</v>
      </c>
      <c r="Q1" t="s">
        <v>25</v>
      </c>
      <c r="R1" t="s">
        <v>26</v>
      </c>
      <c r="S1" t="s">
        <v>17</v>
      </c>
    </row>
    <row r="2" spans="1:19" x14ac:dyDescent="0.2">
      <c r="A2" t="s">
        <v>1</v>
      </c>
      <c r="C2" s="1">
        <v>42380</v>
      </c>
      <c r="D2" s="2">
        <v>1923.670044</v>
      </c>
      <c r="E2" s="3">
        <f>(D2-D3)/D3</f>
        <v>8.532723085774163E-4</v>
      </c>
      <c r="F2" s="3">
        <f>LN(D2/D3)</f>
        <v>8.529084787104222E-4</v>
      </c>
      <c r="G2" s="2">
        <f>$D$2*(1+E2)</f>
        <v>1925.3114583793852</v>
      </c>
      <c r="H2" s="2">
        <f>G2*EXP(-$B$9*$B$7)*_xlfn.NORM.S.DIST((LN(G2/$B$5)+($B$8-$B$9+0.5*$B$6^2)*$B$7)/($B$6*SQRT($B$7)),TRUE)-$B$5*EXP(-$B$8*$B$7)*_xlfn.NORM.S.DIST((LN(G2/$B$5)+($B$8-$B$9-0.5*$B$6^2)*$B$7)/($B$6*SQRT($B$7)),TRUE)</f>
        <v>170.91251168548865</v>
      </c>
      <c r="I2" s="2">
        <f>H2-$B$10</f>
        <v>0.83199641797921231</v>
      </c>
      <c r="J2" s="2">
        <f>E2*$B$4</f>
        <v>1.6414143793850999</v>
      </c>
      <c r="K2" s="2">
        <f>$B$12*J2+0.5*$B$13*J2^2</f>
        <v>0.83199677900830027</v>
      </c>
      <c r="L2" s="2">
        <f>linearinterp(A$22:A$28,B$22:B$28,7,1+E2)-$B$10</f>
        <v>0.95324691484995583</v>
      </c>
      <c r="M2" s="2"/>
      <c r="N2" t="s">
        <v>22</v>
      </c>
      <c r="O2" s="4">
        <f ca="1">RAND()</f>
        <v>9.3515932922756617E-2</v>
      </c>
      <c r="P2" s="4">
        <f ca="1">NORMSINV(O2)</f>
        <v>-1.3194106421537424</v>
      </c>
      <c r="Q2" s="4">
        <f ca="1">$B$4*(1+$B$17-$B$6/SQRT(252)*P2)</f>
        <v>1963.2357709874568</v>
      </c>
      <c r="R2" s="4">
        <f ca="1">Q2-$B$4</f>
        <v>39.565726987456856</v>
      </c>
      <c r="S2" s="4">
        <f ca="1">R2*$B$12+0.5*$B$13*R2^2</f>
        <v>20.665803740884716</v>
      </c>
    </row>
    <row r="3" spans="1:19" x14ac:dyDescent="0.2">
      <c r="C3" s="1">
        <v>42377</v>
      </c>
      <c r="D3" s="2">
        <v>1922.030029</v>
      </c>
      <c r="E3" s="3">
        <f t="shared" ref="E3:E66" si="0">(D3-D4)/D4</f>
        <v>-1.0838374634476389E-2</v>
      </c>
      <c r="F3" s="3">
        <f t="shared" ref="F3:F66" si="1">LN(D3/D4)</f>
        <v>-1.0897537692782108E-2</v>
      </c>
      <c r="G3" s="2">
        <f t="shared" ref="G3:G66" si="2">$D$2*(1+E3)</f>
        <v>1902.8205873900083</v>
      </c>
      <c r="H3" s="2">
        <f t="shared" ref="H3:H66" si="3">G3*EXP(-$B$9*$B$7)*_xlfn.NORM.S.DIST((LN(G3/$B$5)+($B$8-$B$9+0.5*$B$6^2)*$B$7)/($B$6*SQRT($B$7)),TRUE)-$B$5*EXP(-$B$8*$B$7)*_xlfn.NORM.S.DIST((LN(G3/$B$5)+($B$8-$B$9-0.5*$B$6^2)*$B$7)/($B$6*SQRT($B$7)),TRUE)</f>
        <v>159.7039833330731</v>
      </c>
      <c r="I3" s="2">
        <f t="shared" ref="I3:I66" si="4">H3-$B$10</f>
        <v>-10.376531934436343</v>
      </c>
      <c r="J3" s="2">
        <f t="shared" ref="J3:J66" si="5">E3*$B$4</f>
        <v>-20.84945660999168</v>
      </c>
      <c r="K3" s="2">
        <f t="shared" ref="K3:K66" si="6">$B$12*J3+0.5*$B$13*J3^2</f>
        <v>-10.377246226760271</v>
      </c>
      <c r="L3" s="2">
        <f t="shared" ref="L3:L66" si="7">linearinterp(A$22:A$28,B$22:B$28,7,1+E3)-$B$10</f>
        <v>-8.8795727479258915</v>
      </c>
      <c r="M3" s="2"/>
      <c r="O3" s="4">
        <f t="shared" ref="O3:O66" ca="1" si="8">RAND()</f>
        <v>0.24559659459408723</v>
      </c>
      <c r="P3" s="4">
        <f t="shared" ref="P3:P66" ca="1" si="9">NORMSINV(O3)</f>
        <v>-0.68841228590990799</v>
      </c>
      <c r="Q3" s="4">
        <f t="shared" ref="Q3:Q66" ca="1" si="10">$B$4*(1+$B$17-$B$6/SQRT(252)*P3)</f>
        <v>1944.1197038007433</v>
      </c>
      <c r="R3" s="4">
        <f t="shared" ref="R3:R66" ca="1" si="11">Q3-$B$4</f>
        <v>20.449659800743348</v>
      </c>
      <c r="S3" s="4">
        <f t="shared" ref="S3:S66" ca="1" si="12">R3*$B$12+0.5*$B$13*R3^2</f>
        <v>10.522049797519491</v>
      </c>
    </row>
    <row r="4" spans="1:19" x14ac:dyDescent="0.2">
      <c r="A4" t="s">
        <v>3</v>
      </c>
      <c r="B4" s="2">
        <f>D2</f>
        <v>1923.670044</v>
      </c>
      <c r="C4" s="1">
        <v>42376</v>
      </c>
      <c r="D4" s="2">
        <v>1943.089966</v>
      </c>
      <c r="E4" s="3">
        <f t="shared" si="0"/>
        <v>-2.3700443039098174E-2</v>
      </c>
      <c r="F4" s="3">
        <f t="shared" si="1"/>
        <v>-2.3985816544630535E-2</v>
      </c>
      <c r="G4" s="2">
        <f t="shared" si="2"/>
        <v>1878.0782116961586</v>
      </c>
      <c r="H4" s="2">
        <f t="shared" si="3"/>
        <v>147.85478778310744</v>
      </c>
      <c r="I4" s="2">
        <f t="shared" si="4"/>
        <v>-22.225727484402</v>
      </c>
      <c r="J4" s="2">
        <f t="shared" si="5"/>
        <v>-45.591832303841478</v>
      </c>
      <c r="K4" s="2">
        <f t="shared" si="6"/>
        <v>-22.232891810897286</v>
      </c>
      <c r="L4" s="2">
        <f t="shared" si="7"/>
        <v>-19.417100369857593</v>
      </c>
      <c r="M4" s="2"/>
      <c r="O4" s="4">
        <f t="shared" ca="1" si="8"/>
        <v>1.0139560128595404E-2</v>
      </c>
      <c r="P4" s="4">
        <f t="shared" ca="1" si="9"/>
        <v>-2.3211431306224046</v>
      </c>
      <c r="Q4" s="4">
        <f t="shared" ca="1" si="10"/>
        <v>1993.5832122496984</v>
      </c>
      <c r="R4" s="4">
        <f t="shared" ca="1" si="11"/>
        <v>69.913168249698401</v>
      </c>
      <c r="S4" s="4">
        <f t="shared" ca="1" si="12"/>
        <v>37.380424321484405</v>
      </c>
    </row>
    <row r="5" spans="1:19" x14ac:dyDescent="0.2">
      <c r="A5" t="s">
        <v>4</v>
      </c>
      <c r="B5">
        <v>1950</v>
      </c>
      <c r="C5" s="1">
        <v>42375</v>
      </c>
      <c r="D5" s="2">
        <v>1990.26001</v>
      </c>
      <c r="E5" s="3">
        <f t="shared" si="0"/>
        <v>-1.31153966170151E-2</v>
      </c>
      <c r="F5" s="3">
        <f t="shared" si="1"/>
        <v>-1.3202162915856163E-2</v>
      </c>
      <c r="G5" s="2">
        <f t="shared" si="2"/>
        <v>1898.440348412669</v>
      </c>
      <c r="H5" s="2">
        <f t="shared" si="3"/>
        <v>157.56936776612372</v>
      </c>
      <c r="I5" s="2">
        <f t="shared" si="4"/>
        <v>-12.511147501385722</v>
      </c>
      <c r="J5" s="2">
        <f t="shared" si="5"/>
        <v>-25.229695587330887</v>
      </c>
      <c r="K5" s="2">
        <f t="shared" si="6"/>
        <v>-12.512404185465247</v>
      </c>
      <c r="L5" s="2">
        <f t="shared" si="7"/>
        <v>-10.745072236960368</v>
      </c>
      <c r="M5" s="2"/>
      <c r="O5" s="4">
        <f t="shared" ca="1" si="8"/>
        <v>0.43318639244353974</v>
      </c>
      <c r="P5" s="4">
        <f t="shared" ca="1" si="9"/>
        <v>-0.16826757071874723</v>
      </c>
      <c r="Q5" s="4">
        <f t="shared" ca="1" si="10"/>
        <v>1928.3619427479302</v>
      </c>
      <c r="R5" s="4">
        <f t="shared" ca="1" si="11"/>
        <v>4.6918987479302814</v>
      </c>
      <c r="S5" s="4">
        <f t="shared" ca="1" si="12"/>
        <v>2.3840462897775776</v>
      </c>
    </row>
    <row r="6" spans="1:19" x14ac:dyDescent="0.2">
      <c r="A6" t="s">
        <v>5</v>
      </c>
      <c r="B6">
        <v>0.25</v>
      </c>
      <c r="C6" s="1">
        <v>42374</v>
      </c>
      <c r="D6" s="2">
        <v>2016.709961</v>
      </c>
      <c r="E6" s="3">
        <f t="shared" si="0"/>
        <v>2.012226074739071E-3</v>
      </c>
      <c r="F6" s="3">
        <f t="shared" si="1"/>
        <v>2.0102042596295308E-3</v>
      </c>
      <c r="G6" s="2">
        <f t="shared" si="2"/>
        <v>1927.5409030217311</v>
      </c>
      <c r="H6" s="2">
        <f t="shared" si="3"/>
        <v>172.0460766100914</v>
      </c>
      <c r="I6" s="2">
        <f t="shared" si="4"/>
        <v>1.9655613425819638</v>
      </c>
      <c r="J6" s="2">
        <f t="shared" si="5"/>
        <v>3.8708590217312562</v>
      </c>
      <c r="K6" s="2">
        <f t="shared" si="6"/>
        <v>1.9655660934190833</v>
      </c>
      <c r="L6" s="2">
        <f t="shared" si="7"/>
        <v>2.2479907978303686</v>
      </c>
      <c r="M6" s="2"/>
      <c r="O6" s="4">
        <f t="shared" ca="1" si="8"/>
        <v>0.61865789368903212</v>
      </c>
      <c r="P6" s="4">
        <f t="shared" ca="1" si="9"/>
        <v>0.30195782662027409</v>
      </c>
      <c r="Q6" s="4">
        <f t="shared" ca="1" si="10"/>
        <v>1914.1164852130803</v>
      </c>
      <c r="R6" s="4">
        <f t="shared" ca="1" si="11"/>
        <v>-9.5535587869196661</v>
      </c>
      <c r="S6" s="4">
        <f t="shared" ca="1" si="12"/>
        <v>-4.7989516282811442</v>
      </c>
    </row>
    <row r="7" spans="1:19" x14ac:dyDescent="0.2">
      <c r="A7" t="s">
        <v>7</v>
      </c>
      <c r="B7">
        <v>1</v>
      </c>
      <c r="C7" s="1">
        <v>42373</v>
      </c>
      <c r="D7" s="2">
        <v>2012.660034</v>
      </c>
      <c r="E7" s="3">
        <f t="shared" si="0"/>
        <v>-1.530373098179018E-2</v>
      </c>
      <c r="F7" s="3">
        <f t="shared" si="1"/>
        <v>-1.5422041688326272E-2</v>
      </c>
      <c r="G7" s="2">
        <f t="shared" si="2"/>
        <v>1894.2307151488956</v>
      </c>
      <c r="H7" s="2">
        <f t="shared" si="3"/>
        <v>155.53281768074419</v>
      </c>
      <c r="I7" s="2">
        <f t="shared" si="4"/>
        <v>-14.547697586765253</v>
      </c>
      <c r="J7" s="2">
        <f t="shared" si="5"/>
        <v>-29.439328851104477</v>
      </c>
      <c r="K7" s="2">
        <f t="shared" si="6"/>
        <v>-14.54968027186062</v>
      </c>
      <c r="L7" s="2">
        <f t="shared" si="7"/>
        <v>-12.537912477691236</v>
      </c>
      <c r="M7" s="2"/>
      <c r="O7" s="4">
        <f t="shared" ca="1" si="8"/>
        <v>0.60188392559199544</v>
      </c>
      <c r="P7" s="4">
        <f t="shared" ca="1" si="9"/>
        <v>0.25822644612781925</v>
      </c>
      <c r="Q7" s="4">
        <f t="shared" ca="1" si="10"/>
        <v>1915.4413254434699</v>
      </c>
      <c r="R7" s="4">
        <f t="shared" ca="1" si="11"/>
        <v>-8.2287185565301115</v>
      </c>
      <c r="S7" s="4">
        <f t="shared" ca="1" si="12"/>
        <v>-4.13789453913967</v>
      </c>
    </row>
    <row r="8" spans="1:19" x14ac:dyDescent="0.2">
      <c r="A8" t="s">
        <v>8</v>
      </c>
      <c r="B8">
        <v>0.01</v>
      </c>
      <c r="C8" s="1">
        <v>42369</v>
      </c>
      <c r="D8" s="2">
        <v>2043.9399410000001</v>
      </c>
      <c r="E8" s="3">
        <f t="shared" si="0"/>
        <v>-9.4119130897784096E-3</v>
      </c>
      <c r="F8" s="3">
        <f t="shared" si="1"/>
        <v>-9.4564850357659186E-3</v>
      </c>
      <c r="G8" s="2">
        <f t="shared" si="2"/>
        <v>1905.5646287324619</v>
      </c>
      <c r="H8" s="2">
        <f t="shared" si="3"/>
        <v>161.04928630667303</v>
      </c>
      <c r="I8" s="2">
        <f t="shared" si="4"/>
        <v>-9.0312289608364154</v>
      </c>
      <c r="J8" s="2">
        <f t="shared" si="5"/>
        <v>-18.105415267538209</v>
      </c>
      <c r="K8" s="2">
        <f t="shared" si="6"/>
        <v>-9.0316987894060716</v>
      </c>
      <c r="L8" s="2">
        <f t="shared" si="7"/>
        <v>-7.7109132869424286</v>
      </c>
      <c r="M8" s="2"/>
      <c r="O8" s="4">
        <f t="shared" ca="1" si="8"/>
        <v>7.1782065198638723E-2</v>
      </c>
      <c r="P8" s="4">
        <f t="shared" ca="1" si="9"/>
        <v>-1.4626465073877586</v>
      </c>
      <c r="Q8" s="4">
        <f t="shared" ca="1" si="10"/>
        <v>1967.5750951651928</v>
      </c>
      <c r="R8" s="4">
        <f t="shared" ca="1" si="11"/>
        <v>43.905051165192845</v>
      </c>
      <c r="S8" s="4">
        <f t="shared" ca="1" si="12"/>
        <v>23.009855370622294</v>
      </c>
    </row>
    <row r="9" spans="1:19" x14ac:dyDescent="0.2">
      <c r="A9" t="s">
        <v>9</v>
      </c>
      <c r="B9">
        <v>1.7999999999999999E-2</v>
      </c>
      <c r="C9" s="1">
        <v>42368</v>
      </c>
      <c r="D9" s="2">
        <v>2063.360107</v>
      </c>
      <c r="E9" s="3">
        <f t="shared" si="0"/>
        <v>-7.2172285974309268E-3</v>
      </c>
      <c r="F9" s="3">
        <f t="shared" si="1"/>
        <v>-7.2433987852541376E-3</v>
      </c>
      <c r="G9" s="2">
        <f t="shared" si="2"/>
        <v>1909.786477546422</v>
      </c>
      <c r="H9" s="2">
        <f t="shared" si="3"/>
        <v>163.13119520163161</v>
      </c>
      <c r="I9" s="2">
        <f t="shared" si="4"/>
        <v>-6.9493200658778278</v>
      </c>
      <c r="J9" s="2">
        <f t="shared" si="5"/>
        <v>-13.883566453578009</v>
      </c>
      <c r="K9" s="2">
        <f t="shared" si="6"/>
        <v>-6.9495333426149601</v>
      </c>
      <c r="L9" s="2">
        <f t="shared" si="7"/>
        <v>-5.9128705669062924</v>
      </c>
      <c r="M9" s="2"/>
      <c r="O9" s="4">
        <f t="shared" ca="1" si="8"/>
        <v>0.66815922020569896</v>
      </c>
      <c r="P9" s="4">
        <f t="shared" ca="1" si="9"/>
        <v>0.43483587939619983</v>
      </c>
      <c r="Q9" s="4">
        <f t="shared" ca="1" si="10"/>
        <v>1910.0909505038858</v>
      </c>
      <c r="R9" s="4">
        <f t="shared" ca="1" si="11"/>
        <v>-13.579093496114183</v>
      </c>
      <c r="S9" s="4">
        <f t="shared" ca="1" si="12"/>
        <v>-6.7988099144823435</v>
      </c>
    </row>
    <row r="10" spans="1:19" x14ac:dyDescent="0.2">
      <c r="A10" t="s">
        <v>11</v>
      </c>
      <c r="B10" s="2">
        <f>$B$4*EXP(-$B$9*$B$7)*_xlfn.NORM.S.DIST((LN($B$4/$B$5)+($B$8-$B$9+0.5*$B$6^2)*$B$7)/($B$6*SQRT($B$7)),TRUE)-$B$5*EXP(-$B$8*$B$7)*_xlfn.NORM.S.DIST((LN($B$4/$B$5)+($B$8-$B$9-0.5*$B$6^2)*B7)/($B$6*SQRT($B$7)),TRUE)</f>
        <v>170.08051526750944</v>
      </c>
      <c r="C10" s="1">
        <v>42367</v>
      </c>
      <c r="D10" s="2">
        <v>2078.360107</v>
      </c>
      <c r="E10" s="3">
        <f t="shared" si="0"/>
        <v>1.0629762703622645E-2</v>
      </c>
      <c r="F10" s="3">
        <f t="shared" si="1"/>
        <v>1.0573663970038498E-2</v>
      </c>
      <c r="G10" s="2">
        <f t="shared" si="2"/>
        <v>1944.1182000877875</v>
      </c>
      <c r="H10" s="2">
        <f t="shared" si="3"/>
        <v>180.60106125220534</v>
      </c>
      <c r="I10" s="2">
        <f t="shared" si="4"/>
        <v>10.5205459846959</v>
      </c>
      <c r="J10" s="2">
        <f t="shared" si="5"/>
        <v>20.448156087787332</v>
      </c>
      <c r="K10" s="2">
        <f t="shared" si="6"/>
        <v>10.521263569114867</v>
      </c>
      <c r="L10" s="2">
        <f t="shared" si="7"/>
        <v>11.875210763265244</v>
      </c>
      <c r="M10" s="2"/>
      <c r="O10" s="4">
        <f t="shared" ca="1" si="8"/>
        <v>0.72679650695171227</v>
      </c>
      <c r="P10" s="4">
        <f t="shared" ca="1" si="9"/>
        <v>0.60315288712169679</v>
      </c>
      <c r="Q10" s="4">
        <f t="shared" ca="1" si="10"/>
        <v>1904.9917942279478</v>
      </c>
      <c r="R10" s="4">
        <f t="shared" ca="1" si="11"/>
        <v>-18.678249772052141</v>
      </c>
      <c r="S10" s="4">
        <f t="shared" ca="1" si="12"/>
        <v>-9.3130958901161076</v>
      </c>
    </row>
    <row r="11" spans="1:19" x14ac:dyDescent="0.2">
      <c r="A11" t="s">
        <v>14</v>
      </c>
      <c r="B11">
        <f>SMALL(I2:I252,2)</f>
        <v>-29.470764608522813</v>
      </c>
      <c r="C11" s="1">
        <v>42366</v>
      </c>
      <c r="D11" s="2">
        <v>2056.5</v>
      </c>
      <c r="E11" s="3">
        <f t="shared" si="0"/>
        <v>-2.1785598289101996E-3</v>
      </c>
      <c r="F11" s="3">
        <f t="shared" si="1"/>
        <v>-2.1809363425864849E-3</v>
      </c>
      <c r="G11" s="2">
        <f t="shared" si="2"/>
        <v>1919.4792137180636</v>
      </c>
      <c r="H11" s="2">
        <f t="shared" si="3"/>
        <v>167.96623126613588</v>
      </c>
      <c r="I11" s="2">
        <f t="shared" si="4"/>
        <v>-2.1142840013735622</v>
      </c>
      <c r="J11" s="2">
        <f t="shared" si="5"/>
        <v>-4.1908302819363161</v>
      </c>
      <c r="K11" s="2">
        <f t="shared" si="6"/>
        <v>-2.1142899568970086</v>
      </c>
      <c r="L11" s="2">
        <f t="shared" si="7"/>
        <v>-1.7848322408954971</v>
      </c>
      <c r="M11" s="2"/>
      <c r="O11" s="4">
        <f t="shared" ca="1" si="8"/>
        <v>0.86949489586261619</v>
      </c>
      <c r="P11" s="4">
        <f t="shared" ca="1" si="9"/>
        <v>1.1240066418697532</v>
      </c>
      <c r="Q11" s="4">
        <f t="shared" ca="1" si="10"/>
        <v>1889.2125528532395</v>
      </c>
      <c r="R11" s="4">
        <f t="shared" ca="1" si="11"/>
        <v>-34.457491146760503</v>
      </c>
      <c r="S11" s="4">
        <f t="shared" ca="1" si="12"/>
        <v>-16.959398624028353</v>
      </c>
    </row>
    <row r="12" spans="1:19" x14ac:dyDescent="0.2">
      <c r="A12" t="s">
        <v>15</v>
      </c>
      <c r="B12">
        <f>EXP(-$B$9*$B$7)*_xlfn.NORM.S.DIST((LN($B$4/$B$5)+($B$8-$B$9+0.5*$B$6^2)*$B$7)/($B$6*SQRT($B$7)),TRUE)</f>
        <v>0.50620979490545137</v>
      </c>
      <c r="C12" s="1">
        <v>42362</v>
      </c>
      <c r="D12" s="2">
        <v>2060.98999</v>
      </c>
      <c r="E12" s="3">
        <f t="shared" si="0"/>
        <v>-1.5986363048084951E-3</v>
      </c>
      <c r="F12" s="3">
        <f t="shared" si="1"/>
        <v>-1.5999154873061849E-3</v>
      </c>
      <c r="G12" s="2">
        <f t="shared" si="2"/>
        <v>1920.594795229189</v>
      </c>
      <c r="H12" s="2">
        <f t="shared" si="3"/>
        <v>168.52764629196759</v>
      </c>
      <c r="I12" s="2">
        <f t="shared" si="4"/>
        <v>-1.5528689755418554</v>
      </c>
      <c r="J12" s="2">
        <f t="shared" si="5"/>
        <v>-3.0752487708109553</v>
      </c>
      <c r="K12" s="2">
        <f t="shared" si="6"/>
        <v>-1.5528713327910166</v>
      </c>
      <c r="L12" s="2">
        <f t="shared" si="7"/>
        <v>-1.3097173556695907</v>
      </c>
      <c r="M12" s="2"/>
      <c r="O12" s="4">
        <f t="shared" ca="1" si="8"/>
        <v>0.56681092123564414</v>
      </c>
      <c r="P12" s="4">
        <f t="shared" ca="1" si="9"/>
        <v>0.16826074110938621</v>
      </c>
      <c r="Q12" s="4">
        <f t="shared" ca="1" si="10"/>
        <v>1918.1668324826162</v>
      </c>
      <c r="R12" s="4">
        <f t="shared" ca="1" si="11"/>
        <v>-5.503211517383761</v>
      </c>
      <c r="S12" s="4">
        <f t="shared" ca="1" si="12"/>
        <v>-2.7734513448504852</v>
      </c>
    </row>
    <row r="13" spans="1:19" x14ac:dyDescent="0.2">
      <c r="A13" t="s">
        <v>16</v>
      </c>
      <c r="B13">
        <f>EXP(-$B$9*$B$7)*_xlfn.NORM.S.DIST((LN($B$4/$B$5)+($B$8-$B$9+0.5*$B$6^2)*$B$7)/($B$6*SQRT($B$7)),FALSE)/($B$6*SQRT($B$7)*$B$4)</f>
        <v>8.141384514628124E-4</v>
      </c>
      <c r="C13" s="1">
        <v>42361</v>
      </c>
      <c r="D13" s="2">
        <v>2064.290039</v>
      </c>
      <c r="E13" s="3">
        <f t="shared" si="0"/>
        <v>1.2418068122691342E-2</v>
      </c>
      <c r="F13" s="3">
        <f t="shared" si="1"/>
        <v>1.2341596351676601E-2</v>
      </c>
      <c r="G13" s="2">
        <f t="shared" si="2"/>
        <v>1947.5583096519726</v>
      </c>
      <c r="H13" s="2">
        <f t="shared" si="3"/>
        <v>182.40413334666709</v>
      </c>
      <c r="I13" s="2">
        <f t="shared" si="4"/>
        <v>12.323618079157654</v>
      </c>
      <c r="J13" s="2">
        <f t="shared" si="5"/>
        <v>23.888265651972652</v>
      </c>
      <c r="K13" s="2">
        <f t="shared" si="6"/>
        <v>12.324767798937446</v>
      </c>
      <c r="L13" s="2">
        <f t="shared" si="7"/>
        <v>13.873044990862041</v>
      </c>
      <c r="M13" s="2"/>
      <c r="O13" s="4">
        <f t="shared" ca="1" si="8"/>
        <v>0.31457330268729555</v>
      </c>
      <c r="P13" s="4">
        <f t="shared" ca="1" si="9"/>
        <v>-0.48292835844618648</v>
      </c>
      <c r="Q13" s="4">
        <f t="shared" ca="1" si="10"/>
        <v>1937.8945773415101</v>
      </c>
      <c r="R13" s="4">
        <f t="shared" ca="1" si="11"/>
        <v>14.224533341510096</v>
      </c>
      <c r="S13" s="4">
        <f t="shared" ca="1" si="12"/>
        <v>7.2829634133375194</v>
      </c>
    </row>
    <row r="14" spans="1:19" x14ac:dyDescent="0.2">
      <c r="C14" s="1">
        <v>42360</v>
      </c>
      <c r="D14" s="2">
        <v>2038.969971</v>
      </c>
      <c r="E14" s="3">
        <f t="shared" si="0"/>
        <v>8.8167364066983073E-3</v>
      </c>
      <c r="F14" s="3">
        <f t="shared" si="1"/>
        <v>8.7780959420341153E-3</v>
      </c>
      <c r="G14" s="2">
        <f t="shared" si="2"/>
        <v>1940.6305357114095</v>
      </c>
      <c r="H14" s="2">
        <f t="shared" si="3"/>
        <v>178.78277170716603</v>
      </c>
      <c r="I14" s="2">
        <f t="shared" si="4"/>
        <v>8.702256439656594</v>
      </c>
      <c r="J14" s="2">
        <f t="shared" si="5"/>
        <v>16.960491711409734</v>
      </c>
      <c r="K14" s="2">
        <f t="shared" si="6"/>
        <v>8.7026638636738642</v>
      </c>
      <c r="L14" s="2">
        <f t="shared" si="7"/>
        <v>9.8497592084546284</v>
      </c>
      <c r="M14" s="2"/>
      <c r="O14" s="4">
        <f t="shared" ca="1" si="8"/>
        <v>0.70743918613385681</v>
      </c>
      <c r="P14" s="4">
        <f t="shared" ca="1" si="9"/>
        <v>0.545918984764312</v>
      </c>
      <c r="Q14" s="4">
        <f t="shared" ca="1" si="10"/>
        <v>1906.7256927587371</v>
      </c>
      <c r="R14" s="4">
        <f t="shared" ca="1" si="11"/>
        <v>-16.944351241262893</v>
      </c>
      <c r="S14" s="4">
        <f t="shared" ca="1" si="12"/>
        <v>-8.4605224983061245</v>
      </c>
    </row>
    <row r="15" spans="1:19" x14ac:dyDescent="0.2">
      <c r="A15" t="s">
        <v>20</v>
      </c>
      <c r="B15">
        <f>SMALL(K2:K252,2)</f>
        <v>-29.487672280140536</v>
      </c>
      <c r="C15" s="1">
        <v>42359</v>
      </c>
      <c r="D15" s="2">
        <v>2021.150024</v>
      </c>
      <c r="E15" s="3">
        <f t="shared" si="0"/>
        <v>7.7784022432042963E-3</v>
      </c>
      <c r="F15" s="3">
        <f t="shared" si="1"/>
        <v>7.7483064365918945E-3</v>
      </c>
      <c r="G15" s="2">
        <f t="shared" si="2"/>
        <v>1938.6331233854346</v>
      </c>
      <c r="H15" s="2">
        <f t="shared" si="3"/>
        <v>177.74583391147371</v>
      </c>
      <c r="I15" s="2">
        <f t="shared" si="4"/>
        <v>7.6653186439642695</v>
      </c>
      <c r="J15" s="2">
        <f t="shared" si="5"/>
        <v>14.963079385434508</v>
      </c>
      <c r="K15" s="2">
        <f t="shared" si="6"/>
        <v>7.6655976001538138</v>
      </c>
      <c r="L15" s="2">
        <f t="shared" si="7"/>
        <v>8.6897674590634608</v>
      </c>
      <c r="M15" s="2"/>
      <c r="O15" s="4">
        <f t="shared" ca="1" si="8"/>
        <v>0.10712609362875891</v>
      </c>
      <c r="P15" s="4">
        <f t="shared" ca="1" si="9"/>
        <v>-1.2419576515162865</v>
      </c>
      <c r="Q15" s="4">
        <f t="shared" ca="1" si="10"/>
        <v>1960.88933607493</v>
      </c>
      <c r="R15" s="4">
        <f t="shared" ca="1" si="11"/>
        <v>37.219292074930081</v>
      </c>
      <c r="S15" s="4">
        <f t="shared" ca="1" si="12"/>
        <v>19.404673315441649</v>
      </c>
    </row>
    <row r="16" spans="1:19" x14ac:dyDescent="0.2">
      <c r="C16" s="1">
        <v>42356</v>
      </c>
      <c r="D16" s="2">
        <v>2005.5500489999999</v>
      </c>
      <c r="E16" s="3">
        <f t="shared" si="0"/>
        <v>-1.7797220091700192E-2</v>
      </c>
      <c r="F16" s="3">
        <f t="shared" si="1"/>
        <v>-1.7957495093582236E-2</v>
      </c>
      <c r="G16" s="2">
        <f t="shared" si="2"/>
        <v>1889.4340648431214</v>
      </c>
      <c r="H16" s="2">
        <f t="shared" si="3"/>
        <v>153.23014739624819</v>
      </c>
      <c r="I16" s="2">
        <f t="shared" si="4"/>
        <v>-16.850367871261255</v>
      </c>
      <c r="J16" s="2">
        <f t="shared" si="5"/>
        <v>-34.235979156878592</v>
      </c>
      <c r="K16" s="2">
        <f t="shared" si="6"/>
        <v>-16.853461224340077</v>
      </c>
      <c r="L16" s="2">
        <f t="shared" si="7"/>
        <v>-14.580757340903233</v>
      </c>
      <c r="M16" s="2"/>
      <c r="O16" s="4">
        <f t="shared" ca="1" si="8"/>
        <v>0.88853243045894215</v>
      </c>
      <c r="P16" s="4">
        <f t="shared" ca="1" si="9"/>
        <v>1.2187604173817468</v>
      </c>
      <c r="Q16" s="4">
        <f t="shared" ca="1" si="10"/>
        <v>1886.3419914310759</v>
      </c>
      <c r="R16" s="4">
        <f t="shared" ca="1" si="11"/>
        <v>-37.328052568924022</v>
      </c>
      <c r="S16" s="4">
        <f t="shared" ca="1" si="12"/>
        <v>-18.328622289146963</v>
      </c>
    </row>
    <row r="17" spans="1:19" x14ac:dyDescent="0.2">
      <c r="A17" t="s">
        <v>27</v>
      </c>
      <c r="B17" s="3">
        <f>AVERAGE(F2:F252)</f>
        <v>-2.1093005910675637E-4</v>
      </c>
      <c r="C17" s="1">
        <v>42355</v>
      </c>
      <c r="D17" s="2">
        <v>2041.8900149999999</v>
      </c>
      <c r="E17" s="3">
        <f t="shared" si="0"/>
        <v>-1.5040520569611564E-2</v>
      </c>
      <c r="F17" s="3">
        <f t="shared" si="1"/>
        <v>-1.5154776290347281E-2</v>
      </c>
      <c r="G17" s="2">
        <f t="shared" si="2"/>
        <v>1894.7370451340723</v>
      </c>
      <c r="H17" s="2">
        <f t="shared" si="3"/>
        <v>155.7769967111301</v>
      </c>
      <c r="I17" s="2">
        <f t="shared" si="4"/>
        <v>-14.303518556379345</v>
      </c>
      <c r="J17" s="2">
        <f t="shared" si="5"/>
        <v>-28.932998865927583</v>
      </c>
      <c r="K17" s="2">
        <f t="shared" si="6"/>
        <v>-14.30540227347179</v>
      </c>
      <c r="L17" s="2">
        <f t="shared" si="7"/>
        <v>-12.322271656832669</v>
      </c>
      <c r="M17" s="2"/>
      <c r="O17" s="4">
        <f t="shared" ca="1" si="8"/>
        <v>0.4303417596074226</v>
      </c>
      <c r="P17" s="4">
        <f t="shared" ca="1" si="9"/>
        <v>-0.17550413847836699</v>
      </c>
      <c r="Q17" s="4">
        <f t="shared" ca="1" si="10"/>
        <v>1928.5811742469118</v>
      </c>
      <c r="R17" s="4">
        <f t="shared" ca="1" si="11"/>
        <v>4.9111302469118527</v>
      </c>
      <c r="S17" s="4">
        <f t="shared" ca="1" si="12"/>
        <v>2.4958804192354571</v>
      </c>
    </row>
    <row r="18" spans="1:19" x14ac:dyDescent="0.2">
      <c r="C18" s="1">
        <v>42354</v>
      </c>
      <c r="D18" s="2">
        <v>2073.070068</v>
      </c>
      <c r="E18" s="3">
        <f t="shared" si="0"/>
        <v>1.4514969343641774E-2</v>
      </c>
      <c r="F18" s="3">
        <f t="shared" si="1"/>
        <v>1.4410635565352437E-2</v>
      </c>
      <c r="G18" s="2">
        <f t="shared" si="2"/>
        <v>1951.5920557159418</v>
      </c>
      <c r="H18" s="2">
        <f t="shared" si="3"/>
        <v>184.53043154485215</v>
      </c>
      <c r="I18" s="2">
        <f t="shared" si="4"/>
        <v>14.449916277342709</v>
      </c>
      <c r="J18" s="2">
        <f t="shared" si="5"/>
        <v>27.922011715942023</v>
      </c>
      <c r="K18" s="2">
        <f t="shared" si="6"/>
        <v>14.451762761610448</v>
      </c>
      <c r="L18" s="2">
        <f t="shared" si="7"/>
        <v>16.215631993302623</v>
      </c>
      <c r="M18" s="2"/>
      <c r="O18" s="4">
        <f t="shared" ca="1" si="8"/>
        <v>0.82226554366503413</v>
      </c>
      <c r="P18" s="4">
        <f t="shared" ca="1" si="9"/>
        <v>0.9240334263587876</v>
      </c>
      <c r="Q18" s="4">
        <f t="shared" ca="1" si="10"/>
        <v>1895.270732538534</v>
      </c>
      <c r="R18" s="4">
        <f t="shared" ca="1" si="11"/>
        <v>-28.399311461465913</v>
      </c>
      <c r="S18" s="4">
        <f t="shared" ca="1" si="12"/>
        <v>-14.047699795531551</v>
      </c>
    </row>
    <row r="19" spans="1:19" x14ac:dyDescent="0.2">
      <c r="A19" t="s">
        <v>29</v>
      </c>
      <c r="B19">
        <f ca="1">SMALL(S2:S5001,50)</f>
        <v>-35.432212884080791</v>
      </c>
      <c r="C19" s="1">
        <v>42353</v>
      </c>
      <c r="D19" s="2">
        <v>2043.410034</v>
      </c>
      <c r="E19" s="3">
        <f t="shared" si="0"/>
        <v>1.0618561196917325E-2</v>
      </c>
      <c r="F19" s="3">
        <f t="shared" si="1"/>
        <v>1.0562580218900188E-2</v>
      </c>
      <c r="G19" s="2">
        <f t="shared" si="2"/>
        <v>1944.0966520848908</v>
      </c>
      <c r="H19" s="2">
        <f t="shared" si="3"/>
        <v>180.58979719612125</v>
      </c>
      <c r="I19" s="2">
        <f t="shared" si="4"/>
        <v>10.509281928611813</v>
      </c>
      <c r="J19" s="2">
        <f t="shared" si="5"/>
        <v>20.426608084890642</v>
      </c>
      <c r="K19" s="2">
        <f t="shared" si="6"/>
        <v>10.509997224814521</v>
      </c>
      <c r="L19" s="2">
        <f t="shared" si="7"/>
        <v>11.862696819473626</v>
      </c>
      <c r="M19" s="2"/>
      <c r="O19" s="4">
        <f t="shared" ca="1" si="8"/>
        <v>0.34846101527619799</v>
      </c>
      <c r="P19" s="4">
        <f t="shared" ca="1" si="9"/>
        <v>-0.38947874546948197</v>
      </c>
      <c r="Q19" s="4">
        <f t="shared" ca="1" si="10"/>
        <v>1935.0635254654496</v>
      </c>
      <c r="R19" s="4">
        <f t="shared" ca="1" si="11"/>
        <v>11.393481465449668</v>
      </c>
      <c r="S19" s="4">
        <f t="shared" ca="1" si="12"/>
        <v>5.8203341500755688</v>
      </c>
    </row>
    <row r="20" spans="1:19" x14ac:dyDescent="0.2">
      <c r="C20" s="1">
        <v>42352</v>
      </c>
      <c r="D20" s="2">
        <v>2021.9399410000001</v>
      </c>
      <c r="E20" s="3">
        <f t="shared" si="0"/>
        <v>4.7555598740678263E-3</v>
      </c>
      <c r="F20" s="3">
        <f t="shared" si="1"/>
        <v>4.7442879213808178E-3</v>
      </c>
      <c r="G20" s="2">
        <f t="shared" si="2"/>
        <v>1932.8181720721927</v>
      </c>
      <c r="H20" s="2">
        <f t="shared" si="3"/>
        <v>174.74539100588561</v>
      </c>
      <c r="I20" s="2">
        <f t="shared" si="4"/>
        <v>4.6648757383761676</v>
      </c>
      <c r="J20" s="2">
        <f t="shared" si="5"/>
        <v>9.148128072192689</v>
      </c>
      <c r="K20" s="2">
        <f t="shared" si="6"/>
        <v>4.66493894519426</v>
      </c>
      <c r="L20" s="2">
        <f t="shared" si="7"/>
        <v>5.3127503761336357</v>
      </c>
      <c r="M20" s="2"/>
      <c r="O20" s="4">
        <f t="shared" ca="1" si="8"/>
        <v>0.20990919863423374</v>
      </c>
      <c r="P20" s="4">
        <f t="shared" ca="1" si="9"/>
        <v>-0.80673634937888783</v>
      </c>
      <c r="Q20" s="4">
        <f t="shared" ca="1" si="10"/>
        <v>1947.7043260500664</v>
      </c>
      <c r="R20" s="4">
        <f t="shared" ca="1" si="11"/>
        <v>24.034282050066395</v>
      </c>
      <c r="S20" s="4">
        <f t="shared" ca="1" si="12"/>
        <v>12.401531187740622</v>
      </c>
    </row>
    <row r="21" spans="1:19" x14ac:dyDescent="0.2">
      <c r="A21" t="s">
        <v>30</v>
      </c>
      <c r="B21" t="s">
        <v>31</v>
      </c>
      <c r="C21" s="1">
        <v>42349</v>
      </c>
      <c r="D21" s="2">
        <v>2012.369995</v>
      </c>
      <c r="E21" s="3">
        <f t="shared" si="0"/>
        <v>-1.9422767130611768E-2</v>
      </c>
      <c r="F21" s="3">
        <f t="shared" si="1"/>
        <v>-1.961386758563884E-2</v>
      </c>
      <c r="G21" s="2">
        <f t="shared" si="2"/>
        <v>1886.3070486992542</v>
      </c>
      <c r="H21" s="2">
        <f t="shared" si="3"/>
        <v>151.73926652480964</v>
      </c>
      <c r="I21" s="2">
        <f t="shared" si="4"/>
        <v>-18.341248742699804</v>
      </c>
      <c r="J21" s="2">
        <f t="shared" si="5"/>
        <v>-37.362995300745695</v>
      </c>
      <c r="K21" s="2">
        <f t="shared" si="6"/>
        <v>-18.345248228516109</v>
      </c>
      <c r="L21" s="2">
        <f t="shared" si="7"/>
        <v>-15.912521897304202</v>
      </c>
      <c r="M21" s="2"/>
      <c r="O21" s="4">
        <f t="shared" ca="1" si="8"/>
        <v>0.95807043468399888</v>
      </c>
      <c r="P21" s="4">
        <f t="shared" ca="1" si="9"/>
        <v>1.7287204995111518</v>
      </c>
      <c r="Q21" s="4">
        <f t="shared" ca="1" si="10"/>
        <v>1870.8927733846813</v>
      </c>
      <c r="R21" s="4">
        <f t="shared" ca="1" si="11"/>
        <v>-52.777270615318685</v>
      </c>
      <c r="S21" s="4">
        <f t="shared" ca="1" si="12"/>
        <v>-25.582504310212116</v>
      </c>
    </row>
    <row r="22" spans="1:19" x14ac:dyDescent="0.2">
      <c r="A22">
        <v>0.7</v>
      </c>
      <c r="B22">
        <f>$B$4*A22*EXP(-$B$9*$B$7)*_xlfn.NORM.S.DIST((LN($B$4*A22/$B$5)+($B$8-$B$9+0.5*$B$6^2)*$B$7)/($B$6*SQRT($B$7)),TRUE)-$B$5*EXP(-$B$8*$B$7)*_xlfn.NORM.S.DIST((LN($B$4*A22/$B$5)+($B$8-$B$9-0.5*$B$6^2)*B$7)/($B$6*SQRT($B$7)),TRUE)</f>
        <v>11.298586134446396</v>
      </c>
      <c r="C22" s="1">
        <v>42348</v>
      </c>
      <c r="D22" s="2">
        <v>2052.2299800000001</v>
      </c>
      <c r="E22" s="3">
        <f t="shared" si="0"/>
        <v>2.2513869815966765E-3</v>
      </c>
      <c r="F22" s="3">
        <f t="shared" si="1"/>
        <v>2.2488564074157492E-3</v>
      </c>
      <c r="G22" s="2">
        <f t="shared" si="2"/>
        <v>1928.0009696939492</v>
      </c>
      <c r="H22" s="2">
        <f t="shared" si="3"/>
        <v>172.2805009799074</v>
      </c>
      <c r="I22" s="2">
        <f t="shared" si="4"/>
        <v>2.1999857123979609</v>
      </c>
      <c r="J22" s="2">
        <f t="shared" si="5"/>
        <v>4.3309256939491059</v>
      </c>
      <c r="K22" s="2">
        <f t="shared" si="6"/>
        <v>2.1999923711142193</v>
      </c>
      <c r="L22" s="2">
        <f t="shared" si="7"/>
        <v>2.5151732603608821</v>
      </c>
      <c r="M22" s="2"/>
      <c r="O22" s="4">
        <f t="shared" ca="1" si="8"/>
        <v>0.55398211668882236</v>
      </c>
      <c r="P22" s="4">
        <f t="shared" ca="1" si="9"/>
        <v>0.13572868953623832</v>
      </c>
      <c r="Q22" s="4">
        <f t="shared" ca="1" si="10"/>
        <v>1919.1523895406344</v>
      </c>
      <c r="R22" s="4">
        <f t="shared" ca="1" si="11"/>
        <v>-4.5176544593655308</v>
      </c>
      <c r="S22" s="4">
        <f t="shared" ca="1" si="12"/>
        <v>-2.2785729793488105</v>
      </c>
    </row>
    <row r="23" spans="1:19" x14ac:dyDescent="0.2">
      <c r="A23">
        <v>0.8</v>
      </c>
      <c r="B23">
        <f t="shared" ref="B23:B28" si="13">$B$4*A23*EXP(-$B$9*$B$7)*_xlfn.NORM.S.DIST((LN($B$4*A23/$B$5)+($B$8-$B$9+0.5*$B$6^2)*$B$7)/($B$6*SQRT($B$7)),TRUE)-$B$5*EXP(-$B$8*$B$7)*_xlfn.NORM.S.DIST((LN($B$4*A23/$B$5)+($B$8-$B$9-0.5*$B$6^2)*B$7)/($B$6*SQRT($B$7)),TRUE)</f>
        <v>36.847880329018153</v>
      </c>
      <c r="C23" s="1">
        <v>42347</v>
      </c>
      <c r="D23" s="2">
        <v>2047.619995</v>
      </c>
      <c r="E23" s="3">
        <f t="shared" si="0"/>
        <v>-7.7389851273601904E-3</v>
      </c>
      <c r="F23" s="3">
        <f t="shared" si="1"/>
        <v>-7.769086475925991E-3</v>
      </c>
      <c r="G23" s="2">
        <f t="shared" si="2"/>
        <v>1908.7827901395358</v>
      </c>
      <c r="H23" s="2">
        <f t="shared" si="3"/>
        <v>162.63492296769232</v>
      </c>
      <c r="I23" s="2">
        <f t="shared" si="4"/>
        <v>-7.4455922998171218</v>
      </c>
      <c r="J23" s="2">
        <f t="shared" si="5"/>
        <v>-14.887253860464323</v>
      </c>
      <c r="K23" s="2">
        <f t="shared" si="6"/>
        <v>-7.4458548375946059</v>
      </c>
      <c r="L23" s="2">
        <f t="shared" si="7"/>
        <v>-6.3403308845700508</v>
      </c>
      <c r="M23" s="2"/>
      <c r="O23" s="4">
        <f t="shared" ca="1" si="8"/>
        <v>0.66924848875801235</v>
      </c>
      <c r="P23" s="4">
        <f t="shared" ca="1" si="9"/>
        <v>0.43783896540210737</v>
      </c>
      <c r="Q23" s="4">
        <f t="shared" ca="1" si="10"/>
        <v>1909.9999721466706</v>
      </c>
      <c r="R23" s="4">
        <f t="shared" ca="1" si="11"/>
        <v>-13.670071853329318</v>
      </c>
      <c r="S23" s="4">
        <f t="shared" ca="1" si="12"/>
        <v>-6.8438548911029455</v>
      </c>
    </row>
    <row r="24" spans="1:19" x14ac:dyDescent="0.2">
      <c r="A24">
        <v>0.9</v>
      </c>
      <c r="B24">
        <f t="shared" si="13"/>
        <v>88.153353240092372</v>
      </c>
      <c r="C24" s="1">
        <v>42346</v>
      </c>
      <c r="D24" s="2">
        <v>2063.5900879999999</v>
      </c>
      <c r="E24" s="3">
        <f t="shared" si="0"/>
        <v>-6.4899014278222552E-3</v>
      </c>
      <c r="F24" s="3">
        <f t="shared" si="1"/>
        <v>-6.5110523995720879E-3</v>
      </c>
      <c r="G24" s="2">
        <f t="shared" si="2"/>
        <v>1911.1856150347855</v>
      </c>
      <c r="H24" s="2">
        <f t="shared" si="3"/>
        <v>163.8243766649091</v>
      </c>
      <c r="I24" s="2">
        <f t="shared" si="4"/>
        <v>-6.2561386026003447</v>
      </c>
      <c r="J24" s="2">
        <f t="shared" si="5"/>
        <v>-12.4844289652145</v>
      </c>
      <c r="K24" s="2">
        <f t="shared" si="6"/>
        <v>-6.2562940230023916</v>
      </c>
      <c r="L24" s="2">
        <f t="shared" si="7"/>
        <v>-5.3169920581915733</v>
      </c>
      <c r="M24" s="2"/>
      <c r="O24" s="4">
        <f t="shared" ca="1" si="8"/>
        <v>0.1318532019189288</v>
      </c>
      <c r="P24" s="4">
        <f t="shared" ca="1" si="9"/>
        <v>-1.1176736424547158</v>
      </c>
      <c r="Q24" s="4">
        <f t="shared" ca="1" si="10"/>
        <v>1957.1241575384952</v>
      </c>
      <c r="R24" s="4">
        <f t="shared" ca="1" si="11"/>
        <v>33.454113538495221</v>
      </c>
      <c r="S24" s="4">
        <f t="shared" ca="1" si="12"/>
        <v>17.390382758008219</v>
      </c>
    </row>
    <row r="25" spans="1:19" x14ac:dyDescent="0.2">
      <c r="A25">
        <v>1</v>
      </c>
      <c r="B25">
        <f t="shared" si="13"/>
        <v>170.08051526750944</v>
      </c>
      <c r="C25" s="1">
        <v>42345</v>
      </c>
      <c r="D25" s="2">
        <v>2077.070068</v>
      </c>
      <c r="E25" s="3">
        <f t="shared" si="0"/>
        <v>-6.989502943734861E-3</v>
      </c>
      <c r="F25" s="3">
        <f t="shared" si="1"/>
        <v>-7.0140439391970736E-3</v>
      </c>
      <c r="G25" s="2">
        <f t="shared" si="2"/>
        <v>1910.2245465646872</v>
      </c>
      <c r="H25" s="2">
        <f t="shared" si="3"/>
        <v>163.34805716641301</v>
      </c>
      <c r="I25" s="2">
        <f t="shared" si="4"/>
        <v>-6.7324581010964266</v>
      </c>
      <c r="J25" s="2">
        <f t="shared" si="5"/>
        <v>-13.44549743531257</v>
      </c>
      <c r="K25" s="2">
        <f t="shared" si="6"/>
        <v>-6.7326519540844396</v>
      </c>
      <c r="L25" s="2">
        <f t="shared" si="7"/>
        <v>-5.7263014016247951</v>
      </c>
      <c r="M25" s="2"/>
      <c r="O25" s="4">
        <f t="shared" ca="1" si="8"/>
        <v>0.48739757802625272</v>
      </c>
      <c r="P25" s="4">
        <f t="shared" ca="1" si="9"/>
        <v>-3.1594842969520275E-2</v>
      </c>
      <c r="Q25" s="4">
        <f t="shared" ca="1" si="10"/>
        <v>1924.2214485288991</v>
      </c>
      <c r="R25" s="4">
        <f t="shared" ca="1" si="11"/>
        <v>0.55140452889918379</v>
      </c>
      <c r="S25" s="4">
        <f t="shared" ca="1" si="12"/>
        <v>0.27925014164234335</v>
      </c>
    </row>
    <row r="26" spans="1:19" x14ac:dyDescent="0.2">
      <c r="A26">
        <v>1.1000000000000001</v>
      </c>
      <c r="B26">
        <f t="shared" si="13"/>
        <v>281.79712733466408</v>
      </c>
      <c r="C26" s="1">
        <v>42342</v>
      </c>
      <c r="D26" s="2">
        <v>2091.6899410000001</v>
      </c>
      <c r="E26" s="3">
        <f t="shared" si="0"/>
        <v>2.0525668952536026E-2</v>
      </c>
      <c r="F26" s="3">
        <f t="shared" si="1"/>
        <v>2.0317856261110587E-2</v>
      </c>
      <c r="G26" s="2">
        <f t="shared" si="2"/>
        <v>1963.1546584970542</v>
      </c>
      <c r="H26" s="2">
        <f t="shared" si="3"/>
        <v>190.69734375942346</v>
      </c>
      <c r="I26" s="2">
        <f t="shared" si="4"/>
        <v>20.616828491914021</v>
      </c>
      <c r="J26" s="2">
        <f t="shared" si="5"/>
        <v>39.484614497054409</v>
      </c>
      <c r="K26" s="2">
        <f t="shared" si="6"/>
        <v>20.622133688064061</v>
      </c>
      <c r="L26" s="2">
        <f t="shared" si="7"/>
        <v>22.930581957892969</v>
      </c>
      <c r="M26" s="2"/>
      <c r="O26" s="4">
        <f t="shared" ca="1" si="8"/>
        <v>0.18680584292858238</v>
      </c>
      <c r="P26" s="4">
        <f t="shared" ca="1" si="9"/>
        <v>-0.88972850197203479</v>
      </c>
      <c r="Q26" s="4">
        <f t="shared" ca="1" si="10"/>
        <v>1950.2185696281076</v>
      </c>
      <c r="R26" s="4">
        <f t="shared" ca="1" si="11"/>
        <v>26.548525628107654</v>
      </c>
      <c r="S26" s="4">
        <f t="shared" ca="1" si="12"/>
        <v>13.726035959919855</v>
      </c>
    </row>
    <row r="27" spans="1:19" x14ac:dyDescent="0.2">
      <c r="A27">
        <v>1.2</v>
      </c>
      <c r="B27">
        <f t="shared" si="13"/>
        <v>418.501151385502</v>
      </c>
      <c r="C27" s="1">
        <v>42341</v>
      </c>
      <c r="D27" s="2">
        <v>2049.6201169999999</v>
      </c>
      <c r="E27" s="3">
        <f t="shared" si="0"/>
        <v>-1.4373526867514348E-2</v>
      </c>
      <c r="F27" s="3">
        <f t="shared" si="1"/>
        <v>-1.4477826648337327E-2</v>
      </c>
      <c r="G27" s="2">
        <f t="shared" si="2"/>
        <v>1896.0201209383333</v>
      </c>
      <c r="H27" s="2">
        <f t="shared" si="3"/>
        <v>156.39671279188133</v>
      </c>
      <c r="I27" s="2">
        <f t="shared" si="4"/>
        <v>-13.683802475628113</v>
      </c>
      <c r="J27" s="2">
        <f t="shared" si="5"/>
        <v>-27.649923061666506</v>
      </c>
      <c r="K27" s="2">
        <f t="shared" si="6"/>
        <v>-13.685450032019363</v>
      </c>
      <c r="L27" s="2">
        <f t="shared" si="7"/>
        <v>-11.775822645802805</v>
      </c>
      <c r="M27" s="2"/>
      <c r="O27" s="4">
        <f t="shared" ca="1" si="8"/>
        <v>0.79719271445583173</v>
      </c>
      <c r="P27" s="4">
        <f t="shared" ca="1" si="9"/>
        <v>0.83163575975745097</v>
      </c>
      <c r="Q27" s="4">
        <f t="shared" ca="1" si="10"/>
        <v>1898.0699157458578</v>
      </c>
      <c r="R27" s="4">
        <f t="shared" ca="1" si="11"/>
        <v>-25.600128254142192</v>
      </c>
      <c r="S27" s="4">
        <f t="shared" ca="1" si="12"/>
        <v>-12.692256112234844</v>
      </c>
    </row>
    <row r="28" spans="1:19" x14ac:dyDescent="0.2">
      <c r="A28">
        <v>1.3</v>
      </c>
      <c r="B28">
        <f t="shared" si="13"/>
        <v>573.96147471300173</v>
      </c>
      <c r="C28" s="1">
        <v>42340</v>
      </c>
      <c r="D28" s="2">
        <v>2079.51001</v>
      </c>
      <c r="E28" s="3">
        <f t="shared" si="0"/>
        <v>-1.099569314929217E-2</v>
      </c>
      <c r="F28" s="3">
        <f t="shared" si="1"/>
        <v>-1.1056592615916112E-2</v>
      </c>
      <c r="G28" s="2">
        <f t="shared" si="2"/>
        <v>1902.5179584756906</v>
      </c>
      <c r="H28" s="2">
        <f t="shared" si="3"/>
        <v>159.55599501270376</v>
      </c>
      <c r="I28" s="2">
        <f t="shared" si="4"/>
        <v>-10.52452025480568</v>
      </c>
      <c r="J28" s="2">
        <f t="shared" si="5"/>
        <v>-21.152085524309367</v>
      </c>
      <c r="K28" s="2">
        <f t="shared" si="6"/>
        <v>-10.525265738883467</v>
      </c>
      <c r="L28" s="2">
        <f t="shared" si="7"/>
        <v>-9.0084593424581954</v>
      </c>
      <c r="M28" s="2"/>
      <c r="O28" s="4">
        <f t="shared" ca="1" si="8"/>
        <v>3.3945219264740478E-3</v>
      </c>
      <c r="P28" s="4">
        <f t="shared" ca="1" si="9"/>
        <v>-2.707018673510825</v>
      </c>
      <c r="Q28" s="4">
        <f t="shared" ca="1" si="10"/>
        <v>2005.2732946890167</v>
      </c>
      <c r="R28" s="4">
        <f t="shared" ca="1" si="11"/>
        <v>81.603250689016704</v>
      </c>
      <c r="S28" s="4">
        <f t="shared" ca="1" si="12"/>
        <v>44.019075618184139</v>
      </c>
    </row>
    <row r="29" spans="1:19" x14ac:dyDescent="0.2">
      <c r="C29" s="1">
        <v>42339</v>
      </c>
      <c r="D29" s="2">
        <v>2102.6298830000001</v>
      </c>
      <c r="E29" s="3">
        <f t="shared" si="0"/>
        <v>1.0680573511899315E-2</v>
      </c>
      <c r="F29" s="3">
        <f t="shared" si="1"/>
        <v>1.0623939088487118E-2</v>
      </c>
      <c r="G29" s="2">
        <f t="shared" si="2"/>
        <v>1944.2159433175805</v>
      </c>
      <c r="H29" s="2">
        <f t="shared" si="3"/>
        <v>180.65216047331489</v>
      </c>
      <c r="I29" s="2">
        <f t="shared" si="4"/>
        <v>10.571645205805453</v>
      </c>
      <c r="J29" s="2">
        <f t="shared" si="5"/>
        <v>20.545899317580588</v>
      </c>
      <c r="K29" s="2">
        <f t="shared" si="6"/>
        <v>10.572373231592595</v>
      </c>
      <c r="L29" s="2">
        <f t="shared" si="7"/>
        <v>11.931974876835852</v>
      </c>
      <c r="M29" s="2"/>
      <c r="O29" s="4">
        <f t="shared" ca="1" si="8"/>
        <v>0.86144876193894349</v>
      </c>
      <c r="P29" s="4">
        <f t="shared" ca="1" si="9"/>
        <v>1.086851426035629</v>
      </c>
      <c r="Q29" s="4">
        <f t="shared" ca="1" si="10"/>
        <v>1890.3381684672797</v>
      </c>
      <c r="R29" s="4">
        <f t="shared" ca="1" si="11"/>
        <v>-33.331875532720233</v>
      </c>
      <c r="S29" s="4">
        <f t="shared" ca="1" si="12"/>
        <v>-16.420662298383469</v>
      </c>
    </row>
    <row r="30" spans="1:19" x14ac:dyDescent="0.2">
      <c r="A30" t="s">
        <v>33</v>
      </c>
      <c r="B30">
        <f>SMALL(L2:L252,2)</f>
        <v>-26.094591967482216</v>
      </c>
      <c r="C30" s="1">
        <v>42338</v>
      </c>
      <c r="D30" s="2">
        <v>2080.4099120000001</v>
      </c>
      <c r="E30" s="3">
        <f t="shared" si="0"/>
        <v>-4.6409971261862784E-3</v>
      </c>
      <c r="F30" s="3">
        <f t="shared" si="1"/>
        <v>-4.6517999903487525E-3</v>
      </c>
      <c r="G30" s="2">
        <f t="shared" si="2"/>
        <v>1914.7422968540654</v>
      </c>
      <c r="H30" s="2">
        <f t="shared" si="3"/>
        <v>165.59370468869906</v>
      </c>
      <c r="I30" s="2">
        <f t="shared" si="4"/>
        <v>-4.4868105788103776</v>
      </c>
      <c r="J30" s="2">
        <f t="shared" si="5"/>
        <v>-8.9277471459346316</v>
      </c>
      <c r="K30" s="2">
        <f t="shared" si="6"/>
        <v>-4.4868677337728737</v>
      </c>
      <c r="L30" s="2">
        <f t="shared" si="7"/>
        <v>-3.8022372352583886</v>
      </c>
      <c r="M30" s="2"/>
      <c r="O30" s="4">
        <f t="shared" ca="1" si="8"/>
        <v>5.0392259967259934E-2</v>
      </c>
      <c r="P30" s="4">
        <f t="shared" ca="1" si="9"/>
        <v>-1.6410621246394104</v>
      </c>
      <c r="Q30" s="4">
        <f t="shared" ca="1" si="10"/>
        <v>1972.9801883683576</v>
      </c>
      <c r="R30" s="4">
        <f t="shared" ca="1" si="11"/>
        <v>49.310144368357669</v>
      </c>
      <c r="S30" s="4">
        <f t="shared" ca="1" si="12"/>
        <v>25.951062956576273</v>
      </c>
    </row>
    <row r="31" spans="1:19" x14ac:dyDescent="0.2">
      <c r="C31" s="1">
        <v>42335</v>
      </c>
      <c r="D31" s="2">
        <v>2090.110107</v>
      </c>
      <c r="E31" s="3">
        <f t="shared" si="0"/>
        <v>5.9361756861211026E-4</v>
      </c>
      <c r="F31" s="3">
        <f t="shared" si="1"/>
        <v>5.934414473988609E-4</v>
      </c>
      <c r="G31" s="2">
        <f t="shared" si="2"/>
        <v>1924.8119683343311</v>
      </c>
      <c r="H31" s="2">
        <f t="shared" si="3"/>
        <v>170.65909924380026</v>
      </c>
      <c r="I31" s="2">
        <f t="shared" si="4"/>
        <v>0.57858397629081537</v>
      </c>
      <c r="J31" s="2">
        <f t="shared" si="5"/>
        <v>1.1419243343312311</v>
      </c>
      <c r="K31" s="2">
        <f t="shared" si="6"/>
        <v>0.57858409776153263</v>
      </c>
      <c r="L31" s="2">
        <f t="shared" si="7"/>
        <v>0.66316943628885383</v>
      </c>
      <c r="M31" s="2"/>
      <c r="O31" s="4">
        <f t="shared" ca="1" si="8"/>
        <v>0.10306057803676505</v>
      </c>
      <c r="P31" s="4">
        <f t="shared" ca="1" si="9"/>
        <v>-1.2643033822841934</v>
      </c>
      <c r="Q31" s="4">
        <f t="shared" ca="1" si="10"/>
        <v>1961.566298996416</v>
      </c>
      <c r="R31" s="4">
        <f t="shared" ca="1" si="11"/>
        <v>37.896254996416019</v>
      </c>
      <c r="S31" s="4">
        <f t="shared" ca="1" si="12"/>
        <v>19.768058226403692</v>
      </c>
    </row>
    <row r="32" spans="1:19" x14ac:dyDescent="0.2">
      <c r="C32" s="1">
        <v>42333</v>
      </c>
      <c r="D32" s="2">
        <v>2088.8701169999999</v>
      </c>
      <c r="E32" s="3">
        <f t="shared" si="0"/>
        <v>-1.2913256833782199E-4</v>
      </c>
      <c r="F32" s="3">
        <f t="shared" si="1"/>
        <v>-1.2914090666574113E-4</v>
      </c>
      <c r="G32" s="2">
        <f t="shared" si="2"/>
        <v>1923.4216355465837</v>
      </c>
      <c r="H32" s="2">
        <f t="shared" si="3"/>
        <v>169.95479359542321</v>
      </c>
      <c r="I32" s="2">
        <f t="shared" si="4"/>
        <v>-0.12572167208622886</v>
      </c>
      <c r="J32" s="2">
        <f t="shared" si="5"/>
        <v>-0.24840845341625103</v>
      </c>
      <c r="K32" s="2">
        <f t="shared" si="6"/>
        <v>-0.12572167333371567</v>
      </c>
      <c r="L32" s="2">
        <f t="shared" si="7"/>
        <v>-0.10579464849229225</v>
      </c>
      <c r="M32" s="2"/>
      <c r="O32" s="4">
        <f t="shared" ca="1" si="8"/>
        <v>0.97538878254725159</v>
      </c>
      <c r="P32" s="4">
        <f t="shared" ca="1" si="9"/>
        <v>1.9666598817205561</v>
      </c>
      <c r="Q32" s="4">
        <f t="shared" ca="1" si="10"/>
        <v>1863.6844103649171</v>
      </c>
      <c r="R32" s="4">
        <f t="shared" ca="1" si="11"/>
        <v>-59.985633635082877</v>
      </c>
      <c r="S32" s="4">
        <f t="shared" ca="1" si="12"/>
        <v>-28.900567775644983</v>
      </c>
    </row>
    <row r="33" spans="3:19" x14ac:dyDescent="0.2">
      <c r="C33" s="1">
        <v>42332</v>
      </c>
      <c r="D33" s="2">
        <v>2089.139893</v>
      </c>
      <c r="E33" s="3">
        <f t="shared" si="0"/>
        <v>1.2219961240418323E-3</v>
      </c>
      <c r="F33" s="3">
        <f t="shared" si="1"/>
        <v>1.2212500944798874E-3</v>
      </c>
      <c r="G33" s="2">
        <f t="shared" si="2"/>
        <v>1926.0207613377033</v>
      </c>
      <c r="H33" s="2">
        <f t="shared" si="3"/>
        <v>171.27271975976214</v>
      </c>
      <c r="I33" s="2">
        <f t="shared" si="4"/>
        <v>1.1922044922526993</v>
      </c>
      <c r="J33" s="2">
        <f t="shared" si="5"/>
        <v>2.3507173377033808</v>
      </c>
      <c r="K33" s="2">
        <f t="shared" si="6"/>
        <v>1.1922055538367722</v>
      </c>
      <c r="L33" s="2">
        <f t="shared" si="7"/>
        <v>1.365172669371475</v>
      </c>
      <c r="M33" s="2"/>
      <c r="O33" s="4">
        <f t="shared" ca="1" si="8"/>
        <v>0.63126903612761009</v>
      </c>
      <c r="P33" s="4">
        <f t="shared" ca="1" si="9"/>
        <v>0.33521629907241451</v>
      </c>
      <c r="Q33" s="4">
        <f t="shared" ca="1" si="10"/>
        <v>1913.1089212667855</v>
      </c>
      <c r="R33" s="4">
        <f t="shared" ca="1" si="11"/>
        <v>-10.561122733214461</v>
      </c>
      <c r="S33" s="4">
        <f t="shared" ca="1" si="12"/>
        <v>-5.3007403649515838</v>
      </c>
    </row>
    <row r="34" spans="3:19" x14ac:dyDescent="0.2">
      <c r="C34" s="1">
        <v>42331</v>
      </c>
      <c r="D34" s="2">
        <v>2086.5900879999999</v>
      </c>
      <c r="E34" s="3">
        <f t="shared" si="0"/>
        <v>-1.2348607802712369E-3</v>
      </c>
      <c r="F34" s="3">
        <f t="shared" si="1"/>
        <v>-1.2356238490984315E-3</v>
      </c>
      <c r="G34" s="2">
        <f t="shared" si="2"/>
        <v>1921.2945793084816</v>
      </c>
      <c r="H34" s="2">
        <f t="shared" si="3"/>
        <v>168.88032988428586</v>
      </c>
      <c r="I34" s="2">
        <f t="shared" si="4"/>
        <v>-1.2001853832235838</v>
      </c>
      <c r="J34" s="2">
        <f t="shared" si="5"/>
        <v>-2.3754646915182445</v>
      </c>
      <c r="K34" s="2">
        <f t="shared" si="6"/>
        <v>-1.2001864708416203</v>
      </c>
      <c r="L34" s="2">
        <f t="shared" si="7"/>
        <v>-1.0116863922658581</v>
      </c>
      <c r="M34" s="2"/>
      <c r="O34" s="4">
        <f t="shared" ca="1" si="8"/>
        <v>0.20598565060385121</v>
      </c>
      <c r="P34" s="4">
        <f t="shared" ca="1" si="9"/>
        <v>-0.8204295050022522</v>
      </c>
      <c r="Q34" s="4">
        <f t="shared" ca="1" si="10"/>
        <v>1948.1191595917139</v>
      </c>
      <c r="R34" s="4">
        <f t="shared" ca="1" si="11"/>
        <v>24.449115591713962</v>
      </c>
      <c r="S34" s="4">
        <f t="shared" ca="1" si="12"/>
        <v>12.619711185682023</v>
      </c>
    </row>
    <row r="35" spans="3:19" x14ac:dyDescent="0.2">
      <c r="C35" s="1">
        <v>42328</v>
      </c>
      <c r="D35" s="2">
        <v>2089.169922</v>
      </c>
      <c r="E35" s="3">
        <f t="shared" si="0"/>
        <v>3.8101958630921791E-3</v>
      </c>
      <c r="F35" s="3">
        <f t="shared" si="1"/>
        <v>3.8029554525950086E-3</v>
      </c>
      <c r="G35" s="2">
        <f t="shared" si="2"/>
        <v>1930.9996036436032</v>
      </c>
      <c r="H35" s="2">
        <f t="shared" si="3"/>
        <v>173.81264648419005</v>
      </c>
      <c r="I35" s="2">
        <f t="shared" si="4"/>
        <v>3.7321312166806138</v>
      </c>
      <c r="J35" s="2">
        <f t="shared" si="5"/>
        <v>7.32955964360315</v>
      </c>
      <c r="K35" s="2">
        <f t="shared" si="6"/>
        <v>3.7321636378507805</v>
      </c>
      <c r="L35" s="2">
        <f t="shared" si="7"/>
        <v>4.2566217313695631</v>
      </c>
      <c r="M35" s="2"/>
      <c r="O35" s="4">
        <f t="shared" ca="1" si="8"/>
        <v>0.38523187762606281</v>
      </c>
      <c r="P35" s="4">
        <f t="shared" ca="1" si="9"/>
        <v>-0.29176833770146354</v>
      </c>
      <c r="Q35" s="4">
        <f t="shared" ca="1" si="10"/>
        <v>1932.1033930003616</v>
      </c>
      <c r="R35" s="4">
        <f t="shared" ca="1" si="11"/>
        <v>8.4333490003616589</v>
      </c>
      <c r="S35" s="4">
        <f t="shared" ca="1" si="12"/>
        <v>4.2979951910406902</v>
      </c>
    </row>
    <row r="36" spans="3:19" x14ac:dyDescent="0.2">
      <c r="C36" s="1">
        <v>42327</v>
      </c>
      <c r="D36" s="2">
        <v>2081.23999</v>
      </c>
      <c r="E36" s="3">
        <f t="shared" si="0"/>
        <v>-1.1231092218188907E-3</v>
      </c>
      <c r="F36" s="3">
        <f t="shared" si="1"/>
        <v>-1.1237403815994775E-3</v>
      </c>
      <c r="G36" s="2">
        <f t="shared" si="2"/>
        <v>1921.5095524338467</v>
      </c>
      <c r="H36" s="2">
        <f t="shared" si="3"/>
        <v>168.98875418015234</v>
      </c>
      <c r="I36" s="2">
        <f t="shared" si="4"/>
        <v>-1.0917610873570993</v>
      </c>
      <c r="J36" s="2">
        <f t="shared" si="5"/>
        <v>-2.160491566153151</v>
      </c>
      <c r="K36" s="2">
        <f t="shared" si="6"/>
        <v>-1.0917619058811299</v>
      </c>
      <c r="L36" s="2">
        <f t="shared" si="7"/>
        <v>-0.92013151190442954</v>
      </c>
      <c r="M36" s="2"/>
      <c r="O36" s="4">
        <f t="shared" ca="1" si="8"/>
        <v>0.66226131015930267</v>
      </c>
      <c r="P36" s="4">
        <f t="shared" ca="1" si="9"/>
        <v>0.41864256105250774</v>
      </c>
      <c r="Q36" s="4">
        <f t="shared" ca="1" si="10"/>
        <v>1910.5815263641407</v>
      </c>
      <c r="R36" s="4">
        <f t="shared" ca="1" si="11"/>
        <v>-13.088517635859262</v>
      </c>
      <c r="S36" s="4">
        <f t="shared" ca="1" si="12"/>
        <v>-6.5558010864345233</v>
      </c>
    </row>
    <row r="37" spans="3:19" x14ac:dyDescent="0.2">
      <c r="C37" s="1">
        <v>42326</v>
      </c>
      <c r="D37" s="2">
        <v>2083.580078</v>
      </c>
      <c r="E37" s="3">
        <f t="shared" si="0"/>
        <v>1.6162451938893374E-2</v>
      </c>
      <c r="F37" s="3">
        <f t="shared" si="1"/>
        <v>1.6033230015307577E-2</v>
      </c>
      <c r="G37" s="2">
        <f t="shared" si="2"/>
        <v>1954.7612686324389</v>
      </c>
      <c r="H37" s="2">
        <f t="shared" si="3"/>
        <v>186.21013640726915</v>
      </c>
      <c r="I37" s="2">
        <f t="shared" si="4"/>
        <v>16.129621139759706</v>
      </c>
      <c r="J37" s="2">
        <f t="shared" si="5"/>
        <v>31.091224632438902</v>
      </c>
      <c r="K37" s="2">
        <f t="shared" si="6"/>
        <v>16.132181711987808</v>
      </c>
      <c r="L37" s="2">
        <f t="shared" si="7"/>
        <v>18.056143733113885</v>
      </c>
      <c r="M37" s="2"/>
      <c r="O37" s="4">
        <f t="shared" ca="1" si="8"/>
        <v>0.50721773991884911</v>
      </c>
      <c r="P37" s="4">
        <f t="shared" ca="1" si="9"/>
        <v>1.8093178084171185E-2</v>
      </c>
      <c r="Q37" s="4">
        <f t="shared" ca="1" si="10"/>
        <v>1922.7161521371761</v>
      </c>
      <c r="R37" s="4">
        <f t="shared" ca="1" si="11"/>
        <v>-0.95389186282386618</v>
      </c>
      <c r="S37" s="4">
        <f t="shared" ca="1" si="12"/>
        <v>-0.48249900801069839</v>
      </c>
    </row>
    <row r="38" spans="3:19" x14ac:dyDescent="0.2">
      <c r="C38" s="1">
        <v>42325</v>
      </c>
      <c r="D38" s="2">
        <v>2050.4399410000001</v>
      </c>
      <c r="E38" s="3">
        <f t="shared" si="0"/>
        <v>-1.3393792484004772E-3</v>
      </c>
      <c r="F38" s="3">
        <f t="shared" si="1"/>
        <v>-1.3402770185119402E-3</v>
      </c>
      <c r="G38" s="2">
        <f t="shared" si="2"/>
        <v>1921.0935202622968</v>
      </c>
      <c r="H38" s="2">
        <f t="shared" si="3"/>
        <v>168.77895742077408</v>
      </c>
      <c r="I38" s="2">
        <f t="shared" si="4"/>
        <v>-1.3015578467353635</v>
      </c>
      <c r="J38" s="2">
        <f t="shared" si="5"/>
        <v>-2.5765237377032326</v>
      </c>
      <c r="K38" s="2">
        <f t="shared" si="6"/>
        <v>-1.301559234128147</v>
      </c>
      <c r="L38" s="2">
        <f t="shared" si="7"/>
        <v>-1.0973154069986037</v>
      </c>
      <c r="M38" s="2"/>
      <c r="O38" s="4">
        <f t="shared" ca="1" si="8"/>
        <v>0.11626722420070446</v>
      </c>
      <c r="P38" s="4">
        <f t="shared" ca="1" si="9"/>
        <v>-1.1938556247345042</v>
      </c>
      <c r="Q38" s="4">
        <f t="shared" ca="1" si="10"/>
        <v>1959.4320873092577</v>
      </c>
      <c r="R38" s="4">
        <f t="shared" ca="1" si="11"/>
        <v>35.762043309257706</v>
      </c>
      <c r="S38" s="4">
        <f t="shared" ca="1" si="12"/>
        <v>18.623707106263506</v>
      </c>
    </row>
    <row r="39" spans="3:19" x14ac:dyDescent="0.2">
      <c r="C39" s="1">
        <v>42324</v>
      </c>
      <c r="D39" s="2">
        <v>2053.1899410000001</v>
      </c>
      <c r="E39" s="3">
        <f t="shared" si="0"/>
        <v>1.4903265095486383E-2</v>
      </c>
      <c r="F39" s="3">
        <f t="shared" si="1"/>
        <v>1.4793302627265626E-2</v>
      </c>
      <c r="G39" s="2">
        <f t="shared" si="2"/>
        <v>1952.3390086219779</v>
      </c>
      <c r="H39" s="2">
        <f t="shared" si="3"/>
        <v>184.92559928501134</v>
      </c>
      <c r="I39" s="2">
        <f t="shared" si="4"/>
        <v>14.845084017501904</v>
      </c>
      <c r="J39" s="2">
        <f t="shared" si="5"/>
        <v>28.668964621977956</v>
      </c>
      <c r="K39" s="2">
        <f t="shared" si="6"/>
        <v>14.847084778457601</v>
      </c>
      <c r="L39" s="2">
        <f t="shared" si="7"/>
        <v>16.649422852064106</v>
      </c>
      <c r="M39" s="2"/>
      <c r="O39" s="4">
        <f t="shared" ca="1" si="8"/>
        <v>0.28821455570675902</v>
      </c>
      <c r="P39" s="4">
        <f t="shared" ca="1" si="9"/>
        <v>-0.55860824554623933</v>
      </c>
      <c r="Q39" s="4">
        <f t="shared" ca="1" si="10"/>
        <v>1940.1872961610952</v>
      </c>
      <c r="R39" s="4">
        <f t="shared" ca="1" si="11"/>
        <v>16.517252161095257</v>
      </c>
      <c r="S39" s="4">
        <f t="shared" ca="1" si="12"/>
        <v>8.4722512999212718</v>
      </c>
    </row>
    <row r="40" spans="3:19" x14ac:dyDescent="0.2">
      <c r="C40" s="1">
        <v>42321</v>
      </c>
      <c r="D40" s="2">
        <v>2023.040039</v>
      </c>
      <c r="E40" s="3">
        <f t="shared" si="0"/>
        <v>-1.1207364880723368E-2</v>
      </c>
      <c r="F40" s="3">
        <f t="shared" si="1"/>
        <v>-1.1270640608151911E-2</v>
      </c>
      <c r="G40" s="2">
        <f t="shared" si="2"/>
        <v>1902.1107719067747</v>
      </c>
      <c r="H40" s="2">
        <f t="shared" si="3"/>
        <v>159.35699608953257</v>
      </c>
      <c r="I40" s="2">
        <f t="shared" si="4"/>
        <v>-10.723519177976868</v>
      </c>
      <c r="J40" s="2">
        <f t="shared" si="5"/>
        <v>-21.559272093225175</v>
      </c>
      <c r="K40" s="2">
        <f t="shared" si="6"/>
        <v>-10.724308027580955</v>
      </c>
      <c r="L40" s="2">
        <f t="shared" si="7"/>
        <v>-9.1818759848341074</v>
      </c>
      <c r="M40" s="2"/>
      <c r="O40" s="4">
        <f t="shared" ca="1" si="8"/>
        <v>0.25327521560270982</v>
      </c>
      <c r="P40" s="4">
        <f t="shared" ca="1" si="9"/>
        <v>-0.6642185677386222</v>
      </c>
      <c r="Q40" s="4">
        <f t="shared" ca="1" si="10"/>
        <v>1943.3867561829213</v>
      </c>
      <c r="R40" s="4">
        <f t="shared" ca="1" si="11"/>
        <v>19.716712182921356</v>
      </c>
      <c r="S40" s="4">
        <f t="shared" ca="1" si="12"/>
        <v>10.139040478639039</v>
      </c>
    </row>
    <row r="41" spans="3:19" x14ac:dyDescent="0.2">
      <c r="C41" s="1">
        <v>42320</v>
      </c>
      <c r="D41" s="2">
        <v>2045.969971</v>
      </c>
      <c r="E41" s="3">
        <f t="shared" si="0"/>
        <v>-1.3990375421686753E-2</v>
      </c>
      <c r="F41" s="3">
        <f t="shared" si="1"/>
        <v>-1.4089163191530417E-2</v>
      </c>
      <c r="G41" s="2">
        <f t="shared" si="2"/>
        <v>1896.7571778969873</v>
      </c>
      <c r="H41" s="2">
        <f t="shared" si="3"/>
        <v>156.75332117132848</v>
      </c>
      <c r="I41" s="2">
        <f t="shared" si="4"/>
        <v>-13.327194096180961</v>
      </c>
      <c r="J41" s="2">
        <f t="shared" si="5"/>
        <v>-26.912866103012675</v>
      </c>
      <c r="K41" s="2">
        <f t="shared" si="6"/>
        <v>-13.328715228678535</v>
      </c>
      <c r="L41" s="2">
        <f t="shared" si="7"/>
        <v>-11.461917539969278</v>
      </c>
      <c r="M41" s="2"/>
      <c r="O41" s="4">
        <f t="shared" ca="1" si="8"/>
        <v>0.11115050549594208</v>
      </c>
      <c r="P41" s="4">
        <f t="shared" ca="1" si="9"/>
        <v>-1.2204323741705012</v>
      </c>
      <c r="Q41" s="4">
        <f t="shared" ca="1" si="10"/>
        <v>1960.2372287534401</v>
      </c>
      <c r="R41" s="4">
        <f t="shared" ca="1" si="11"/>
        <v>36.567184753440188</v>
      </c>
      <c r="S41" s="4">
        <f t="shared" ca="1" si="12"/>
        <v>19.054983373440979</v>
      </c>
    </row>
    <row r="42" spans="3:19" x14ac:dyDescent="0.2">
      <c r="C42" s="1">
        <v>42319</v>
      </c>
      <c r="D42" s="2">
        <v>2075</v>
      </c>
      <c r="E42" s="3">
        <f t="shared" si="0"/>
        <v>-3.2280859546982687E-3</v>
      </c>
      <c r="F42" s="3">
        <f t="shared" si="1"/>
        <v>-3.2333074641793741E-3</v>
      </c>
      <c r="G42" s="2">
        <f t="shared" si="2"/>
        <v>1917.4602717494897</v>
      </c>
      <c r="H42" s="2">
        <f t="shared" si="3"/>
        <v>166.95278415194446</v>
      </c>
      <c r="I42" s="2">
        <f t="shared" si="4"/>
        <v>-3.1277311155649841</v>
      </c>
      <c r="J42" s="2">
        <f t="shared" si="5"/>
        <v>-6.2097722505102002</v>
      </c>
      <c r="K42" s="2">
        <f t="shared" si="6"/>
        <v>-3.1277504304470094</v>
      </c>
      <c r="L42" s="2">
        <f t="shared" si="7"/>
        <v>-2.6446792104899544</v>
      </c>
      <c r="M42" s="2"/>
      <c r="O42" s="4">
        <f t="shared" ca="1" si="8"/>
        <v>0.96172135230220424</v>
      </c>
      <c r="P42" s="4">
        <f t="shared" ca="1" si="9"/>
        <v>1.7710204844241511</v>
      </c>
      <c r="Q42" s="4">
        <f t="shared" ca="1" si="10"/>
        <v>1869.6112972198189</v>
      </c>
      <c r="R42" s="4">
        <f t="shared" ca="1" si="11"/>
        <v>-54.058746780181082</v>
      </c>
      <c r="S42" s="4">
        <f t="shared" ca="1" si="12"/>
        <v>-26.175469140654709</v>
      </c>
    </row>
    <row r="43" spans="3:19" x14ac:dyDescent="0.2">
      <c r="C43" s="1">
        <v>42318</v>
      </c>
      <c r="D43" s="2">
        <v>2081.719971</v>
      </c>
      <c r="E43" s="3">
        <f t="shared" si="0"/>
        <v>1.5105951573543511E-3</v>
      </c>
      <c r="F43" s="3">
        <f t="shared" si="1"/>
        <v>1.5094553561973928E-3</v>
      </c>
      <c r="G43" s="2">
        <f t="shared" si="2"/>
        <v>1926.5759306528141</v>
      </c>
      <c r="H43" s="2">
        <f t="shared" si="3"/>
        <v>171.55493891171341</v>
      </c>
      <c r="I43" s="2">
        <f t="shared" si="4"/>
        <v>1.4744236442039664</v>
      </c>
      <c r="J43" s="2">
        <f t="shared" si="5"/>
        <v>2.9058866528140315</v>
      </c>
      <c r="K43" s="2">
        <f t="shared" si="6"/>
        <v>1.4744256512300991</v>
      </c>
      <c r="L43" s="2">
        <f t="shared" si="7"/>
        <v>1.6875857318468377</v>
      </c>
      <c r="M43" s="2"/>
      <c r="O43" s="4">
        <f t="shared" ca="1" si="8"/>
        <v>0.54906212121908615</v>
      </c>
      <c r="P43" s="4">
        <f t="shared" ca="1" si="9"/>
        <v>0.12329214903789575</v>
      </c>
      <c r="Q43" s="4">
        <f t="shared" ca="1" si="10"/>
        <v>1919.5291539828618</v>
      </c>
      <c r="R43" s="4">
        <f t="shared" ca="1" si="11"/>
        <v>-4.1408900171381902</v>
      </c>
      <c r="S43" s="4">
        <f t="shared" ca="1" si="12"/>
        <v>-2.0891790824454533</v>
      </c>
    </row>
    <row r="44" spans="3:19" x14ac:dyDescent="0.2">
      <c r="C44" s="1">
        <v>42317</v>
      </c>
      <c r="D44" s="2">
        <v>2078.580078</v>
      </c>
      <c r="E44" s="3">
        <f t="shared" si="0"/>
        <v>-9.8227293641929472E-3</v>
      </c>
      <c r="F44" s="3">
        <f t="shared" si="1"/>
        <v>-9.871290634763304E-3</v>
      </c>
      <c r="G44" s="2">
        <f t="shared" si="2"/>
        <v>1904.7743537717829</v>
      </c>
      <c r="H44" s="2">
        <f t="shared" si="3"/>
        <v>160.66120807943037</v>
      </c>
      <c r="I44" s="2">
        <f t="shared" si="4"/>
        <v>-9.419307188079074</v>
      </c>
      <c r="J44" s="2">
        <f t="shared" si="5"/>
        <v>-18.895690228217138</v>
      </c>
      <c r="K44" s="2">
        <f t="shared" si="6"/>
        <v>-9.4198405847307569</v>
      </c>
      <c r="L44" s="2">
        <f t="shared" si="7"/>
        <v>-8.0474834017170167</v>
      </c>
      <c r="M44" s="2"/>
      <c r="O44" s="4">
        <f t="shared" ca="1" si="8"/>
        <v>0.43220677285659759</v>
      </c>
      <c r="P44" s="4">
        <f t="shared" ca="1" si="9"/>
        <v>-0.17075864778124764</v>
      </c>
      <c r="Q44" s="4">
        <f t="shared" ca="1" si="10"/>
        <v>1928.4374098169374</v>
      </c>
      <c r="R44" s="4">
        <f t="shared" ca="1" si="11"/>
        <v>4.7673658169373994</v>
      </c>
      <c r="S44" s="4">
        <f t="shared" ca="1" si="12"/>
        <v>2.4225390509489442</v>
      </c>
    </row>
    <row r="45" spans="3:19" x14ac:dyDescent="0.2">
      <c r="C45" s="1">
        <v>42314</v>
      </c>
      <c r="D45" s="2">
        <v>2099.1999510000001</v>
      </c>
      <c r="E45" s="3">
        <f t="shared" si="0"/>
        <v>-3.4762159864291725E-4</v>
      </c>
      <c r="F45" s="3">
        <f t="shared" si="1"/>
        <v>-3.4768203303673869E-4</v>
      </c>
      <c r="G45" s="2">
        <f t="shared" si="2"/>
        <v>1923.0013347440433</v>
      </c>
      <c r="H45" s="2">
        <f t="shared" si="3"/>
        <v>169.74219014651442</v>
      </c>
      <c r="I45" s="2">
        <f t="shared" si="4"/>
        <v>-0.3383251209950231</v>
      </c>
      <c r="J45" s="2">
        <f t="shared" si="5"/>
        <v>-0.668709255956771</v>
      </c>
      <c r="K45" s="2">
        <f t="shared" si="6"/>
        <v>-0.3383251453213566</v>
      </c>
      <c r="L45" s="2">
        <f t="shared" si="7"/>
        <v>-0.28479651036244036</v>
      </c>
      <c r="M45" s="2"/>
      <c r="O45" s="4">
        <f t="shared" ca="1" si="8"/>
        <v>0.35785436090058587</v>
      </c>
      <c r="P45" s="4">
        <f t="shared" ca="1" si="9"/>
        <v>-0.36419992659143297</v>
      </c>
      <c r="Q45" s="4">
        <f t="shared" ca="1" si="10"/>
        <v>1934.2977047698935</v>
      </c>
      <c r="R45" s="4">
        <f t="shared" ca="1" si="11"/>
        <v>10.627660769893509</v>
      </c>
      <c r="S45" s="4">
        <f t="shared" ca="1" si="12"/>
        <v>5.4258032970932497</v>
      </c>
    </row>
    <row r="46" spans="3:19" x14ac:dyDescent="0.2">
      <c r="C46" s="1">
        <v>42313</v>
      </c>
      <c r="D46" s="2">
        <v>2099.929932</v>
      </c>
      <c r="E46" s="3">
        <f t="shared" si="0"/>
        <v>-1.1321484144598778E-3</v>
      </c>
      <c r="F46" s="3">
        <f t="shared" si="1"/>
        <v>-1.1327897786013324E-3</v>
      </c>
      <c r="G46" s="2">
        <f t="shared" si="2"/>
        <v>1921.4921640097414</v>
      </c>
      <c r="H46" s="2">
        <f t="shared" si="3"/>
        <v>168.97998271771496</v>
      </c>
      <c r="I46" s="2">
        <f t="shared" si="4"/>
        <v>-1.1005325497944796</v>
      </c>
      <c r="J46" s="2">
        <f t="shared" si="5"/>
        <v>-2.1778799902585635</v>
      </c>
      <c r="K46" s="2">
        <f t="shared" si="6"/>
        <v>-1.1005333882191157</v>
      </c>
      <c r="L46" s="2">
        <f t="shared" si="7"/>
        <v>-0.9275370659053408</v>
      </c>
      <c r="M46" s="2"/>
      <c r="O46" s="4">
        <f t="shared" ca="1" si="8"/>
        <v>0.78116032661149604</v>
      </c>
      <c r="P46" s="4">
        <f t="shared" ca="1" si="9"/>
        <v>0.77611794886160623</v>
      </c>
      <c r="Q46" s="4">
        <f t="shared" ca="1" si="10"/>
        <v>1899.7518253620126</v>
      </c>
      <c r="R46" s="4">
        <f t="shared" ca="1" si="11"/>
        <v>-23.918218637987366</v>
      </c>
      <c r="S46" s="4">
        <f t="shared" ca="1" si="12"/>
        <v>-11.874759907095497</v>
      </c>
    </row>
    <row r="47" spans="3:19" x14ac:dyDescent="0.2">
      <c r="C47" s="1">
        <v>42312</v>
      </c>
      <c r="D47" s="2">
        <v>2102.3100589999999</v>
      </c>
      <c r="E47" s="3">
        <f t="shared" si="0"/>
        <v>-3.5453670089111975E-3</v>
      </c>
      <c r="F47" s="3">
        <f t="shared" si="1"/>
        <v>-3.5516667167835828E-3</v>
      </c>
      <c r="G47" s="2">
        <f t="shared" si="2"/>
        <v>1916.8499276899718</v>
      </c>
      <c r="H47" s="2">
        <f t="shared" si="3"/>
        <v>166.64706556546685</v>
      </c>
      <c r="I47" s="2">
        <f t="shared" si="4"/>
        <v>-3.4334497020425943</v>
      </c>
      <c r="J47" s="2">
        <f t="shared" si="5"/>
        <v>-6.8201163100283519</v>
      </c>
      <c r="K47" s="2">
        <f t="shared" si="6"/>
        <v>-3.433475266067739</v>
      </c>
      <c r="L47" s="2">
        <f t="shared" si="7"/>
        <v>-2.904618573857249</v>
      </c>
      <c r="M47" s="2"/>
      <c r="O47" s="4">
        <f t="shared" ca="1" si="8"/>
        <v>0.5305629801236188</v>
      </c>
      <c r="P47" s="4">
        <f t="shared" ca="1" si="9"/>
        <v>7.6685123076639619E-2</v>
      </c>
      <c r="Q47" s="4">
        <f t="shared" ca="1" si="10"/>
        <v>1920.9411117650529</v>
      </c>
      <c r="R47" s="4">
        <f t="shared" ca="1" si="11"/>
        <v>-2.728932234947024</v>
      </c>
      <c r="S47" s="4">
        <f t="shared" ca="1" si="12"/>
        <v>-1.3783807534792876</v>
      </c>
    </row>
    <row r="48" spans="3:19" x14ac:dyDescent="0.2">
      <c r="C48" s="1">
        <v>42311</v>
      </c>
      <c r="D48" s="2">
        <v>2109.790039</v>
      </c>
      <c r="E48" s="3">
        <f t="shared" si="0"/>
        <v>2.7280672352485635E-3</v>
      </c>
      <c r="F48" s="3">
        <f t="shared" si="1"/>
        <v>2.7243528137560241E-3</v>
      </c>
      <c r="G48" s="2">
        <f t="shared" si="2"/>
        <v>1928.9179452184655</v>
      </c>
      <c r="H48" s="2">
        <f t="shared" si="3"/>
        <v>172.74825328043687</v>
      </c>
      <c r="I48" s="2">
        <f t="shared" si="4"/>
        <v>2.6677380129274297</v>
      </c>
      <c r="J48" s="2">
        <f t="shared" si="5"/>
        <v>5.2479012184655627</v>
      </c>
      <c r="K48" s="2">
        <f t="shared" si="6"/>
        <v>2.6677498761424063</v>
      </c>
      <c r="L48" s="2">
        <f t="shared" si="7"/>
        <v>3.0477042901337654</v>
      </c>
      <c r="M48" s="2"/>
      <c r="O48" s="4">
        <f t="shared" ca="1" si="8"/>
        <v>0.16608153029408657</v>
      </c>
      <c r="P48" s="4">
        <f t="shared" ca="1" si="9"/>
        <v>-0.96976616711346453</v>
      </c>
      <c r="Q48" s="4">
        <f t="shared" ca="1" si="10"/>
        <v>1952.6433071399751</v>
      </c>
      <c r="R48" s="4">
        <f t="shared" ca="1" si="11"/>
        <v>28.973263139975188</v>
      </c>
      <c r="S48" s="4">
        <f t="shared" ca="1" si="12"/>
        <v>15.008263843997295</v>
      </c>
    </row>
    <row r="49" spans="3:19" x14ac:dyDescent="0.2">
      <c r="C49" s="1">
        <v>42310</v>
      </c>
      <c r="D49" s="2">
        <v>2104.0500489999999</v>
      </c>
      <c r="E49" s="3">
        <f t="shared" si="0"/>
        <v>1.1873817294504811E-2</v>
      </c>
      <c r="F49" s="3">
        <f t="shared" si="1"/>
        <v>1.1803876623389281E-2</v>
      </c>
      <c r="G49" s="2">
        <f t="shared" si="2"/>
        <v>1946.511350637368</v>
      </c>
      <c r="H49" s="2">
        <f t="shared" si="3"/>
        <v>181.8543831365015</v>
      </c>
      <c r="I49" s="2">
        <f t="shared" si="4"/>
        <v>11.773867868992056</v>
      </c>
      <c r="J49" s="2">
        <f t="shared" si="5"/>
        <v>22.841306637368032</v>
      </c>
      <c r="K49" s="2">
        <f t="shared" si="6"/>
        <v>11.774871457672539</v>
      </c>
      <c r="L49" s="2">
        <f t="shared" si="7"/>
        <v>13.265026404464578</v>
      </c>
      <c r="M49" s="2"/>
      <c r="O49" s="4">
        <f t="shared" ca="1" si="8"/>
        <v>0.71922357104763968</v>
      </c>
      <c r="P49" s="4">
        <f t="shared" ca="1" si="9"/>
        <v>0.58053653280268958</v>
      </c>
      <c r="Q49" s="4">
        <f t="shared" ca="1" si="10"/>
        <v>1905.6769556778988</v>
      </c>
      <c r="R49" s="4">
        <f t="shared" ca="1" si="11"/>
        <v>-17.99308832210113</v>
      </c>
      <c r="S49" s="4">
        <f t="shared" ca="1" si="12"/>
        <v>-8.9764883877926369</v>
      </c>
    </row>
    <row r="50" spans="3:19" x14ac:dyDescent="0.2">
      <c r="C50" s="1">
        <v>42307</v>
      </c>
      <c r="D50" s="2">
        <v>2079.360107</v>
      </c>
      <c r="E50" s="3">
        <f t="shared" si="0"/>
        <v>-4.8098771534879677E-3</v>
      </c>
      <c r="F50" s="3">
        <f t="shared" si="1"/>
        <v>-4.8214818389651134E-3</v>
      </c>
      <c r="G50" s="2">
        <f t="shared" si="2"/>
        <v>1914.4174274045151</v>
      </c>
      <c r="H50" s="2">
        <f t="shared" si="3"/>
        <v>165.4316632786398</v>
      </c>
      <c r="I50" s="2">
        <f t="shared" si="4"/>
        <v>-4.6488519888696374</v>
      </c>
      <c r="J50" s="2">
        <f t="shared" si="5"/>
        <v>-9.2526165954847936</v>
      </c>
      <c r="K50" s="2">
        <f t="shared" si="6"/>
        <v>-4.6489155807187474</v>
      </c>
      <c r="L50" s="2">
        <f t="shared" si="7"/>
        <v>-3.9405958488578392</v>
      </c>
      <c r="M50" s="2"/>
      <c r="O50" s="4">
        <f t="shared" ca="1" si="8"/>
        <v>0.2413670763301049</v>
      </c>
      <c r="P50" s="4">
        <f t="shared" ca="1" si="9"/>
        <v>-0.70191182711969013</v>
      </c>
      <c r="Q50" s="4">
        <f t="shared" ca="1" si="10"/>
        <v>1944.5286718023278</v>
      </c>
      <c r="R50" s="4">
        <f t="shared" ca="1" si="11"/>
        <v>20.858627802327874</v>
      </c>
      <c r="S50" s="4">
        <f t="shared" ca="1" si="12"/>
        <v>10.735950338714693</v>
      </c>
    </row>
    <row r="51" spans="3:19" x14ac:dyDescent="0.2">
      <c r="C51" s="1">
        <v>42306</v>
      </c>
      <c r="D51" s="2">
        <v>2089.4099120000001</v>
      </c>
      <c r="E51" s="3">
        <f t="shared" si="0"/>
        <v>-4.497744186006742E-4</v>
      </c>
      <c r="F51" s="3">
        <f t="shared" si="1"/>
        <v>-4.4987559745411469E-4</v>
      </c>
      <c r="G51" s="2">
        <f t="shared" si="2"/>
        <v>1922.8048264243803</v>
      </c>
      <c r="H51" s="2">
        <f t="shared" si="3"/>
        <v>169.64283844129579</v>
      </c>
      <c r="I51" s="2">
        <f t="shared" si="4"/>
        <v>-0.43767682621364656</v>
      </c>
      <c r="J51" s="2">
        <f t="shared" si="5"/>
        <v>-0.86521757561963331</v>
      </c>
      <c r="K51" s="2">
        <f t="shared" si="6"/>
        <v>-0.43767687888908674</v>
      </c>
      <c r="L51" s="2">
        <f t="shared" si="7"/>
        <v>-0.36848741668489993</v>
      </c>
      <c r="M51" s="2"/>
      <c r="O51" s="4">
        <f t="shared" ca="1" si="8"/>
        <v>0.39603249983532718</v>
      </c>
      <c r="P51" s="4">
        <f t="shared" ca="1" si="9"/>
        <v>-0.26363005157285374</v>
      </c>
      <c r="Q51" s="4">
        <f t="shared" ca="1" si="10"/>
        <v>1931.2509448714072</v>
      </c>
      <c r="R51" s="4">
        <f t="shared" ca="1" si="11"/>
        <v>7.5809008714072661</v>
      </c>
      <c r="S51" s="4">
        <f t="shared" ca="1" si="12"/>
        <v>3.8609205673354263</v>
      </c>
    </row>
    <row r="52" spans="3:19" x14ac:dyDescent="0.2">
      <c r="C52" s="1">
        <v>42305</v>
      </c>
      <c r="D52" s="2">
        <v>2090.3500979999999</v>
      </c>
      <c r="E52" s="3">
        <f t="shared" si="0"/>
        <v>1.1840033238402537E-2</v>
      </c>
      <c r="F52" s="3">
        <f t="shared" si="1"/>
        <v>1.1770488448379798E-2</v>
      </c>
      <c r="G52" s="2">
        <f t="shared" si="2"/>
        <v>1946.4463612606792</v>
      </c>
      <c r="H52" s="2">
        <f t="shared" si="3"/>
        <v>181.82028668918576</v>
      </c>
      <c r="I52" s="2">
        <f t="shared" si="4"/>
        <v>11.739771421676323</v>
      </c>
      <c r="J52" s="2">
        <f t="shared" si="5"/>
        <v>22.776317260679271</v>
      </c>
      <c r="K52" s="2">
        <f t="shared" si="6"/>
        <v>11.740766376393202</v>
      </c>
      <c r="L52" s="2">
        <f t="shared" si="7"/>
        <v>13.227284001568336</v>
      </c>
      <c r="M52" s="2"/>
      <c r="O52" s="4">
        <f t="shared" ca="1" si="8"/>
        <v>0.37973392469111356</v>
      </c>
      <c r="P52" s="4">
        <f t="shared" ca="1" si="9"/>
        <v>-0.30617967155714337</v>
      </c>
      <c r="Q52" s="4">
        <f t="shared" ca="1" si="10"/>
        <v>1932.5399837196708</v>
      </c>
      <c r="R52" s="4">
        <f t="shared" ca="1" si="11"/>
        <v>8.8699397196708105</v>
      </c>
      <c r="S52" s="4">
        <f t="shared" ca="1" si="12"/>
        <v>4.5220768757768495</v>
      </c>
    </row>
    <row r="53" spans="3:19" x14ac:dyDescent="0.2">
      <c r="C53" s="1">
        <v>42304</v>
      </c>
      <c r="D53" s="2">
        <v>2065.889893</v>
      </c>
      <c r="E53" s="3">
        <f t="shared" si="0"/>
        <v>-2.5541185091011104E-3</v>
      </c>
      <c r="F53" s="3">
        <f t="shared" si="1"/>
        <v>-2.5573858343901608E-3</v>
      </c>
      <c r="G53" s="2">
        <f t="shared" si="2"/>
        <v>1918.7567627352162</v>
      </c>
      <c r="H53" s="2">
        <f t="shared" si="3"/>
        <v>167.60320053902171</v>
      </c>
      <c r="I53" s="2">
        <f t="shared" si="4"/>
        <v>-2.4773147284877268</v>
      </c>
      <c r="J53" s="2">
        <f t="shared" si="5"/>
        <v>-4.9132812647837474</v>
      </c>
      <c r="K53" s="2">
        <f t="shared" si="6"/>
        <v>-2.4773243147825257</v>
      </c>
      <c r="L53" s="2">
        <f t="shared" si="7"/>
        <v>-2.0925168093235413</v>
      </c>
      <c r="M53" s="2"/>
      <c r="O53" s="4">
        <f t="shared" ca="1" si="8"/>
        <v>0.98380648730004217</v>
      </c>
      <c r="P53" s="4">
        <f t="shared" ca="1" si="9"/>
        <v>2.1396010042278388</v>
      </c>
      <c r="Q53" s="4">
        <f t="shared" ca="1" si="10"/>
        <v>1858.4451667369713</v>
      </c>
      <c r="R53" s="4">
        <f t="shared" ca="1" si="11"/>
        <v>-65.224877263028702</v>
      </c>
      <c r="S53" s="4">
        <f t="shared" ca="1" si="12"/>
        <v>-31.285683398198284</v>
      </c>
    </row>
    <row r="54" spans="3:19" x14ac:dyDescent="0.2">
      <c r="C54" s="1">
        <v>42303</v>
      </c>
      <c r="D54" s="2">
        <v>2071.179932</v>
      </c>
      <c r="E54" s="3">
        <f t="shared" si="0"/>
        <v>-1.9131003481598617E-3</v>
      </c>
      <c r="F54" s="3">
        <f t="shared" si="1"/>
        <v>-1.9149326619372631E-3</v>
      </c>
      <c r="G54" s="2">
        <f t="shared" si="2"/>
        <v>1919.9898701690788</v>
      </c>
      <c r="H54" s="2">
        <f t="shared" si="3"/>
        <v>168.22309247857834</v>
      </c>
      <c r="I54" s="2">
        <f t="shared" si="4"/>
        <v>-1.8574227889311032</v>
      </c>
      <c r="J54" s="2">
        <f t="shared" si="5"/>
        <v>-3.6801738309210963</v>
      </c>
      <c r="K54" s="2">
        <f t="shared" si="6"/>
        <v>-1.857426825069564</v>
      </c>
      <c r="L54" s="2">
        <f t="shared" si="7"/>
        <v>-1.567348821983984</v>
      </c>
      <c r="M54" s="2"/>
      <c r="O54" s="4">
        <f t="shared" ca="1" si="8"/>
        <v>0.36032526601601644</v>
      </c>
      <c r="P54" s="4">
        <f t="shared" ca="1" si="9"/>
        <v>-0.35758950692087732</v>
      </c>
      <c r="Q54" s="4">
        <f t="shared" ca="1" si="10"/>
        <v>1934.0974423994703</v>
      </c>
      <c r="R54" s="4">
        <f t="shared" ca="1" si="11"/>
        <v>10.427398399470349</v>
      </c>
      <c r="S54" s="4">
        <f t="shared" ca="1" si="12"/>
        <v>5.3227121015653953</v>
      </c>
    </row>
    <row r="55" spans="3:19" x14ac:dyDescent="0.2">
      <c r="C55" s="1">
        <v>42300</v>
      </c>
      <c r="D55" s="2">
        <v>2075.1499020000001</v>
      </c>
      <c r="E55" s="3">
        <f t="shared" si="0"/>
        <v>1.1030344256396657E-2</v>
      </c>
      <c r="F55" s="3">
        <f t="shared" si="1"/>
        <v>1.0969953689202727E-2</v>
      </c>
      <c r="G55" s="2">
        <f t="shared" si="2"/>
        <v>1944.8887868210375</v>
      </c>
      <c r="H55" s="2">
        <f t="shared" si="3"/>
        <v>181.00412486084269</v>
      </c>
      <c r="I55" s="2">
        <f t="shared" si="4"/>
        <v>10.923609593333254</v>
      </c>
      <c r="J55" s="2">
        <f t="shared" si="5"/>
        <v>21.218742821037704</v>
      </c>
      <c r="K55" s="2">
        <f t="shared" si="6"/>
        <v>10.924412283529914</v>
      </c>
      <c r="L55" s="2">
        <f t="shared" si="7"/>
        <v>12.322726902590261</v>
      </c>
      <c r="M55" s="2"/>
      <c r="O55" s="4">
        <f t="shared" ca="1" si="8"/>
        <v>0.92343823568147643</v>
      </c>
      <c r="P55" s="4">
        <f t="shared" ca="1" si="9"/>
        <v>1.428585067233225</v>
      </c>
      <c r="Q55" s="4">
        <f t="shared" ca="1" si="10"/>
        <v>1879.9853629798292</v>
      </c>
      <c r="R55" s="4">
        <f t="shared" ca="1" si="11"/>
        <v>-43.684681020170729</v>
      </c>
      <c r="S55" s="4">
        <f t="shared" ca="1" si="12"/>
        <v>-21.336782310887838</v>
      </c>
    </row>
    <row r="56" spans="3:19" x14ac:dyDescent="0.2">
      <c r="C56" s="1">
        <v>42299</v>
      </c>
      <c r="D56" s="2">
        <v>2052.51001</v>
      </c>
      <c r="E56" s="3">
        <f t="shared" si="0"/>
        <v>1.6627571884764589E-2</v>
      </c>
      <c r="F56" s="3">
        <f t="shared" si="1"/>
        <v>1.6490847328002923E-2</v>
      </c>
      <c r="G56" s="2">
        <f t="shared" si="2"/>
        <v>1955.6560059391782</v>
      </c>
      <c r="H56" s="2">
        <f t="shared" si="3"/>
        <v>186.68580422671494</v>
      </c>
      <c r="I56" s="2">
        <f t="shared" si="4"/>
        <v>16.605288959205495</v>
      </c>
      <c r="J56" s="2">
        <f t="shared" si="5"/>
        <v>31.98596193917826</v>
      </c>
      <c r="K56" s="2">
        <f t="shared" si="6"/>
        <v>16.608080474850766</v>
      </c>
      <c r="L56" s="2">
        <f t="shared" si="7"/>
        <v>18.575759978689717</v>
      </c>
      <c r="M56" s="2"/>
      <c r="O56" s="4">
        <f t="shared" ca="1" si="8"/>
        <v>0.3309507988171142</v>
      </c>
      <c r="P56" s="4">
        <f t="shared" ca="1" si="9"/>
        <v>-0.43728924015751797</v>
      </c>
      <c r="Q56" s="4">
        <f t="shared" ca="1" si="10"/>
        <v>1936.5119422792859</v>
      </c>
      <c r="R56" s="4">
        <f t="shared" ca="1" si="11"/>
        <v>12.841898279285942</v>
      </c>
      <c r="S56" s="4">
        <f t="shared" ca="1" si="12"/>
        <v>6.5678262514967214</v>
      </c>
    </row>
    <row r="57" spans="3:19" x14ac:dyDescent="0.2">
      <c r="C57" s="1">
        <v>42298</v>
      </c>
      <c r="D57" s="2">
        <v>2018.9399410000001</v>
      </c>
      <c r="E57" s="3">
        <f t="shared" si="0"/>
        <v>-5.8254154254255936E-3</v>
      </c>
      <c r="F57" s="3">
        <f t="shared" si="1"/>
        <v>-5.8424493431773871E-3</v>
      </c>
      <c r="G57" s="2">
        <f t="shared" si="2"/>
        <v>1912.4638668522532</v>
      </c>
      <c r="H57" s="2">
        <f t="shared" si="3"/>
        <v>164.4590703652749</v>
      </c>
      <c r="I57" s="2">
        <f t="shared" si="4"/>
        <v>-5.6214449022345434</v>
      </c>
      <c r="J57" s="2">
        <f t="shared" si="5"/>
        <v>-11.206177147746731</v>
      </c>
      <c r="K57" s="2">
        <f t="shared" si="6"/>
        <v>-5.6215575310274666</v>
      </c>
      <c r="L57" s="2">
        <f t="shared" si="7"/>
        <v>-4.7725975343585674</v>
      </c>
      <c r="M57" s="2"/>
      <c r="O57" s="4">
        <f t="shared" ca="1" si="8"/>
        <v>0.7931357876741133</v>
      </c>
      <c r="P57" s="4">
        <f t="shared" ca="1" si="9"/>
        <v>0.8173500280162459</v>
      </c>
      <c r="Q57" s="4">
        <f t="shared" ca="1" si="10"/>
        <v>1898.5027013546855</v>
      </c>
      <c r="R57" s="4">
        <f t="shared" ca="1" si="11"/>
        <v>-25.16734264531442</v>
      </c>
      <c r="S57" s="4">
        <f t="shared" ca="1" si="12"/>
        <v>-12.482119691276834</v>
      </c>
    </row>
    <row r="58" spans="3:19" x14ac:dyDescent="0.2">
      <c r="C58" s="1">
        <v>42297</v>
      </c>
      <c r="D58" s="2">
        <v>2030.7700199999999</v>
      </c>
      <c r="E58" s="3">
        <f t="shared" si="0"/>
        <v>-1.4210900306260651E-3</v>
      </c>
      <c r="F58" s="3">
        <f t="shared" si="1"/>
        <v>-1.4221007367133545E-3</v>
      </c>
      <c r="G58" s="2">
        <f t="shared" si="2"/>
        <v>1920.9363356782576</v>
      </c>
      <c r="H58" s="2">
        <f t="shared" si="3"/>
        <v>168.69972908928651</v>
      </c>
      <c r="I58" s="2">
        <f t="shared" si="4"/>
        <v>-1.3807861782229338</v>
      </c>
      <c r="J58" s="2">
        <f t="shared" si="5"/>
        <v>-2.7337083217424039</v>
      </c>
      <c r="K58" s="2">
        <f t="shared" si="6"/>
        <v>-1.3807878349418348</v>
      </c>
      <c r="L58" s="2">
        <f t="shared" si="7"/>
        <v>-1.1642587319464894</v>
      </c>
      <c r="M58" s="2"/>
      <c r="O58" s="4">
        <f t="shared" ca="1" si="8"/>
        <v>0.93261735484559927</v>
      </c>
      <c r="P58" s="4">
        <f t="shared" ca="1" si="9"/>
        <v>1.4955717467000196</v>
      </c>
      <c r="Q58" s="4">
        <f t="shared" ca="1" si="10"/>
        <v>1877.9560044995242</v>
      </c>
      <c r="R58" s="4">
        <f t="shared" ca="1" si="11"/>
        <v>-45.714039500475792</v>
      </c>
      <c r="S58" s="4">
        <f t="shared" ca="1" si="12"/>
        <v>-22.290212116910368</v>
      </c>
    </row>
    <row r="59" spans="3:19" x14ac:dyDescent="0.2">
      <c r="C59" s="1">
        <v>42296</v>
      </c>
      <c r="D59" s="2">
        <v>2033.660034</v>
      </c>
      <c r="E59" s="3">
        <f t="shared" si="0"/>
        <v>2.7054561930152761E-4</v>
      </c>
      <c r="F59" s="3">
        <f t="shared" si="1"/>
        <v>2.7050902843496526E-4</v>
      </c>
      <c r="G59" s="2">
        <f t="shared" si="2"/>
        <v>1924.1904845033857</v>
      </c>
      <c r="H59" s="2">
        <f t="shared" si="3"/>
        <v>170.34407759458588</v>
      </c>
      <c r="I59" s="2">
        <f t="shared" si="4"/>
        <v>0.26356232707644267</v>
      </c>
      <c r="J59" s="2">
        <f t="shared" si="5"/>
        <v>0.52044050338577685</v>
      </c>
      <c r="K59" s="2">
        <f t="shared" si="6"/>
        <v>0.26356233856501787</v>
      </c>
      <c r="L59" s="2">
        <f t="shared" si="7"/>
        <v>0.30224439997974173</v>
      </c>
      <c r="M59" s="2"/>
      <c r="O59" s="4">
        <f t="shared" ca="1" si="8"/>
        <v>0.70856514145048899</v>
      </c>
      <c r="P59" s="4">
        <f t="shared" ca="1" si="9"/>
        <v>0.54919779553851633</v>
      </c>
      <c r="Q59" s="4">
        <f t="shared" ca="1" si="10"/>
        <v>1906.6263613319084</v>
      </c>
      <c r="R59" s="4">
        <f t="shared" ca="1" si="11"/>
        <v>-17.043682668091606</v>
      </c>
      <c r="S59" s="4">
        <f t="shared" ca="1" si="12"/>
        <v>-8.5094307412765016</v>
      </c>
    </row>
    <row r="60" spans="3:19" x14ac:dyDescent="0.2">
      <c r="C60" s="1">
        <v>42293</v>
      </c>
      <c r="D60" s="2">
        <v>2033.1099850000001</v>
      </c>
      <c r="E60" s="3">
        <f t="shared" si="0"/>
        <v>4.5704742761639213E-3</v>
      </c>
      <c r="F60" s="3">
        <f t="shared" si="1"/>
        <v>4.5600613744872197E-3</v>
      </c>
      <c r="G60" s="2">
        <f t="shared" si="2"/>
        <v>1932.4621284519289</v>
      </c>
      <c r="H60" s="2">
        <f t="shared" si="3"/>
        <v>174.56256521001387</v>
      </c>
      <c r="I60" s="2">
        <f t="shared" si="4"/>
        <v>4.4820499425044318</v>
      </c>
      <c r="J60" s="2">
        <f t="shared" si="5"/>
        <v>8.792084451929119</v>
      </c>
      <c r="K60" s="2">
        <f t="shared" si="6"/>
        <v>4.4821060232503465</v>
      </c>
      <c r="L60" s="2">
        <f t="shared" si="7"/>
        <v>5.1059790167310837</v>
      </c>
      <c r="M60" s="2"/>
      <c r="O60" s="4">
        <f t="shared" ca="1" si="8"/>
        <v>0.2631242204995361</v>
      </c>
      <c r="P60" s="4">
        <f t="shared" ca="1" si="9"/>
        <v>-0.63374317862186358</v>
      </c>
      <c r="Q60" s="4">
        <f t="shared" ca="1" si="10"/>
        <v>1942.4635056227057</v>
      </c>
      <c r="R60" s="4">
        <f t="shared" ca="1" si="11"/>
        <v>18.793461622705763</v>
      </c>
      <c r="S60" s="4">
        <f t="shared" ca="1" si="12"/>
        <v>9.6572088430241578</v>
      </c>
    </row>
    <row r="61" spans="3:19" x14ac:dyDescent="0.2">
      <c r="C61" s="1">
        <v>42292</v>
      </c>
      <c r="D61" s="2">
        <v>2023.8599850000001</v>
      </c>
      <c r="E61" s="3">
        <f t="shared" si="0"/>
        <v>1.4852773562122789E-2</v>
      </c>
      <c r="F61" s="3">
        <f t="shared" si="1"/>
        <v>1.474355129517228E-2</v>
      </c>
      <c r="G61" s="2">
        <f t="shared" si="2"/>
        <v>1952.2418795717708</v>
      </c>
      <c r="H61" s="2">
        <f t="shared" si="3"/>
        <v>184.87418894288896</v>
      </c>
      <c r="I61" s="2">
        <f t="shared" si="4"/>
        <v>14.793673675379523</v>
      </c>
      <c r="J61" s="2">
        <f t="shared" si="5"/>
        <v>28.57183557177078</v>
      </c>
      <c r="K61" s="2">
        <f t="shared" si="6"/>
        <v>14.795653900961224</v>
      </c>
      <c r="L61" s="2">
        <f t="shared" si="7"/>
        <v>16.593015421609692</v>
      </c>
      <c r="M61" s="2"/>
      <c r="O61" s="4">
        <f t="shared" ca="1" si="8"/>
        <v>0.67272143010336893</v>
      </c>
      <c r="P61" s="4">
        <f t="shared" ca="1" si="9"/>
        <v>0.44744036080394778</v>
      </c>
      <c r="Q61" s="4">
        <f t="shared" ca="1" si="10"/>
        <v>1909.7090982992643</v>
      </c>
      <c r="R61" s="4">
        <f t="shared" ca="1" si="11"/>
        <v>-13.960945700735692</v>
      </c>
      <c r="S61" s="4">
        <f t="shared" ca="1" si="12"/>
        <v>-6.9878264092287958</v>
      </c>
    </row>
    <row r="62" spans="3:19" x14ac:dyDescent="0.2">
      <c r="C62" s="1">
        <v>42291</v>
      </c>
      <c r="D62" s="2">
        <v>1994.23999</v>
      </c>
      <c r="E62" s="3">
        <f t="shared" si="0"/>
        <v>-4.7162741133909072E-3</v>
      </c>
      <c r="F62" s="3">
        <f t="shared" si="1"/>
        <v>-4.7274308267142729E-3</v>
      </c>
      <c r="G62" s="2">
        <f t="shared" si="2"/>
        <v>1914.5974887687771</v>
      </c>
      <c r="H62" s="2">
        <f t="shared" si="3"/>
        <v>165.52146529278514</v>
      </c>
      <c r="I62" s="2">
        <f t="shared" si="4"/>
        <v>-4.559049974724303</v>
      </c>
      <c r="J62" s="2">
        <f t="shared" si="5"/>
        <v>-9.0725552312227471</v>
      </c>
      <c r="K62" s="2">
        <f t="shared" si="6"/>
        <v>-4.5591099426301795</v>
      </c>
      <c r="L62" s="2">
        <f t="shared" si="7"/>
        <v>-3.8639095345349119</v>
      </c>
      <c r="M62" s="2"/>
      <c r="O62" s="4">
        <f t="shared" ca="1" si="8"/>
        <v>0.86995168894833097</v>
      </c>
      <c r="P62" s="4">
        <f t="shared" ca="1" si="9"/>
        <v>1.1261627860643246</v>
      </c>
      <c r="Q62" s="4">
        <f t="shared" ca="1" si="10"/>
        <v>1889.1472325605955</v>
      </c>
      <c r="R62" s="4">
        <f t="shared" ca="1" si="11"/>
        <v>-34.52281143940445</v>
      </c>
      <c r="S62" s="4">
        <f t="shared" ca="1" si="12"/>
        <v>-16.990630217937071</v>
      </c>
    </row>
    <row r="63" spans="3:19" x14ac:dyDescent="0.2">
      <c r="C63" s="1">
        <v>42290</v>
      </c>
      <c r="D63" s="2">
        <v>2003.6899410000001</v>
      </c>
      <c r="E63" s="3">
        <f t="shared" si="0"/>
        <v>-6.8254241800042997E-3</v>
      </c>
      <c r="F63" s="3">
        <f t="shared" si="1"/>
        <v>-6.8488239238575872E-3</v>
      </c>
      <c r="G63" s="2">
        <f t="shared" si="2"/>
        <v>1910.5401799673325</v>
      </c>
      <c r="H63" s="2">
        <f t="shared" si="3"/>
        <v>163.50440611663737</v>
      </c>
      <c r="I63" s="2">
        <f t="shared" si="4"/>
        <v>-6.576109150872071</v>
      </c>
      <c r="J63" s="2">
        <f t="shared" si="5"/>
        <v>-13.129864032667536</v>
      </c>
      <c r="K63" s="2">
        <f t="shared" si="6"/>
        <v>-6.5762897599456211</v>
      </c>
      <c r="L63" s="2">
        <f t="shared" si="7"/>
        <v>-5.591876327010624</v>
      </c>
      <c r="M63" s="2"/>
      <c r="O63" s="4">
        <f t="shared" ca="1" si="8"/>
        <v>0.92262303425327441</v>
      </c>
      <c r="P63" s="4">
        <f t="shared" ca="1" si="9"/>
        <v>1.4229386818931329</v>
      </c>
      <c r="Q63" s="4">
        <f t="shared" ca="1" si="10"/>
        <v>1880.1564199730133</v>
      </c>
      <c r="R63" s="4">
        <f t="shared" ca="1" si="11"/>
        <v>-43.51362402698669</v>
      </c>
      <c r="S63" s="4">
        <f t="shared" ca="1" si="12"/>
        <v>-21.256263381121645</v>
      </c>
    </row>
    <row r="64" spans="3:19" x14ac:dyDescent="0.2">
      <c r="C64" s="1">
        <v>42289</v>
      </c>
      <c r="D64" s="2">
        <v>2017.459961</v>
      </c>
      <c r="E64" s="3">
        <f t="shared" si="0"/>
        <v>1.275477063694751E-3</v>
      </c>
      <c r="F64" s="3">
        <f t="shared" si="1"/>
        <v>1.2746643338301428E-3</v>
      </c>
      <c r="G64" s="2">
        <f t="shared" si="2"/>
        <v>1926.1236410192384</v>
      </c>
      <c r="H64" s="2">
        <f t="shared" si="3"/>
        <v>171.32499951710656</v>
      </c>
      <c r="I64" s="2">
        <f t="shared" si="4"/>
        <v>1.2444842495971216</v>
      </c>
      <c r="J64" s="2">
        <f t="shared" si="5"/>
        <v>2.4535970192386722</v>
      </c>
      <c r="K64" s="2">
        <f t="shared" si="6"/>
        <v>1.2444854569393708</v>
      </c>
      <c r="L64" s="2">
        <f t="shared" si="7"/>
        <v>1.4249197632533139</v>
      </c>
      <c r="M64" s="2"/>
      <c r="O64" s="4">
        <f t="shared" ca="1" si="8"/>
        <v>3.3138949056886413E-2</v>
      </c>
      <c r="P64" s="4">
        <f t="shared" ca="1" si="9"/>
        <v>-1.8365395516266261</v>
      </c>
      <c r="Q64" s="4">
        <f t="shared" ca="1" si="10"/>
        <v>1978.9021683399337</v>
      </c>
      <c r="R64" s="4">
        <f t="shared" ca="1" si="11"/>
        <v>55.232124339933762</v>
      </c>
      <c r="S64" s="4">
        <f t="shared" ca="1" si="12"/>
        <v>29.20084265001973</v>
      </c>
    </row>
    <row r="65" spans="3:19" x14ac:dyDescent="0.2">
      <c r="C65" s="1">
        <v>42286</v>
      </c>
      <c r="D65" s="2">
        <v>2014.8900149999999</v>
      </c>
      <c r="E65" s="3">
        <f t="shared" si="0"/>
        <v>7.2511135765534833E-4</v>
      </c>
      <c r="F65" s="3">
        <f t="shared" si="1"/>
        <v>7.2484859143041565E-4</v>
      </c>
      <c r="G65" s="2">
        <f t="shared" si="2"/>
        <v>1925.0649189972858</v>
      </c>
      <c r="H65" s="2">
        <f t="shared" si="3"/>
        <v>170.78740645725395</v>
      </c>
      <c r="I65" s="2">
        <f t="shared" si="4"/>
        <v>0.70689118974451048</v>
      </c>
      <c r="J65" s="2">
        <f t="shared" si="5"/>
        <v>1.3948749972857637</v>
      </c>
      <c r="K65" s="2">
        <f t="shared" si="6"/>
        <v>0.70689141122265797</v>
      </c>
      <c r="L65" s="2">
        <f t="shared" si="7"/>
        <v>0.81006984248676872</v>
      </c>
      <c r="M65" s="2"/>
      <c r="O65" s="4">
        <f t="shared" ca="1" si="8"/>
        <v>0.12543968344518208</v>
      </c>
      <c r="P65" s="4">
        <f t="shared" ca="1" si="9"/>
        <v>-1.1482160941419171</v>
      </c>
      <c r="Q65" s="4">
        <f t="shared" ca="1" si="10"/>
        <v>1958.0494397563045</v>
      </c>
      <c r="R65" s="4">
        <f t="shared" ca="1" si="11"/>
        <v>34.379395756304575</v>
      </c>
      <c r="S65" s="4">
        <f t="shared" ca="1" si="12"/>
        <v>17.884319436626161</v>
      </c>
    </row>
    <row r="66" spans="3:19" x14ac:dyDescent="0.2">
      <c r="C66" s="1">
        <v>42285</v>
      </c>
      <c r="D66" s="2">
        <v>2013.4300539999999</v>
      </c>
      <c r="E66" s="3">
        <f t="shared" si="0"/>
        <v>8.8184356322988707E-3</v>
      </c>
      <c r="F66" s="3">
        <f t="shared" si="1"/>
        <v>8.7797803155266266E-3</v>
      </c>
      <c r="G66" s="2">
        <f t="shared" si="2"/>
        <v>1940.6338044607955</v>
      </c>
      <c r="H66" s="2">
        <f t="shared" si="3"/>
        <v>178.78447128244159</v>
      </c>
      <c r="I66" s="2">
        <f t="shared" si="4"/>
        <v>8.703956014932146</v>
      </c>
      <c r="J66" s="2">
        <f t="shared" si="5"/>
        <v>16.963760460795537</v>
      </c>
      <c r="K66" s="2">
        <f t="shared" si="6"/>
        <v>8.7043636764870111</v>
      </c>
      <c r="L66" s="2">
        <f t="shared" si="7"/>
        <v>9.8516575257270915</v>
      </c>
      <c r="M66" s="2"/>
      <c r="O66" s="4">
        <f t="shared" ca="1" si="8"/>
        <v>0.14001610653981833</v>
      </c>
      <c r="P66" s="4">
        <f t="shared" ca="1" si="9"/>
        <v>-1.0802469796488516</v>
      </c>
      <c r="Q66" s="4">
        <f t="shared" ca="1" si="10"/>
        <v>1955.9903184504979</v>
      </c>
      <c r="R66" s="4">
        <f t="shared" ca="1" si="11"/>
        <v>32.320274450497891</v>
      </c>
      <c r="S66" s="4">
        <f t="shared" ca="1" si="12"/>
        <v>16.786064071289285</v>
      </c>
    </row>
    <row r="67" spans="3:19" x14ac:dyDescent="0.2">
      <c r="C67" s="1">
        <v>42284</v>
      </c>
      <c r="D67" s="2">
        <v>1995.829956</v>
      </c>
      <c r="E67" s="3">
        <f t="shared" ref="E67:E130" si="14">(D67-D68)/D68</f>
        <v>8.0356335844035103E-3</v>
      </c>
      <c r="F67" s="3">
        <f t="shared" ref="F67:F130" si="15">LN(D67/D68)</f>
        <v>8.0035198025308167E-3</v>
      </c>
      <c r="G67" s="2">
        <f t="shared" ref="G67:G130" si="16">$D$2*(1+E67)</f>
        <v>1939.1279516108771</v>
      </c>
      <c r="H67" s="2">
        <f t="shared" ref="H67:H130" si="17">G67*EXP(-$B$9*$B$7)*_xlfn.NORM.S.DIST((LN(G67/$B$5)+($B$8-$B$9+0.5*$B$6^2)*$B$7)/($B$6*SQRT($B$7)),TRUE)-$B$5*EXP(-$B$8*$B$7)*_xlfn.NORM.S.DIST((LN(G67/$B$5)+($B$8-$B$9-0.5*$B$6^2)*$B$7)/($B$6*SQRT($B$7)),TRUE)</f>
        <v>178.0024196635776</v>
      </c>
      <c r="I67" s="2">
        <f t="shared" ref="I67:I130" si="18">H67-$B$10</f>
        <v>7.9219043960681574</v>
      </c>
      <c r="J67" s="2">
        <f t="shared" ref="J67:J130" si="19">E67*$B$4</f>
        <v>15.457907610877378</v>
      </c>
      <c r="K67" s="2">
        <f t="shared" ref="K67:K130" si="20">$B$12*J67+0.5*$B$13*J67^2</f>
        <v>7.9222121740806202</v>
      </c>
      <c r="L67" s="2">
        <f t="shared" ref="L67:L130" si="21">linearinterp(A$22:A$28,B$22:B$28,7,1+E67)-$B$10</f>
        <v>8.9771375986259443</v>
      </c>
      <c r="M67" s="2"/>
      <c r="O67" s="4">
        <f t="shared" ref="O67:O130" ca="1" si="22">RAND()</f>
        <v>0.63801768981845186</v>
      </c>
      <c r="P67" s="4">
        <f t="shared" ref="P67:P130" ca="1" si="23">NORMSINV(O67)</f>
        <v>0.35316516670504999</v>
      </c>
      <c r="Q67" s="4">
        <f t="shared" ref="Q67:Q130" ca="1" si="24">$B$4*(1+$B$17-$B$6/SQRT(252)*P67)</f>
        <v>1912.5651611187664</v>
      </c>
      <c r="R67" s="4">
        <f t="shared" ref="R67:R130" ca="1" si="25">Q67-$B$4</f>
        <v>-11.104882881233607</v>
      </c>
      <c r="S67" s="4">
        <f t="shared" ref="S67:S130" ca="1" si="26">R67*$B$12+0.5*$B$13*R67^2</f>
        <v>-5.571201350461231</v>
      </c>
    </row>
    <row r="68" spans="3:19" x14ac:dyDescent="0.2">
      <c r="C68" s="1">
        <v>42283</v>
      </c>
      <c r="D68" s="2">
        <v>1979.920044</v>
      </c>
      <c r="E68" s="3">
        <f t="shared" si="14"/>
        <v>-3.588236241753558E-3</v>
      </c>
      <c r="F68" s="3">
        <f t="shared" si="15"/>
        <v>-3.5946894030197459E-3</v>
      </c>
      <c r="G68" s="2">
        <f t="shared" si="16"/>
        <v>1916.7674614309435</v>
      </c>
      <c r="H68" s="2">
        <f t="shared" si="17"/>
        <v>166.60578193640742</v>
      </c>
      <c r="I68" s="2">
        <f t="shared" si="18"/>
        <v>-3.4747333311020157</v>
      </c>
      <c r="J68" s="2">
        <f t="shared" si="19"/>
        <v>-6.9025825690564613</v>
      </c>
      <c r="K68" s="2">
        <f t="shared" si="20"/>
        <v>-3.4747598303233986</v>
      </c>
      <c r="L68" s="2">
        <f t="shared" si="21"/>
        <v>-2.9397401197079205</v>
      </c>
      <c r="M68" s="2"/>
      <c r="O68" s="4">
        <f t="shared" ca="1" si="22"/>
        <v>0.52709818645584527</v>
      </c>
      <c r="P68" s="4">
        <f t="shared" ca="1" si="23"/>
        <v>6.7977397186425162E-2</v>
      </c>
      <c r="Q68" s="4">
        <f t="shared" ca="1" si="24"/>
        <v>1921.2049119342826</v>
      </c>
      <c r="R68" s="4">
        <f t="shared" ca="1" si="25"/>
        <v>-2.4651320657173983</v>
      </c>
      <c r="S68" s="4">
        <f t="shared" ca="1" si="26"/>
        <v>-1.245400288152182</v>
      </c>
    </row>
    <row r="69" spans="3:19" x14ac:dyDescent="0.2">
      <c r="C69" s="1">
        <v>42282</v>
      </c>
      <c r="D69" s="2">
        <v>1987.0500489999999</v>
      </c>
      <c r="E69" s="3">
        <f t="shared" si="14"/>
        <v>1.8289841072045912E-2</v>
      </c>
      <c r="F69" s="3">
        <f t="shared" si="15"/>
        <v>1.8124593785162658E-2</v>
      </c>
      <c r="G69" s="2">
        <f t="shared" si="16"/>
        <v>1958.8536633798158</v>
      </c>
      <c r="H69" s="2">
        <f t="shared" si="17"/>
        <v>188.3909821462579</v>
      </c>
      <c r="I69" s="2">
        <f t="shared" si="18"/>
        <v>18.310466878748457</v>
      </c>
      <c r="J69" s="2">
        <f t="shared" si="19"/>
        <v>35.183619379815568</v>
      </c>
      <c r="K69" s="2">
        <f t="shared" si="20"/>
        <v>18.314198482500046</v>
      </c>
      <c r="L69" s="2">
        <f t="shared" si="21"/>
        <v>20.432790798156759</v>
      </c>
      <c r="M69" s="2"/>
      <c r="O69" s="4">
        <f t="shared" ca="1" si="22"/>
        <v>0.30119585673152327</v>
      </c>
      <c r="P69" s="4">
        <f t="shared" ca="1" si="23"/>
        <v>-0.52096419600724519</v>
      </c>
      <c r="Q69" s="4">
        <f t="shared" ca="1" si="24"/>
        <v>1939.0468713516691</v>
      </c>
      <c r="R69" s="4">
        <f t="shared" ca="1" si="25"/>
        <v>15.376827351669135</v>
      </c>
      <c r="S69" s="4">
        <f t="shared" ca="1" si="26"/>
        <v>7.8801508436860175</v>
      </c>
    </row>
    <row r="70" spans="3:19" x14ac:dyDescent="0.2">
      <c r="C70" s="1">
        <v>42279</v>
      </c>
      <c r="D70" s="2">
        <v>1951.3599850000001</v>
      </c>
      <c r="E70" s="3">
        <f t="shared" si="14"/>
        <v>1.4315289254205485E-2</v>
      </c>
      <c r="F70" s="3">
        <f t="shared" si="15"/>
        <v>1.4213792986497257E-2</v>
      </c>
      <c r="G70" s="2">
        <f t="shared" si="16"/>
        <v>1951.2079371095103</v>
      </c>
      <c r="H70" s="2">
        <f t="shared" si="17"/>
        <v>184.32739118904271</v>
      </c>
      <c r="I70" s="2">
        <f t="shared" si="18"/>
        <v>14.246875921533274</v>
      </c>
      <c r="J70" s="2">
        <f t="shared" si="19"/>
        <v>27.537893109510193</v>
      </c>
      <c r="K70" s="2">
        <f t="shared" si="20"/>
        <v>14.248646291089674</v>
      </c>
      <c r="L70" s="2">
        <f t="shared" si="21"/>
        <v>15.992556162411859</v>
      </c>
      <c r="M70" s="2"/>
      <c r="O70" s="4">
        <f t="shared" ca="1" si="22"/>
        <v>0.35644593026406712</v>
      </c>
      <c r="P70" s="4">
        <f t="shared" ca="1" si="23"/>
        <v>-0.36797502000327775</v>
      </c>
      <c r="Q70" s="4">
        <f t="shared" ca="1" si="24"/>
        <v>1934.4120710571949</v>
      </c>
      <c r="R70" s="4">
        <f t="shared" ca="1" si="25"/>
        <v>10.742027057194946</v>
      </c>
      <c r="S70" s="4">
        <f t="shared" ca="1" si="26"/>
        <v>5.4846914976639791</v>
      </c>
    </row>
    <row r="71" spans="3:19" x14ac:dyDescent="0.2">
      <c r="C71" s="1">
        <v>42278</v>
      </c>
      <c r="D71" s="2">
        <v>1923.8199460000001</v>
      </c>
      <c r="E71" s="3">
        <f t="shared" si="14"/>
        <v>1.9738842324116897E-3</v>
      </c>
      <c r="F71" s="3">
        <f t="shared" si="15"/>
        <v>1.9719386827028343E-3</v>
      </c>
      <c r="G71" s="2">
        <f t="shared" si="16"/>
        <v>1927.4671459682143</v>
      </c>
      <c r="H71" s="2">
        <f t="shared" si="17"/>
        <v>172.00851010948804</v>
      </c>
      <c r="I71" s="2">
        <f t="shared" si="18"/>
        <v>1.9279948419786024</v>
      </c>
      <c r="J71" s="2">
        <f t="shared" si="19"/>
        <v>3.7971019682143012</v>
      </c>
      <c r="K71" s="2">
        <f t="shared" si="20"/>
        <v>1.9279993258865962</v>
      </c>
      <c r="L71" s="2">
        <f t="shared" si="21"/>
        <v>2.2051565905781558</v>
      </c>
      <c r="M71" s="2"/>
      <c r="O71" s="4">
        <f t="shared" ca="1" si="22"/>
        <v>0.57999936177299316</v>
      </c>
      <c r="P71" s="4">
        <f t="shared" ca="1" si="23"/>
        <v>0.20189184640507896</v>
      </c>
      <c r="Q71" s="4">
        <f t="shared" ca="1" si="24"/>
        <v>1917.1479796408705</v>
      </c>
      <c r="R71" s="4">
        <f t="shared" ca="1" si="25"/>
        <v>-6.5220643591294447</v>
      </c>
      <c r="S71" s="4">
        <f t="shared" ca="1" si="26"/>
        <v>-3.2842172262513558</v>
      </c>
    </row>
    <row r="72" spans="3:19" x14ac:dyDescent="0.2">
      <c r="C72" s="1">
        <v>42277</v>
      </c>
      <c r="D72" s="2">
        <v>1920.030029</v>
      </c>
      <c r="E72" s="3">
        <f t="shared" si="14"/>
        <v>1.9075555652102023E-2</v>
      </c>
      <c r="F72" s="3">
        <f t="shared" si="15"/>
        <v>1.8895898353574289E-2</v>
      </c>
      <c r="G72" s="2">
        <f t="shared" si="16"/>
        <v>1960.3651189806035</v>
      </c>
      <c r="H72" s="2">
        <f t="shared" si="17"/>
        <v>189.19980973588963</v>
      </c>
      <c r="I72" s="2">
        <f t="shared" si="18"/>
        <v>19.11929446838019</v>
      </c>
      <c r="J72" s="2">
        <f t="shared" si="19"/>
        <v>36.695074980603543</v>
      </c>
      <c r="K72" s="2">
        <f t="shared" si="20"/>
        <v>19.123536705221348</v>
      </c>
      <c r="L72" s="2">
        <f t="shared" si="21"/>
        <v>21.31056450751305</v>
      </c>
      <c r="M72" s="2"/>
      <c r="O72" s="4">
        <f t="shared" ca="1" si="22"/>
        <v>0.18108608353942057</v>
      </c>
      <c r="P72" s="4">
        <f t="shared" ca="1" si="23"/>
        <v>-0.91123385960033743</v>
      </c>
      <c r="Q72" s="4">
        <f t="shared" ca="1" si="24"/>
        <v>1950.8700734826407</v>
      </c>
      <c r="R72" s="4">
        <f t="shared" ca="1" si="25"/>
        <v>27.20002948264073</v>
      </c>
      <c r="S72" s="4">
        <f t="shared" ca="1" si="26"/>
        <v>14.070088094675551</v>
      </c>
    </row>
    <row r="73" spans="3:19" x14ac:dyDescent="0.2">
      <c r="C73" s="1">
        <v>42276</v>
      </c>
      <c r="D73" s="2">
        <v>1884.089966</v>
      </c>
      <c r="E73" s="3">
        <f t="shared" si="14"/>
        <v>1.2328530985949457E-3</v>
      </c>
      <c r="F73" s="3">
        <f t="shared" si="15"/>
        <v>1.2320937592521393E-3</v>
      </c>
      <c r="G73" s="2">
        <f t="shared" si="16"/>
        <v>1926.0416465744197</v>
      </c>
      <c r="H73" s="2">
        <f t="shared" si="17"/>
        <v>171.28333219049762</v>
      </c>
      <c r="I73" s="2">
        <f t="shared" si="18"/>
        <v>1.2028169229881769</v>
      </c>
      <c r="J73" s="2">
        <f t="shared" si="19"/>
        <v>2.3716025744196756</v>
      </c>
      <c r="K73" s="2">
        <f t="shared" si="20"/>
        <v>1.2028180131540602</v>
      </c>
      <c r="L73" s="2">
        <f t="shared" si="21"/>
        <v>1.3773017135152656</v>
      </c>
      <c r="M73" s="2"/>
      <c r="O73" s="4">
        <f t="shared" ca="1" si="22"/>
        <v>0.31221366586272215</v>
      </c>
      <c r="P73" s="4">
        <f t="shared" ca="1" si="23"/>
        <v>-0.48958536908784167</v>
      </c>
      <c r="Q73" s="4">
        <f t="shared" ca="1" si="24"/>
        <v>1938.0962511833345</v>
      </c>
      <c r="R73" s="4">
        <f t="shared" ca="1" si="25"/>
        <v>14.426207183334554</v>
      </c>
      <c r="S73" s="4">
        <f t="shared" ca="1" si="26"/>
        <v>7.3874047761383057</v>
      </c>
    </row>
    <row r="74" spans="3:19" x14ac:dyDescent="0.2">
      <c r="C74" s="1">
        <v>42275</v>
      </c>
      <c r="D74" s="2">
        <v>1881.7700199999999</v>
      </c>
      <c r="E74" s="3">
        <f t="shared" si="14"/>
        <v>-2.5666090316902847E-2</v>
      </c>
      <c r="F74" s="3">
        <f t="shared" si="15"/>
        <v>-2.6001211006746214E-2</v>
      </c>
      <c r="G74" s="2">
        <f t="shared" si="16"/>
        <v>1874.2969549107756</v>
      </c>
      <c r="H74" s="2">
        <f t="shared" si="17"/>
        <v>146.08872596433901</v>
      </c>
      <c r="I74" s="2">
        <f t="shared" si="18"/>
        <v>-23.991789303170435</v>
      </c>
      <c r="J74" s="2">
        <f t="shared" si="19"/>
        <v>-49.373089089224472</v>
      </c>
      <c r="K74" s="2">
        <f t="shared" si="20"/>
        <v>-24.000827866037621</v>
      </c>
      <c r="L74" s="2">
        <f t="shared" si="21"/>
        <v>-21.027499400032184</v>
      </c>
      <c r="M74" s="2"/>
      <c r="O74" s="4">
        <f t="shared" ca="1" si="22"/>
        <v>0.23596370582693549</v>
      </c>
      <c r="P74" s="4">
        <f t="shared" ca="1" si="23"/>
        <v>-0.71934656517591911</v>
      </c>
      <c r="Q74" s="4">
        <f t="shared" ca="1" si="24"/>
        <v>1945.0568564176565</v>
      </c>
      <c r="R74" s="4">
        <f t="shared" ca="1" si="25"/>
        <v>21.386812417656529</v>
      </c>
      <c r="S74" s="4">
        <f t="shared" ca="1" si="26"/>
        <v>11.012405659551215</v>
      </c>
    </row>
    <row r="75" spans="3:19" x14ac:dyDescent="0.2">
      <c r="C75" s="1">
        <v>42272</v>
      </c>
      <c r="D75" s="2">
        <v>1931.339966</v>
      </c>
      <c r="E75" s="3">
        <f t="shared" si="14"/>
        <v>-4.6579307159460578E-4</v>
      </c>
      <c r="F75" s="3">
        <f t="shared" si="15"/>
        <v>-4.6590158688575067E-4</v>
      </c>
      <c r="G75" s="2">
        <f t="shared" si="16"/>
        <v>1922.7740118214708</v>
      </c>
      <c r="H75" s="2">
        <f t="shared" si="17"/>
        <v>169.62726188585225</v>
      </c>
      <c r="I75" s="2">
        <f t="shared" si="18"/>
        <v>-0.45325338165719131</v>
      </c>
      <c r="J75" s="2">
        <f t="shared" si="19"/>
        <v>-0.8960321785292904</v>
      </c>
      <c r="K75" s="2">
        <f t="shared" si="20"/>
        <v>-0.45325344016084146</v>
      </c>
      <c r="L75" s="2">
        <f t="shared" si="21"/>
        <v>-0.38161104447775074</v>
      </c>
      <c r="M75" s="2"/>
      <c r="O75" s="4">
        <f t="shared" ca="1" si="22"/>
        <v>0.44225145553157097</v>
      </c>
      <c r="P75" s="4">
        <f t="shared" ca="1" si="23"/>
        <v>-0.14526339958402187</v>
      </c>
      <c r="Q75" s="4">
        <f t="shared" ca="1" si="24"/>
        <v>1927.665032404766</v>
      </c>
      <c r="R75" s="4">
        <f t="shared" ca="1" si="25"/>
        <v>3.9949884047659907</v>
      </c>
      <c r="S75" s="4">
        <f t="shared" ca="1" si="26"/>
        <v>2.028799058332404</v>
      </c>
    </row>
    <row r="76" spans="3:19" x14ac:dyDescent="0.2">
      <c r="C76" s="1">
        <v>42271</v>
      </c>
      <c r="D76" s="2">
        <v>1932.23999</v>
      </c>
      <c r="E76" s="3">
        <f t="shared" si="14"/>
        <v>-3.3629845707411365E-3</v>
      </c>
      <c r="F76" s="3">
        <f t="shared" si="15"/>
        <v>-3.3686521134926087E-3</v>
      </c>
      <c r="G76" s="2">
        <f t="shared" si="16"/>
        <v>1917.2007713228311</v>
      </c>
      <c r="H76" s="2">
        <f t="shared" si="17"/>
        <v>166.82276435577262</v>
      </c>
      <c r="I76" s="2">
        <f t="shared" si="18"/>
        <v>-3.2577509117368209</v>
      </c>
      <c r="J76" s="2">
        <f t="shared" si="19"/>
        <v>-6.4692726771689228</v>
      </c>
      <c r="K76" s="2">
        <f t="shared" si="20"/>
        <v>-3.2577727418857592</v>
      </c>
      <c r="L76" s="2">
        <f t="shared" si="21"/>
        <v>-2.7551978182281118</v>
      </c>
      <c r="M76" s="2"/>
      <c r="O76" s="4">
        <f t="shared" ca="1" si="22"/>
        <v>0.30977147500746194</v>
      </c>
      <c r="P76" s="4">
        <f t="shared" ca="1" si="23"/>
        <v>-0.49649820991365456</v>
      </c>
      <c r="Q76" s="4">
        <f t="shared" ca="1" si="24"/>
        <v>1938.3056753892292</v>
      </c>
      <c r="R76" s="4">
        <f t="shared" ca="1" si="25"/>
        <v>14.635631389229275</v>
      </c>
      <c r="S76" s="4">
        <f t="shared" ca="1" si="26"/>
        <v>7.4958948865310022</v>
      </c>
    </row>
    <row r="77" spans="3:19" x14ac:dyDescent="0.2">
      <c r="C77" s="1">
        <v>42270</v>
      </c>
      <c r="D77" s="2">
        <v>1938.76001</v>
      </c>
      <c r="E77" s="3">
        <f t="shared" si="14"/>
        <v>-2.0486426492924916E-3</v>
      </c>
      <c r="F77" s="3">
        <f t="shared" si="15"/>
        <v>-2.0507439880633901E-3</v>
      </c>
      <c r="G77" s="2">
        <f t="shared" si="16"/>
        <v>1919.7291315046953</v>
      </c>
      <c r="H77" s="2">
        <f t="shared" si="17"/>
        <v>168.09191382295069</v>
      </c>
      <c r="I77" s="2">
        <f t="shared" si="18"/>
        <v>-1.9886014445587534</v>
      </c>
      <c r="J77" s="2">
        <f t="shared" si="19"/>
        <v>-3.9409124953047638</v>
      </c>
      <c r="K77" s="2">
        <f t="shared" si="20"/>
        <v>-1.9886063988008391</v>
      </c>
      <c r="L77" s="2">
        <f t="shared" si="21"/>
        <v>-1.6783947826486099</v>
      </c>
      <c r="M77" s="2"/>
      <c r="O77" s="4">
        <f t="shared" ca="1" si="22"/>
        <v>0.62522755667574015</v>
      </c>
      <c r="P77" s="4">
        <f t="shared" ca="1" si="23"/>
        <v>0.31923952563076596</v>
      </c>
      <c r="Q77" s="4">
        <f t="shared" ca="1" si="24"/>
        <v>1913.5929369088476</v>
      </c>
      <c r="R77" s="4">
        <f t="shared" ca="1" si="25"/>
        <v>-10.077107091152357</v>
      </c>
      <c r="S77" s="4">
        <f t="shared" ca="1" si="26"/>
        <v>-5.0597932125699794</v>
      </c>
    </row>
    <row r="78" spans="3:19" x14ac:dyDescent="0.2">
      <c r="C78" s="1">
        <v>42269</v>
      </c>
      <c r="D78" s="2">
        <v>1942.73999</v>
      </c>
      <c r="E78" s="3">
        <f t="shared" si="14"/>
        <v>-1.2318429542511786E-2</v>
      </c>
      <c r="F78" s="3">
        <f t="shared" si="15"/>
        <v>-1.2394930290949867E-2</v>
      </c>
      <c r="G78" s="2">
        <f t="shared" si="16"/>
        <v>1899.9734500999452</v>
      </c>
      <c r="H78" s="2">
        <f t="shared" si="17"/>
        <v>158.31469217669803</v>
      </c>
      <c r="I78" s="2">
        <f t="shared" si="18"/>
        <v>-11.765823090811409</v>
      </c>
      <c r="J78" s="2">
        <f t="shared" si="19"/>
        <v>-23.696593900054548</v>
      </c>
      <c r="K78" s="2">
        <f t="shared" si="20"/>
        <v>-11.766866940956051</v>
      </c>
      <c r="L78" s="2">
        <f t="shared" si="21"/>
        <v>-10.092139730526867</v>
      </c>
      <c r="M78" s="2"/>
      <c r="O78" s="4">
        <f t="shared" ca="1" si="22"/>
        <v>0.60255150001972069</v>
      </c>
      <c r="P78" s="4">
        <f t="shared" ca="1" si="23"/>
        <v>0.25995692557589012</v>
      </c>
      <c r="Q78" s="4">
        <f t="shared" ca="1" si="24"/>
        <v>1915.3889006454222</v>
      </c>
      <c r="R78" s="4">
        <f t="shared" ca="1" si="25"/>
        <v>-8.2811433545778073</v>
      </c>
      <c r="S78" s="4">
        <f t="shared" ca="1" si="26"/>
        <v>-4.1640801563368415</v>
      </c>
    </row>
    <row r="79" spans="3:19" x14ac:dyDescent="0.2">
      <c r="C79" s="1">
        <v>42268</v>
      </c>
      <c r="D79" s="2">
        <v>1966.969971</v>
      </c>
      <c r="E79" s="3">
        <f t="shared" si="14"/>
        <v>4.5657839091291959E-3</v>
      </c>
      <c r="F79" s="3">
        <f t="shared" si="15"/>
        <v>4.5553923362219801E-3</v>
      </c>
      <c r="G79" s="2">
        <f t="shared" si="16"/>
        <v>1932.4531057333688</v>
      </c>
      <c r="H79" s="2">
        <f t="shared" si="17"/>
        <v>174.5579334434824</v>
      </c>
      <c r="I79" s="2">
        <f t="shared" si="18"/>
        <v>4.4774181759729572</v>
      </c>
      <c r="J79" s="2">
        <f t="shared" si="19"/>
        <v>8.7830617333690526</v>
      </c>
      <c r="K79" s="2">
        <f t="shared" si="20"/>
        <v>4.4774740834927975</v>
      </c>
      <c r="L79" s="2">
        <f t="shared" si="21"/>
        <v>5.1007390975863132</v>
      </c>
      <c r="M79" s="2"/>
      <c r="O79" s="4">
        <f t="shared" ca="1" si="22"/>
        <v>0.8111488771872416</v>
      </c>
      <c r="P79" s="4">
        <f t="shared" ca="1" si="23"/>
        <v>0.88213788781021696</v>
      </c>
      <c r="Q79" s="4">
        <f t="shared" ca="1" si="24"/>
        <v>1896.5399560187432</v>
      </c>
      <c r="R79" s="4">
        <f t="shared" ca="1" si="25"/>
        <v>-27.130087981256793</v>
      </c>
      <c r="S79" s="4">
        <f t="shared" ca="1" si="26"/>
        <v>-13.433896358470244</v>
      </c>
    </row>
    <row r="80" spans="3:19" x14ac:dyDescent="0.2">
      <c r="C80" s="1">
        <v>42265</v>
      </c>
      <c r="D80" s="2">
        <v>1958.030029</v>
      </c>
      <c r="E80" s="3">
        <f t="shared" si="14"/>
        <v>-1.6164165808483653E-2</v>
      </c>
      <c r="F80" s="3">
        <f t="shared" si="15"/>
        <v>-1.6296231019642143E-2</v>
      </c>
      <c r="G80" s="2">
        <f t="shared" si="16"/>
        <v>1892.5755224479708</v>
      </c>
      <c r="H80" s="2">
        <f t="shared" si="17"/>
        <v>154.73607644164792</v>
      </c>
      <c r="I80" s="2">
        <f t="shared" si="18"/>
        <v>-15.344438825861516</v>
      </c>
      <c r="J80" s="2">
        <f t="shared" si="19"/>
        <v>-31.094521552029043</v>
      </c>
      <c r="K80" s="2">
        <f t="shared" si="20"/>
        <v>-15.346768652189645</v>
      </c>
      <c r="L80" s="2">
        <f t="shared" si="21"/>
        <v>-13.242842312296773</v>
      </c>
      <c r="M80" s="2"/>
      <c r="O80" s="4">
        <f t="shared" ca="1" si="22"/>
        <v>0.46957225149532744</v>
      </c>
      <c r="P80" s="4">
        <f t="shared" ca="1" si="23"/>
        <v>-7.634515394458484E-2</v>
      </c>
      <c r="Q80" s="4">
        <f t="shared" ca="1" si="24"/>
        <v>1925.57715721302</v>
      </c>
      <c r="R80" s="4">
        <f t="shared" ca="1" si="25"/>
        <v>1.9071132130200112</v>
      </c>
      <c r="S80" s="4">
        <f t="shared" ca="1" si="26"/>
        <v>0.96687993209247647</v>
      </c>
    </row>
    <row r="81" spans="3:19" x14ac:dyDescent="0.2">
      <c r="C81" s="1">
        <v>42264</v>
      </c>
      <c r="D81" s="2">
        <v>1990.1999510000001</v>
      </c>
      <c r="E81" s="3">
        <f t="shared" si="14"/>
        <v>-2.5610596092323188E-3</v>
      </c>
      <c r="F81" s="3">
        <f t="shared" si="15"/>
        <v>-2.5643447325231369E-3</v>
      </c>
      <c r="G81" s="2">
        <f t="shared" si="16"/>
        <v>1918.7434103488213</v>
      </c>
      <c r="H81" s="2">
        <f t="shared" si="17"/>
        <v>167.59649499175032</v>
      </c>
      <c r="I81" s="2">
        <f t="shared" si="18"/>
        <v>-2.4840202757591214</v>
      </c>
      <c r="J81" s="2">
        <f t="shared" si="19"/>
        <v>-4.9266336511785571</v>
      </c>
      <c r="K81" s="2">
        <f t="shared" si="20"/>
        <v>-2.4840299402227823</v>
      </c>
      <c r="L81" s="2">
        <f t="shared" si="21"/>
        <v>-2.0982034556745361</v>
      </c>
      <c r="M81" s="2"/>
      <c r="O81" s="4">
        <f t="shared" ca="1" si="22"/>
        <v>0.561235052369355</v>
      </c>
      <c r="P81" s="4">
        <f t="shared" ca="1" si="23"/>
        <v>0.15410125943013289</v>
      </c>
      <c r="Q81" s="4">
        <f t="shared" ca="1" si="24"/>
        <v>1918.5957933514223</v>
      </c>
      <c r="R81" s="4">
        <f t="shared" ca="1" si="25"/>
        <v>-5.0742506485776175</v>
      </c>
      <c r="S81" s="4">
        <f t="shared" ca="1" si="26"/>
        <v>-2.5581541536944892</v>
      </c>
    </row>
    <row r="82" spans="3:19" x14ac:dyDescent="0.2">
      <c r="C82" s="1">
        <v>42263</v>
      </c>
      <c r="D82" s="2">
        <v>1995.3100589999999</v>
      </c>
      <c r="E82" s="3">
        <f t="shared" si="14"/>
        <v>8.7054144634389728E-3</v>
      </c>
      <c r="F82" s="3">
        <f t="shared" si="15"/>
        <v>8.6677408281392605E-3</v>
      </c>
      <c r="G82" s="2">
        <f t="shared" si="16"/>
        <v>1940.4163890239217</v>
      </c>
      <c r="H82" s="2">
        <f t="shared" si="17"/>
        <v>178.67144560640565</v>
      </c>
      <c r="I82" s="2">
        <f t="shared" si="18"/>
        <v>8.5909303388962144</v>
      </c>
      <c r="J82" s="2">
        <f t="shared" si="19"/>
        <v>16.746345023921887</v>
      </c>
      <c r="K82" s="2">
        <f t="shared" si="20"/>
        <v>8.5913224028102171</v>
      </c>
      <c r="L82" s="2">
        <f t="shared" si="21"/>
        <v>9.7253941049579566</v>
      </c>
      <c r="M82" s="2"/>
      <c r="O82" s="4">
        <f t="shared" ca="1" si="22"/>
        <v>0.68564605169472514</v>
      </c>
      <c r="P82" s="4">
        <f t="shared" ca="1" si="23"/>
        <v>0.48354629532052601</v>
      </c>
      <c r="Q82" s="4">
        <f t="shared" ca="1" si="24"/>
        <v>1908.615270616152</v>
      </c>
      <c r="R82" s="4">
        <f t="shared" ca="1" si="25"/>
        <v>-15.054773383847987</v>
      </c>
      <c r="S82" s="4">
        <f t="shared" ca="1" si="26"/>
        <v>-7.528613053169579</v>
      </c>
    </row>
    <row r="83" spans="3:19" x14ac:dyDescent="0.2">
      <c r="C83" s="1">
        <v>42262</v>
      </c>
      <c r="D83" s="2">
        <v>1978.089966</v>
      </c>
      <c r="E83" s="3">
        <f t="shared" si="14"/>
        <v>1.2831311668480234E-2</v>
      </c>
      <c r="F83" s="3">
        <f t="shared" si="15"/>
        <v>1.2749687874278685E-2</v>
      </c>
      <c r="G83" s="2">
        <f t="shared" si="16"/>
        <v>1948.3532538818829</v>
      </c>
      <c r="H83" s="2">
        <f t="shared" si="17"/>
        <v>182.82213943273382</v>
      </c>
      <c r="I83" s="2">
        <f t="shared" si="18"/>
        <v>12.74162416522438</v>
      </c>
      <c r="J83" s="2">
        <f t="shared" si="19"/>
        <v>24.683209881883087</v>
      </c>
      <c r="K83" s="2">
        <f t="shared" si="20"/>
        <v>12.742893954423959</v>
      </c>
      <c r="L83" s="2">
        <f t="shared" si="21"/>
        <v>14.334706679803531</v>
      </c>
      <c r="M83" s="2"/>
      <c r="O83" s="4">
        <f t="shared" ca="1" si="22"/>
        <v>0.53633654143379927</v>
      </c>
      <c r="P83" s="4">
        <f t="shared" ca="1" si="23"/>
        <v>9.1208504973998683E-2</v>
      </c>
      <c r="Q83" s="4">
        <f t="shared" ca="1" si="24"/>
        <v>1920.501126555296</v>
      </c>
      <c r="R83" s="4">
        <f t="shared" ca="1" si="25"/>
        <v>-3.1689174447039932</v>
      </c>
      <c r="S83" s="4">
        <f t="shared" ca="1" si="26"/>
        <v>-1.6000492452155666</v>
      </c>
    </row>
    <row r="84" spans="3:19" x14ac:dyDescent="0.2">
      <c r="C84" s="1">
        <v>42261</v>
      </c>
      <c r="D84" s="2">
        <v>1953.030029</v>
      </c>
      <c r="E84" s="3">
        <f t="shared" si="14"/>
        <v>-4.0896559494183167E-3</v>
      </c>
      <c r="F84" s="3">
        <f t="shared" si="15"/>
        <v>-4.0980414626955409E-3</v>
      </c>
      <c r="G84" s="2">
        <f t="shared" si="16"/>
        <v>1915.8028953598375</v>
      </c>
      <c r="H84" s="2">
        <f t="shared" si="17"/>
        <v>166.12332108177429</v>
      </c>
      <c r="I84" s="2">
        <f t="shared" si="18"/>
        <v>-3.9571941857351476</v>
      </c>
      <c r="J84" s="2">
        <f t="shared" si="19"/>
        <v>-7.8671486401623953</v>
      </c>
      <c r="K84" s="2">
        <f t="shared" si="20"/>
        <v>-3.9572333598217706</v>
      </c>
      <c r="L84" s="2">
        <f t="shared" si="21"/>
        <v>-3.350539056043857</v>
      </c>
      <c r="M84" s="2"/>
      <c r="O84" s="4">
        <f t="shared" ca="1" si="22"/>
        <v>0.23171576722707865</v>
      </c>
      <c r="P84" s="4">
        <f t="shared" ca="1" si="23"/>
        <v>-0.73320806938825889</v>
      </c>
      <c r="Q84" s="4">
        <f t="shared" ca="1" si="24"/>
        <v>1945.4767900723323</v>
      </c>
      <c r="R84" s="4">
        <f t="shared" ca="1" si="25"/>
        <v>21.806746072332317</v>
      </c>
      <c r="S84" s="4">
        <f t="shared" ca="1" si="26"/>
        <v>11.232363784956735</v>
      </c>
    </row>
    <row r="85" spans="3:19" x14ac:dyDescent="0.2">
      <c r="C85" s="1">
        <v>42258</v>
      </c>
      <c r="D85" s="2">
        <v>1961.0500489999999</v>
      </c>
      <c r="E85" s="3">
        <f t="shared" si="14"/>
        <v>4.4870433311676424E-3</v>
      </c>
      <c r="F85" s="3">
        <f t="shared" si="15"/>
        <v>4.4770065646443351E-3</v>
      </c>
      <c r="G85" s="2">
        <f t="shared" si="16"/>
        <v>1932.3016348422973</v>
      </c>
      <c r="H85" s="2">
        <f t="shared" si="17"/>
        <v>174.48018647712991</v>
      </c>
      <c r="I85" s="2">
        <f t="shared" si="18"/>
        <v>4.3996712096204647</v>
      </c>
      <c r="J85" s="2">
        <f t="shared" si="19"/>
        <v>8.6315908422971646</v>
      </c>
      <c r="K85" s="2">
        <f t="shared" si="20"/>
        <v>4.3997242623166795</v>
      </c>
      <c r="L85" s="2">
        <f t="shared" si="21"/>
        <v>5.012772791565709</v>
      </c>
      <c r="M85" s="2"/>
      <c r="O85" s="4">
        <f t="shared" ca="1" si="22"/>
        <v>7.1732861373881018E-3</v>
      </c>
      <c r="P85" s="4">
        <f t="shared" ca="1" si="23"/>
        <v>-2.4484666198637677</v>
      </c>
      <c r="Q85" s="4">
        <f t="shared" ca="1" si="24"/>
        <v>1997.4404717032305</v>
      </c>
      <c r="R85" s="4">
        <f t="shared" ca="1" si="25"/>
        <v>73.770427703230553</v>
      </c>
      <c r="S85" s="4">
        <f t="shared" ca="1" si="26"/>
        <v>39.558614742863128</v>
      </c>
    </row>
    <row r="86" spans="3:19" x14ac:dyDescent="0.2">
      <c r="C86" s="1">
        <v>42257</v>
      </c>
      <c r="D86" s="2">
        <v>1952.290039</v>
      </c>
      <c r="E86" s="3">
        <f t="shared" si="14"/>
        <v>5.2779550339641578E-3</v>
      </c>
      <c r="F86" s="3">
        <f t="shared" si="15"/>
        <v>5.2640754451046302E-3</v>
      </c>
      <c r="G86" s="2">
        <f t="shared" si="16"/>
        <v>1933.8230879924158</v>
      </c>
      <c r="H86" s="2">
        <f t="shared" si="17"/>
        <v>175.26196149486179</v>
      </c>
      <c r="I86" s="2">
        <f t="shared" si="18"/>
        <v>5.1814462273523532</v>
      </c>
      <c r="J86" s="2">
        <f t="shared" si="19"/>
        <v>10.153043992415853</v>
      </c>
      <c r="K86" s="2">
        <f t="shared" si="20"/>
        <v>5.1815327641940341</v>
      </c>
      <c r="L86" s="2">
        <f t="shared" si="21"/>
        <v>5.8963525503725123</v>
      </c>
      <c r="M86" s="2"/>
      <c r="O86" s="4">
        <f t="shared" ca="1" si="22"/>
        <v>9.2094963081414738E-2</v>
      </c>
      <c r="P86" s="4">
        <f t="shared" ca="1" si="23"/>
        <v>-1.327964223580905</v>
      </c>
      <c r="Q86" s="4">
        <f t="shared" ca="1" si="24"/>
        <v>1963.4949013570222</v>
      </c>
      <c r="R86" s="4">
        <f t="shared" ca="1" si="25"/>
        <v>39.824857357022211</v>
      </c>
      <c r="S86" s="4">
        <f t="shared" ca="1" si="26"/>
        <v>20.805352508428026</v>
      </c>
    </row>
    <row r="87" spans="3:19" x14ac:dyDescent="0.2">
      <c r="C87" s="1">
        <v>42256</v>
      </c>
      <c r="D87" s="2">
        <v>1942.040039</v>
      </c>
      <c r="E87" s="3">
        <f t="shared" si="14"/>
        <v>-1.3897560450837034E-2</v>
      </c>
      <c r="F87" s="3">
        <f t="shared" si="15"/>
        <v>-1.3995035710028114E-2</v>
      </c>
      <c r="G87" s="2">
        <f t="shared" si="16"/>
        <v>1896.9357232760456</v>
      </c>
      <c r="H87" s="2">
        <f t="shared" si="17"/>
        <v>156.83977386089828</v>
      </c>
      <c r="I87" s="2">
        <f t="shared" si="18"/>
        <v>-13.240741406611164</v>
      </c>
      <c r="J87" s="2">
        <f t="shared" si="19"/>
        <v>-26.734320723954337</v>
      </c>
      <c r="K87" s="2">
        <f t="shared" si="20"/>
        <v>-13.242232904163934</v>
      </c>
      <c r="L87" s="2">
        <f t="shared" si="21"/>
        <v>-11.385876868415494</v>
      </c>
      <c r="M87" s="2"/>
      <c r="O87" s="4">
        <f t="shared" ca="1" si="22"/>
        <v>0.76361419586783208</v>
      </c>
      <c r="P87" s="4">
        <f t="shared" ca="1" si="23"/>
        <v>0.717976773280526</v>
      </c>
      <c r="Q87" s="4">
        <f t="shared" ca="1" si="24"/>
        <v>1901.5132096948314</v>
      </c>
      <c r="R87" s="4">
        <f t="shared" ca="1" si="25"/>
        <v>-22.156834305168559</v>
      </c>
      <c r="S87" s="4">
        <f t="shared" ca="1" si="26"/>
        <v>-11.016165964994377</v>
      </c>
    </row>
    <row r="88" spans="3:19" x14ac:dyDescent="0.2">
      <c r="C88" s="1">
        <v>42255</v>
      </c>
      <c r="D88" s="2">
        <v>1969.410034</v>
      </c>
      <c r="E88" s="3">
        <f t="shared" si="14"/>
        <v>2.5083053334552293E-2</v>
      </c>
      <c r="F88" s="3">
        <f t="shared" si="15"/>
        <v>2.477363695127497E-2</v>
      </c>
      <c r="G88" s="2">
        <f t="shared" si="16"/>
        <v>1971.9215623117325</v>
      </c>
      <c r="H88" s="2">
        <f t="shared" si="17"/>
        <v>195.44385295510131</v>
      </c>
      <c r="I88" s="2">
        <f t="shared" si="18"/>
        <v>25.363337687591866</v>
      </c>
      <c r="J88" s="2">
        <f t="shared" si="19"/>
        <v>48.251518311732553</v>
      </c>
      <c r="K88" s="2">
        <f t="shared" si="20"/>
        <v>25.373133431321698</v>
      </c>
      <c r="L88" s="2">
        <f t="shared" si="21"/>
        <v>28.021937388359277</v>
      </c>
      <c r="M88" s="2"/>
      <c r="O88" s="4">
        <f t="shared" ca="1" si="22"/>
        <v>0.66868206495195326</v>
      </c>
      <c r="P88" s="4">
        <f t="shared" ca="1" si="23"/>
        <v>0.43627685814190403</v>
      </c>
      <c r="Q88" s="4">
        <f t="shared" ca="1" si="24"/>
        <v>1910.0472961167627</v>
      </c>
      <c r="R88" s="4">
        <f t="shared" ca="1" si="25"/>
        <v>-13.622747883237253</v>
      </c>
      <c r="S88" s="4">
        <f t="shared" ca="1" si="26"/>
        <v>-6.820424806386872</v>
      </c>
    </row>
    <row r="89" spans="3:19" x14ac:dyDescent="0.2">
      <c r="C89" s="1">
        <v>42251</v>
      </c>
      <c r="D89" s="2">
        <v>1921.219971</v>
      </c>
      <c r="E89" s="3">
        <f t="shared" si="14"/>
        <v>-1.5329595630917478E-2</v>
      </c>
      <c r="F89" s="3">
        <f t="shared" si="15"/>
        <v>-1.5448308659813455E-2</v>
      </c>
      <c r="G89" s="2">
        <f t="shared" si="16"/>
        <v>1894.1809600981708</v>
      </c>
      <c r="H89" s="2">
        <f t="shared" si="17"/>
        <v>155.50883461295041</v>
      </c>
      <c r="I89" s="2">
        <f t="shared" si="18"/>
        <v>-14.571680654559032</v>
      </c>
      <c r="J89" s="2">
        <f t="shared" si="19"/>
        <v>-29.489083901829233</v>
      </c>
      <c r="K89" s="2">
        <f t="shared" si="20"/>
        <v>-14.573673244545203</v>
      </c>
      <c r="L89" s="2">
        <f t="shared" si="21"/>
        <v>-12.559102650689653</v>
      </c>
      <c r="M89" s="2"/>
      <c r="O89" s="4">
        <f t="shared" ca="1" si="22"/>
        <v>0.20228552525343924</v>
      </c>
      <c r="P89" s="4">
        <f t="shared" ca="1" si="23"/>
        <v>-0.83348536107269022</v>
      </c>
      <c r="Q89" s="4">
        <f t="shared" ca="1" si="24"/>
        <v>1948.514686171701</v>
      </c>
      <c r="R89" s="4">
        <f t="shared" ca="1" si="25"/>
        <v>24.844642171701025</v>
      </c>
      <c r="S89" s="4">
        <f t="shared" ca="1" si="26"/>
        <v>12.827867239819529</v>
      </c>
    </row>
    <row r="90" spans="3:19" x14ac:dyDescent="0.2">
      <c r="C90" s="1">
        <v>42250</v>
      </c>
      <c r="D90" s="2">
        <v>1951.130005</v>
      </c>
      <c r="E90" s="3">
        <f t="shared" si="14"/>
        <v>1.1647937858398438E-3</v>
      </c>
      <c r="F90" s="3">
        <f t="shared" si="15"/>
        <v>1.1641159398742432E-3</v>
      </c>
      <c r="G90" s="2">
        <f t="shared" si="16"/>
        <v>1925.9107229132576</v>
      </c>
      <c r="H90" s="2">
        <f t="shared" si="17"/>
        <v>171.21681171026603</v>
      </c>
      <c r="I90" s="2">
        <f t="shared" si="18"/>
        <v>1.1362964427565885</v>
      </c>
      <c r="J90" s="2">
        <f t="shared" si="19"/>
        <v>2.2406789132574589</v>
      </c>
      <c r="K90" s="2">
        <f t="shared" si="20"/>
        <v>1.136297361977515</v>
      </c>
      <c r="L90" s="2">
        <f t="shared" si="21"/>
        <v>1.3012681551090566</v>
      </c>
      <c r="M90" s="2"/>
      <c r="O90" s="4">
        <f t="shared" ca="1" si="22"/>
        <v>0.35570419871036507</v>
      </c>
      <c r="P90" s="4">
        <f t="shared" ca="1" si="23"/>
        <v>-0.36996523020795014</v>
      </c>
      <c r="Q90" s="4">
        <f t="shared" ca="1" si="24"/>
        <v>1934.472364386982</v>
      </c>
      <c r="R90" s="4">
        <f t="shared" ca="1" si="25"/>
        <v>10.802320386982046</v>
      </c>
      <c r="S90" s="4">
        <f t="shared" ca="1" si="26"/>
        <v>5.5157413467338641</v>
      </c>
    </row>
    <row r="91" spans="3:19" x14ac:dyDescent="0.2">
      <c r="C91" s="1">
        <v>42249</v>
      </c>
      <c r="D91" s="2">
        <v>1948.8599850000001</v>
      </c>
      <c r="E91" s="3">
        <f t="shared" si="14"/>
        <v>1.8292974600429224E-2</v>
      </c>
      <c r="F91" s="3">
        <f t="shared" si="15"/>
        <v>1.8127671026470109E-2</v>
      </c>
      <c r="G91" s="2">
        <f t="shared" si="16"/>
        <v>1958.8596912544986</v>
      </c>
      <c r="H91" s="2">
        <f t="shared" si="17"/>
        <v>188.39420424559694</v>
      </c>
      <c r="I91" s="2">
        <f t="shared" si="18"/>
        <v>18.313688978087498</v>
      </c>
      <c r="J91" s="2">
        <f t="shared" si="19"/>
        <v>35.189647254498567</v>
      </c>
      <c r="K91" s="2">
        <f t="shared" si="20"/>
        <v>18.31742253097423</v>
      </c>
      <c r="L91" s="2">
        <f t="shared" si="21"/>
        <v>20.436291469904631</v>
      </c>
      <c r="M91" s="2"/>
      <c r="O91" s="4">
        <f t="shared" ca="1" si="22"/>
        <v>0.81534877400061156</v>
      </c>
      <c r="P91" s="4">
        <f t="shared" ca="1" si="23"/>
        <v>0.89778074499455984</v>
      </c>
      <c r="Q91" s="4">
        <f t="shared" ca="1" si="24"/>
        <v>1896.0660563548706</v>
      </c>
      <c r="R91" s="4">
        <f t="shared" ca="1" si="25"/>
        <v>-27.603987645129337</v>
      </c>
      <c r="S91" s="4">
        <f t="shared" ca="1" si="26"/>
        <v>-13.663230261279079</v>
      </c>
    </row>
    <row r="92" spans="3:19" x14ac:dyDescent="0.2">
      <c r="C92" s="1">
        <v>42248</v>
      </c>
      <c r="D92" s="2">
        <v>1913.849976</v>
      </c>
      <c r="E92" s="3">
        <f t="shared" si="14"/>
        <v>-2.9576446573270111E-2</v>
      </c>
      <c r="F92" s="3">
        <f t="shared" si="15"/>
        <v>-3.0022649772647417E-2</v>
      </c>
      <c r="G92" s="2">
        <f t="shared" si="16"/>
        <v>1866.7747197190338</v>
      </c>
      <c r="H92" s="2">
        <f t="shared" si="17"/>
        <v>142.61090596554777</v>
      </c>
      <c r="I92" s="2">
        <f t="shared" si="18"/>
        <v>-27.469609301961668</v>
      </c>
      <c r="J92" s="2">
        <f t="shared" si="19"/>
        <v>-56.895324280966165</v>
      </c>
      <c r="K92" s="2">
        <f t="shared" si="20"/>
        <v>-27.483255630770277</v>
      </c>
      <c r="L92" s="2">
        <f t="shared" si="21"/>
        <v>-24.23114330603542</v>
      </c>
      <c r="M92" s="2"/>
      <c r="O92" s="4">
        <f t="shared" ca="1" si="22"/>
        <v>0.31056302976493899</v>
      </c>
      <c r="P92" s="4">
        <f t="shared" ca="1" si="23"/>
        <v>-0.49425505913247014</v>
      </c>
      <c r="Q92" s="4">
        <f t="shared" ca="1" si="24"/>
        <v>1938.2377192359068</v>
      </c>
      <c r="R92" s="4">
        <f t="shared" ca="1" si="25"/>
        <v>14.56767523590679</v>
      </c>
      <c r="S92" s="4">
        <f t="shared" ca="1" si="26"/>
        <v>7.4606869691498332</v>
      </c>
    </row>
    <row r="93" spans="3:19" x14ac:dyDescent="0.2">
      <c r="C93" s="1">
        <v>42247</v>
      </c>
      <c r="D93" s="2">
        <v>1972.1800539999999</v>
      </c>
      <c r="E93" s="3">
        <f t="shared" si="14"/>
        <v>-8.3916701654499493E-3</v>
      </c>
      <c r="F93" s="3">
        <f t="shared" si="15"/>
        <v>-8.4270784584924117E-3</v>
      </c>
      <c r="G93" s="2">
        <f t="shared" si="16"/>
        <v>1907.5272394835954</v>
      </c>
      <c r="H93" s="2">
        <f t="shared" si="17"/>
        <v>162.01528178307638</v>
      </c>
      <c r="I93" s="2">
        <f t="shared" si="18"/>
        <v>-8.0652334844330653</v>
      </c>
      <c r="J93" s="2">
        <f t="shared" si="19"/>
        <v>-16.142804516404592</v>
      </c>
      <c r="K93" s="2">
        <f t="shared" si="20"/>
        <v>-8.065567537879561</v>
      </c>
      <c r="L93" s="2">
        <f t="shared" si="21"/>
        <v>-6.8750572132545926</v>
      </c>
      <c r="M93" s="2"/>
      <c r="O93" s="4">
        <f t="shared" ca="1" si="22"/>
        <v>0.43275754503137798</v>
      </c>
      <c r="P93" s="4">
        <f t="shared" ca="1" si="23"/>
        <v>-0.16935795845044743</v>
      </c>
      <c r="Q93" s="4">
        <f t="shared" ca="1" si="24"/>
        <v>1928.3949759958502</v>
      </c>
      <c r="R93" s="4">
        <f t="shared" ca="1" si="25"/>
        <v>4.7249319958502838</v>
      </c>
      <c r="S93" s="4">
        <f t="shared" ca="1" si="26"/>
        <v>2.4008946698475317</v>
      </c>
    </row>
    <row r="94" spans="3:19" x14ac:dyDescent="0.2">
      <c r="C94" s="1">
        <v>42244</v>
      </c>
      <c r="D94" s="2">
        <v>1988.869995</v>
      </c>
      <c r="E94" s="3">
        <f t="shared" si="14"/>
        <v>6.0873639319752057E-4</v>
      </c>
      <c r="F94" s="3">
        <f t="shared" si="15"/>
        <v>6.0855118835607827E-4</v>
      </c>
      <c r="G94" s="2">
        <f t="shared" si="16"/>
        <v>1924.8410519642866</v>
      </c>
      <c r="H94" s="2">
        <f t="shared" si="17"/>
        <v>170.67384903555273</v>
      </c>
      <c r="I94" s="2">
        <f t="shared" si="18"/>
        <v>0.59333376804329419</v>
      </c>
      <c r="J94" s="2">
        <f t="shared" si="19"/>
        <v>1.1710079642866758</v>
      </c>
      <c r="K94" s="2">
        <f t="shared" si="20"/>
        <v>0.59333389903919664</v>
      </c>
      <c r="L94" s="2">
        <f t="shared" si="21"/>
        <v>0.68005967490000785</v>
      </c>
      <c r="M94" s="2"/>
      <c r="O94" s="4">
        <f t="shared" ca="1" si="22"/>
        <v>0.35711219310116982</v>
      </c>
      <c r="P94" s="4">
        <f t="shared" ca="1" si="23"/>
        <v>-0.36618854906571602</v>
      </c>
      <c r="Q94" s="4">
        <f t="shared" ca="1" si="24"/>
        <v>1934.3579499994589</v>
      </c>
      <c r="R94" s="4">
        <f t="shared" ca="1" si="25"/>
        <v>10.687905999458962</v>
      </c>
      <c r="S94" s="4">
        <f t="shared" ca="1" si="26"/>
        <v>5.4568227649064367</v>
      </c>
    </row>
    <row r="95" spans="3:19" x14ac:dyDescent="0.2">
      <c r="C95" s="1">
        <v>42243</v>
      </c>
      <c r="D95" s="2">
        <v>1987.660034</v>
      </c>
      <c r="E95" s="3">
        <f t="shared" si="14"/>
        <v>2.4297748404812421E-2</v>
      </c>
      <c r="F95" s="3">
        <f t="shared" si="15"/>
        <v>2.4007254278508312E-2</v>
      </c>
      <c r="G95" s="2">
        <f t="shared" si="16"/>
        <v>1970.4108947429863</v>
      </c>
      <c r="H95" s="2">
        <f t="shared" si="17"/>
        <v>194.62163235007722</v>
      </c>
      <c r="I95" s="2">
        <f t="shared" si="18"/>
        <v>24.54111708256778</v>
      </c>
      <c r="J95" s="2">
        <f t="shared" si="19"/>
        <v>46.740850742986439</v>
      </c>
      <c r="K95" s="2">
        <f t="shared" si="20"/>
        <v>24.550003507430837</v>
      </c>
      <c r="L95" s="2">
        <f t="shared" si="21"/>
        <v>27.144621326457468</v>
      </c>
      <c r="M95" s="2"/>
      <c r="O95" s="4">
        <f t="shared" ca="1" si="22"/>
        <v>0.24169657412531054</v>
      </c>
      <c r="P95" s="4">
        <f t="shared" ca="1" si="23"/>
        <v>-0.70085557966479572</v>
      </c>
      <c r="Q95" s="4">
        <f t="shared" ca="1" si="24"/>
        <v>1944.4966728325778</v>
      </c>
      <c r="R95" s="4">
        <f t="shared" ca="1" si="25"/>
        <v>20.826628832577853</v>
      </c>
      <c r="S95" s="4">
        <f t="shared" ca="1" si="26"/>
        <v>10.719209163157871</v>
      </c>
    </row>
    <row r="96" spans="3:19" x14ac:dyDescent="0.2">
      <c r="C96" s="1">
        <v>42242</v>
      </c>
      <c r="D96" s="2">
        <v>1940.51001</v>
      </c>
      <c r="E96" s="3">
        <f t="shared" si="14"/>
        <v>3.9033859095586231E-2</v>
      </c>
      <c r="F96" s="3">
        <f t="shared" si="15"/>
        <v>3.8291299743553803E-2</v>
      </c>
      <c r="G96" s="2">
        <f t="shared" si="16"/>
        <v>1998.7583094438962</v>
      </c>
      <c r="H96" s="2">
        <f t="shared" si="17"/>
        <v>210.34789280411076</v>
      </c>
      <c r="I96" s="2">
        <f t="shared" si="18"/>
        <v>40.267377536601316</v>
      </c>
      <c r="J96" s="2">
        <f t="shared" si="19"/>
        <v>75.088265443896162</v>
      </c>
      <c r="K96" s="2">
        <f t="shared" si="20"/>
        <v>40.305572538176058</v>
      </c>
      <c r="L96" s="2">
        <f t="shared" si="21"/>
        <v>43.607304940655894</v>
      </c>
      <c r="M96" s="2"/>
      <c r="O96" s="4">
        <f t="shared" ca="1" si="22"/>
        <v>0.45052857779774413</v>
      </c>
      <c r="P96" s="4">
        <f t="shared" ca="1" si="23"/>
        <v>-0.1243260080631856</v>
      </c>
      <c r="Q96" s="4">
        <f t="shared" ca="1" si="24"/>
        <v>1927.0307350582414</v>
      </c>
      <c r="R96" s="4">
        <f t="shared" ca="1" si="25"/>
        <v>3.3606910582414002</v>
      </c>
      <c r="S96" s="4">
        <f t="shared" ca="1" si="26"/>
        <v>1.7058122706515921</v>
      </c>
    </row>
    <row r="97" spans="3:19" x14ac:dyDescent="0.2">
      <c r="C97" s="1">
        <v>42241</v>
      </c>
      <c r="D97" s="2">
        <v>1867.6099850000001</v>
      </c>
      <c r="E97" s="3">
        <f t="shared" si="14"/>
        <v>-1.3521995197235268E-2</v>
      </c>
      <c r="F97" s="3">
        <f t="shared" si="15"/>
        <v>-1.3614249963910554E-2</v>
      </c>
      <c r="G97" s="2">
        <f t="shared" si="16"/>
        <v>1897.6581869039665</v>
      </c>
      <c r="H97" s="2">
        <f t="shared" si="17"/>
        <v>157.18986371551898</v>
      </c>
      <c r="I97" s="2">
        <f t="shared" si="18"/>
        <v>-12.890651551990459</v>
      </c>
      <c r="J97" s="2">
        <f t="shared" si="19"/>
        <v>-26.011857096033356</v>
      </c>
      <c r="K97" s="2">
        <f t="shared" si="20"/>
        <v>-12.892027005605478</v>
      </c>
      <c r="L97" s="2">
        <f t="shared" si="21"/>
        <v>-11.078186914578509</v>
      </c>
      <c r="M97" s="2"/>
      <c r="O97" s="4">
        <f t="shared" ca="1" si="22"/>
        <v>0.20577871405423243</v>
      </c>
      <c r="P97" s="4">
        <f t="shared" ca="1" si="23"/>
        <v>-0.82115597786236216</v>
      </c>
      <c r="Q97" s="4">
        <f t="shared" ca="1" si="24"/>
        <v>1948.1411680547567</v>
      </c>
      <c r="R97" s="4">
        <f t="shared" ca="1" si="25"/>
        <v>24.471124054756729</v>
      </c>
      <c r="S97" s="4">
        <f t="shared" ca="1" si="26"/>
        <v>12.631290360107137</v>
      </c>
    </row>
    <row r="98" spans="3:19" x14ac:dyDescent="0.2">
      <c r="C98" s="1">
        <v>42240</v>
      </c>
      <c r="D98" s="2">
        <v>1893.209961</v>
      </c>
      <c r="E98" s="3">
        <f t="shared" si="14"/>
        <v>-3.9413693006101071E-2</v>
      </c>
      <c r="F98" s="3">
        <f t="shared" si="15"/>
        <v>-4.0211444491884053E-2</v>
      </c>
      <c r="G98" s="2">
        <f t="shared" si="16"/>
        <v>1847.8511034407509</v>
      </c>
      <c r="H98" s="2">
        <f t="shared" si="17"/>
        <v>134.0714415815512</v>
      </c>
      <c r="I98" s="2">
        <f t="shared" si="18"/>
        <v>-36.009073685958242</v>
      </c>
      <c r="J98" s="2">
        <f t="shared" si="19"/>
        <v>-75.818940559248944</v>
      </c>
      <c r="K98" s="2">
        <f t="shared" si="20"/>
        <v>-36.040248124272338</v>
      </c>
      <c r="L98" s="2">
        <f t="shared" si="21"/>
        <v>-32.290520130097207</v>
      </c>
      <c r="M98" s="2"/>
      <c r="O98" s="4">
        <f t="shared" ca="1" si="22"/>
        <v>9.9547091807894228E-2</v>
      </c>
      <c r="P98" s="4">
        <f t="shared" ca="1" si="23"/>
        <v>-1.284136543414655</v>
      </c>
      <c r="Q98" s="4">
        <f t="shared" ca="1" si="24"/>
        <v>1962.1671437322912</v>
      </c>
      <c r="R98" s="4">
        <f t="shared" ca="1" si="25"/>
        <v>38.49709973229119</v>
      </c>
      <c r="S98" s="4">
        <f t="shared" ca="1" si="26"/>
        <v>20.090896416253031</v>
      </c>
    </row>
    <row r="99" spans="3:19" x14ac:dyDescent="0.2">
      <c r="C99" s="1">
        <v>42237</v>
      </c>
      <c r="D99" s="2">
        <v>1970.8900149999999</v>
      </c>
      <c r="E99" s="3">
        <f t="shared" si="14"/>
        <v>-3.1850965323014069E-2</v>
      </c>
      <c r="F99" s="3">
        <f t="shared" si="15"/>
        <v>-3.236924211323932E-2</v>
      </c>
      <c r="G99" s="2">
        <f t="shared" si="16"/>
        <v>1862.3992961356348</v>
      </c>
      <c r="H99" s="2">
        <f t="shared" si="17"/>
        <v>140.60975065898663</v>
      </c>
      <c r="I99" s="2">
        <f t="shared" si="18"/>
        <v>-29.470764608522813</v>
      </c>
      <c r="J99" s="2">
        <f t="shared" si="19"/>
        <v>-61.270747864364949</v>
      </c>
      <c r="K99" s="2">
        <f t="shared" si="20"/>
        <v>-29.487672280140536</v>
      </c>
      <c r="L99" s="2">
        <f t="shared" si="21"/>
        <v>-26.094591967482216</v>
      </c>
      <c r="M99" s="2"/>
      <c r="O99" s="4">
        <f t="shared" ca="1" si="22"/>
        <v>0.75756371553327451</v>
      </c>
      <c r="P99" s="4">
        <f t="shared" ca="1" si="23"/>
        <v>0.69848718569764157</v>
      </c>
      <c r="Q99" s="4">
        <f t="shared" ca="1" si="24"/>
        <v>1902.1036458853368</v>
      </c>
      <c r="R99" s="4">
        <f t="shared" ca="1" si="25"/>
        <v>-21.566398114663116</v>
      </c>
      <c r="S99" s="4">
        <f t="shared" ca="1" si="26"/>
        <v>-10.727790191176155</v>
      </c>
    </row>
    <row r="100" spans="3:19" x14ac:dyDescent="0.2">
      <c r="C100" s="1">
        <v>42236</v>
      </c>
      <c r="D100" s="2">
        <v>2035.7299800000001</v>
      </c>
      <c r="E100" s="3">
        <f t="shared" si="14"/>
        <v>-2.1100170100298469E-2</v>
      </c>
      <c r="F100" s="3">
        <f t="shared" si="15"/>
        <v>-2.1325960481545045E-2</v>
      </c>
      <c r="G100" s="2">
        <f t="shared" si="16"/>
        <v>1883.0802788547512</v>
      </c>
      <c r="H100" s="2">
        <f t="shared" si="17"/>
        <v>150.20933647336949</v>
      </c>
      <c r="I100" s="2">
        <f t="shared" si="18"/>
        <v>-19.871178794139951</v>
      </c>
      <c r="J100" s="2">
        <f t="shared" si="19"/>
        <v>-40.589765145248641</v>
      </c>
      <c r="K100" s="2">
        <f t="shared" si="20"/>
        <v>-19.87627832097392</v>
      </c>
      <c r="L100" s="2">
        <f t="shared" si="21"/>
        <v>-17.286770546132175</v>
      </c>
      <c r="M100" s="2"/>
      <c r="O100" s="4">
        <f t="shared" ca="1" si="22"/>
        <v>0.3221942594758993</v>
      </c>
      <c r="P100" s="4">
        <f t="shared" ca="1" si="23"/>
        <v>-0.46157166372997305</v>
      </c>
      <c r="Q100" s="4">
        <f t="shared" ca="1" si="24"/>
        <v>1937.2475772232981</v>
      </c>
      <c r="R100" s="4">
        <f t="shared" ca="1" si="25"/>
        <v>13.577533223298133</v>
      </c>
      <c r="S100" s="4">
        <f t="shared" ca="1" si="26"/>
        <v>6.9481232792412468</v>
      </c>
    </row>
    <row r="101" spans="3:19" x14ac:dyDescent="0.2">
      <c r="C101" s="1">
        <v>42235</v>
      </c>
      <c r="D101" s="2">
        <v>2079.610107</v>
      </c>
      <c r="E101" s="3">
        <f t="shared" si="14"/>
        <v>-8.2548765064382225E-3</v>
      </c>
      <c r="F101" s="3">
        <f t="shared" si="15"/>
        <v>-8.2891366720709101E-3</v>
      </c>
      <c r="G101" s="2">
        <f t="shared" si="16"/>
        <v>1907.7903853476455</v>
      </c>
      <c r="H101" s="2">
        <f t="shared" si="17"/>
        <v>162.14504265816197</v>
      </c>
      <c r="I101" s="2">
        <f t="shared" si="18"/>
        <v>-7.935472609347471</v>
      </c>
      <c r="J101" s="2">
        <f t="shared" si="19"/>
        <v>-15.879658652354582</v>
      </c>
      <c r="K101" s="2">
        <f t="shared" si="20"/>
        <v>-7.935790724891663</v>
      </c>
      <c r="L101" s="2">
        <f t="shared" si="21"/>
        <v>-6.7629860505927866</v>
      </c>
      <c r="M101" s="2"/>
      <c r="O101" s="4">
        <f t="shared" ca="1" si="22"/>
        <v>0.47728045627487781</v>
      </c>
      <c r="P101" s="4">
        <f t="shared" ca="1" si="23"/>
        <v>-5.6980269135929573E-2</v>
      </c>
      <c r="Q101" s="4">
        <f t="shared" ca="1" si="24"/>
        <v>1924.9904988875235</v>
      </c>
      <c r="R101" s="4">
        <f t="shared" ca="1" si="25"/>
        <v>1.3204548875235105</v>
      </c>
      <c r="S101" s="4">
        <f t="shared" ca="1" si="26"/>
        <v>0.66913696414900303</v>
      </c>
    </row>
    <row r="102" spans="3:19" x14ac:dyDescent="0.2">
      <c r="C102" s="1">
        <v>42234</v>
      </c>
      <c r="D102" s="2">
        <v>2096.919922</v>
      </c>
      <c r="E102" s="3">
        <f t="shared" si="14"/>
        <v>-2.6255299342222908E-3</v>
      </c>
      <c r="F102" s="3">
        <f t="shared" si="15"/>
        <v>-2.628982682793983E-3</v>
      </c>
      <c r="G102" s="2">
        <f t="shared" si="16"/>
        <v>1918.6193907159113</v>
      </c>
      <c r="H102" s="2">
        <f t="shared" si="17"/>
        <v>167.53421948430366</v>
      </c>
      <c r="I102" s="2">
        <f t="shared" si="18"/>
        <v>-2.5462957832057782</v>
      </c>
      <c r="J102" s="2">
        <f t="shared" si="19"/>
        <v>-5.0506532840887113</v>
      </c>
      <c r="K102" s="2">
        <f t="shared" si="20"/>
        <v>-2.5463061940624803</v>
      </c>
      <c r="L102" s="2">
        <f t="shared" si="21"/>
        <v>-2.1510221632886157</v>
      </c>
      <c r="M102" s="2"/>
      <c r="O102" s="4">
        <f t="shared" ca="1" si="22"/>
        <v>8.7895950396913891E-2</v>
      </c>
      <c r="P102" s="4">
        <f t="shared" ca="1" si="23"/>
        <v>-1.3538259869504494</v>
      </c>
      <c r="Q102" s="4">
        <f t="shared" ca="1" si="24"/>
        <v>1964.2783823300663</v>
      </c>
      <c r="R102" s="4">
        <f t="shared" ca="1" si="25"/>
        <v>40.608338330066317</v>
      </c>
      <c r="S102" s="4">
        <f t="shared" ca="1" si="26"/>
        <v>21.227610890081476</v>
      </c>
    </row>
    <row r="103" spans="3:19" x14ac:dyDescent="0.2">
      <c r="C103" s="1">
        <v>42233</v>
      </c>
      <c r="D103" s="2">
        <v>2102.4399410000001</v>
      </c>
      <c r="E103" s="3">
        <f t="shared" si="14"/>
        <v>5.211424020938913E-3</v>
      </c>
      <c r="F103" s="3">
        <f t="shared" si="15"/>
        <v>5.1978915460573353E-3</v>
      </c>
      <c r="G103" s="2">
        <f t="shared" si="16"/>
        <v>1933.6951042756621</v>
      </c>
      <c r="H103" s="2">
        <f t="shared" si="17"/>
        <v>175.19612688745099</v>
      </c>
      <c r="I103" s="2">
        <f t="shared" si="18"/>
        <v>5.1156116199415465</v>
      </c>
      <c r="J103" s="2">
        <f t="shared" si="19"/>
        <v>10.025060275662215</v>
      </c>
      <c r="K103" s="2">
        <f t="shared" si="20"/>
        <v>5.1156949096176696</v>
      </c>
      <c r="L103" s="2">
        <f t="shared" si="21"/>
        <v>5.822026356646802</v>
      </c>
      <c r="M103" s="2"/>
      <c r="O103" s="4">
        <f t="shared" ca="1" si="22"/>
        <v>0.71219142524543844</v>
      </c>
      <c r="P103" s="4">
        <f t="shared" ca="1" si="23"/>
        <v>0.5597981150446687</v>
      </c>
      <c r="Q103" s="4">
        <f t="shared" ca="1" si="24"/>
        <v>1906.3052251231131</v>
      </c>
      <c r="R103" s="4">
        <f t="shared" ca="1" si="25"/>
        <v>-17.364818876886829</v>
      </c>
      <c r="S103" s="4">
        <f t="shared" ca="1" si="26"/>
        <v>-8.6674949957311238</v>
      </c>
    </row>
    <row r="104" spans="3:19" x14ac:dyDescent="0.2">
      <c r="C104" s="1">
        <v>42230</v>
      </c>
      <c r="D104" s="2">
        <v>2091.540039</v>
      </c>
      <c r="E104" s="3">
        <f t="shared" si="14"/>
        <v>3.9119638755010268E-3</v>
      </c>
      <c r="F104" s="3">
        <f t="shared" si="15"/>
        <v>3.904332041982352E-3</v>
      </c>
      <c r="G104" s="2">
        <f t="shared" si="16"/>
        <v>1931.1953717205113</v>
      </c>
      <c r="H104" s="2">
        <f t="shared" si="17"/>
        <v>173.91292732737372</v>
      </c>
      <c r="I104" s="2">
        <f t="shared" si="18"/>
        <v>3.8324120598642821</v>
      </c>
      <c r="J104" s="2">
        <f t="shared" si="19"/>
        <v>7.5253277205114708</v>
      </c>
      <c r="K104" s="2">
        <f t="shared" si="20"/>
        <v>3.8324471591097158</v>
      </c>
      <c r="L104" s="2">
        <f t="shared" si="21"/>
        <v>4.3703135070006169</v>
      </c>
      <c r="M104" s="2"/>
      <c r="O104" s="4">
        <f t="shared" ca="1" si="22"/>
        <v>0.61894337260675492</v>
      </c>
      <c r="P104" s="4">
        <f t="shared" ca="1" si="23"/>
        <v>0.30270687918675265</v>
      </c>
      <c r="Q104" s="4">
        <f t="shared" ca="1" si="24"/>
        <v>1914.0937926988358</v>
      </c>
      <c r="R104" s="4">
        <f t="shared" ca="1" si="25"/>
        <v>-9.5762513011641204</v>
      </c>
      <c r="S104" s="4">
        <f t="shared" ca="1" si="26"/>
        <v>-4.8102620910920049</v>
      </c>
    </row>
    <row r="105" spans="3:19" x14ac:dyDescent="0.2">
      <c r="C105" s="1">
        <v>42229</v>
      </c>
      <c r="D105" s="2">
        <v>2083.389893</v>
      </c>
      <c r="E105" s="3">
        <f t="shared" si="14"/>
        <v>-1.275211973593408E-3</v>
      </c>
      <c r="F105" s="3">
        <f t="shared" si="15"/>
        <v>-1.2760257482792195E-3</v>
      </c>
      <c r="G105" s="2">
        <f t="shared" si="16"/>
        <v>1921.2169569266482</v>
      </c>
      <c r="H105" s="2">
        <f t="shared" si="17"/>
        <v>168.84118935534445</v>
      </c>
      <c r="I105" s="2">
        <f t="shared" si="18"/>
        <v>-1.2393259121649862</v>
      </c>
      <c r="J105" s="2">
        <f t="shared" si="19"/>
        <v>-2.453087073351758</v>
      </c>
      <c r="K105" s="2">
        <f t="shared" si="20"/>
        <v>-1.2393271097822367</v>
      </c>
      <c r="L105" s="2">
        <f t="shared" si="21"/>
        <v>-1.0447449797988781</v>
      </c>
      <c r="M105" s="2"/>
      <c r="O105" s="4">
        <f t="shared" ca="1" si="22"/>
        <v>0.77608438319318429</v>
      </c>
      <c r="P105" s="4">
        <f t="shared" ca="1" si="23"/>
        <v>0.75903564610356578</v>
      </c>
      <c r="Q105" s="4">
        <f t="shared" ca="1" si="24"/>
        <v>1900.2693329656302</v>
      </c>
      <c r="R105" s="4">
        <f t="shared" ca="1" si="25"/>
        <v>-23.400711034369806</v>
      </c>
      <c r="S105" s="4">
        <f t="shared" ca="1" si="26"/>
        <v>-11.622760762100935</v>
      </c>
    </row>
    <row r="106" spans="3:19" x14ac:dyDescent="0.2">
      <c r="C106" s="1">
        <v>42228</v>
      </c>
      <c r="D106" s="2">
        <v>2086.0500489999999</v>
      </c>
      <c r="E106" s="3">
        <f t="shared" si="14"/>
        <v>9.5005490957415957E-4</v>
      </c>
      <c r="F106" s="3">
        <f t="shared" si="15"/>
        <v>9.4960389304633061E-4</v>
      </c>
      <c r="G106" s="2">
        <f t="shared" si="16"/>
        <v>1925.4976361697031</v>
      </c>
      <c r="H106" s="2">
        <f t="shared" si="17"/>
        <v>171.00701947555353</v>
      </c>
      <c r="I106" s="2">
        <f t="shared" si="18"/>
        <v>0.9265042080440935</v>
      </c>
      <c r="J106" s="2">
        <f t="shared" si="19"/>
        <v>1.8275921697029396</v>
      </c>
      <c r="K106" s="2">
        <f t="shared" si="20"/>
        <v>0.92650470652399952</v>
      </c>
      <c r="L106" s="2">
        <f t="shared" si="21"/>
        <v>1.061369157754001</v>
      </c>
      <c r="M106" s="2"/>
      <c r="O106" s="4">
        <f t="shared" ca="1" si="22"/>
        <v>0.4250587260494868</v>
      </c>
      <c r="P106" s="4">
        <f t="shared" ca="1" si="23"/>
        <v>-0.18896856790136302</v>
      </c>
      <c r="Q106" s="4">
        <f t="shared" ca="1" si="24"/>
        <v>1928.9890785384741</v>
      </c>
      <c r="R106" s="4">
        <f t="shared" ca="1" si="25"/>
        <v>5.3190345384741704</v>
      </c>
      <c r="S106" s="4">
        <f t="shared" ca="1" si="26"/>
        <v>2.7040642376268478</v>
      </c>
    </row>
    <row r="107" spans="3:19" x14ac:dyDescent="0.2">
      <c r="C107" s="1">
        <v>42227</v>
      </c>
      <c r="D107" s="2">
        <v>2084.070068</v>
      </c>
      <c r="E107" s="3">
        <f t="shared" si="14"/>
        <v>-9.5571028381046339E-3</v>
      </c>
      <c r="F107" s="3">
        <f t="shared" si="15"/>
        <v>-9.6030650234122886E-3</v>
      </c>
      <c r="G107" s="2">
        <f t="shared" si="16"/>
        <v>1905.2853315629106</v>
      </c>
      <c r="H107" s="2">
        <f t="shared" si="17"/>
        <v>160.9120738855288</v>
      </c>
      <c r="I107" s="2">
        <f t="shared" si="18"/>
        <v>-9.1684413819806423</v>
      </c>
      <c r="J107" s="2">
        <f t="shared" si="19"/>
        <v>-18.384712437089267</v>
      </c>
      <c r="K107" s="2">
        <f t="shared" si="20"/>
        <v>-9.1689330699224794</v>
      </c>
      <c r="L107" s="2">
        <f t="shared" si="21"/>
        <v>-7.8298631273008539</v>
      </c>
      <c r="M107" s="2"/>
      <c r="O107" s="4">
        <f t="shared" ca="1" si="22"/>
        <v>0.46013121647151678</v>
      </c>
      <c r="P107" s="4">
        <f t="shared" ca="1" si="23"/>
        <v>-0.10010315203409559</v>
      </c>
      <c r="Q107" s="4">
        <f t="shared" ca="1" si="24"/>
        <v>1926.2969047103104</v>
      </c>
      <c r="R107" s="4">
        <f t="shared" ca="1" si="25"/>
        <v>2.6268607103104387</v>
      </c>
      <c r="S107" s="4">
        <f t="shared" ca="1" si="26"/>
        <v>1.3325515607533667</v>
      </c>
    </row>
    <row r="108" spans="3:19" x14ac:dyDescent="0.2">
      <c r="C108" s="1">
        <v>42226</v>
      </c>
      <c r="D108" s="2">
        <v>2104.179932</v>
      </c>
      <c r="E108" s="3">
        <f t="shared" si="14"/>
        <v>1.2808166814617401E-2</v>
      </c>
      <c r="F108" s="3">
        <f t="shared" si="15"/>
        <v>1.2726835975794628E-2</v>
      </c>
      <c r="G108" s="2">
        <f t="shared" si="16"/>
        <v>1948.3087308198344</v>
      </c>
      <c r="H108" s="2">
        <f t="shared" si="17"/>
        <v>182.79871445248455</v>
      </c>
      <c r="I108" s="2">
        <f t="shared" si="18"/>
        <v>12.718199184975106</v>
      </c>
      <c r="J108" s="2">
        <f t="shared" si="19"/>
        <v>24.638686819834394</v>
      </c>
      <c r="K108" s="2">
        <f t="shared" si="20"/>
        <v>12.719462035818706</v>
      </c>
      <c r="L108" s="2">
        <f t="shared" si="21"/>
        <v>14.308850033200144</v>
      </c>
      <c r="M108" s="2"/>
      <c r="O108" s="4">
        <f t="shared" ca="1" si="22"/>
        <v>0.5634517772126838</v>
      </c>
      <c r="P108" s="4">
        <f t="shared" ca="1" si="23"/>
        <v>0.15972660072420147</v>
      </c>
      <c r="Q108" s="4">
        <f t="shared" ca="1" si="24"/>
        <v>1918.4253738866782</v>
      </c>
      <c r="R108" s="4">
        <f t="shared" ca="1" si="25"/>
        <v>-5.2446701133217175</v>
      </c>
      <c r="S108" s="4">
        <f t="shared" ca="1" si="26"/>
        <v>-2.643706306458073</v>
      </c>
    </row>
    <row r="109" spans="3:19" x14ac:dyDescent="0.2">
      <c r="C109" s="1">
        <v>42223</v>
      </c>
      <c r="D109" s="2">
        <v>2077.570068</v>
      </c>
      <c r="E109" s="3">
        <f t="shared" si="14"/>
        <v>-2.8748828113334063E-3</v>
      </c>
      <c r="F109" s="3">
        <f t="shared" si="15"/>
        <v>-2.8790232242949477E-3</v>
      </c>
      <c r="G109" s="2">
        <f t="shared" si="16"/>
        <v>1918.1397180558274</v>
      </c>
      <c r="H109" s="2">
        <f t="shared" si="17"/>
        <v>167.29347377392833</v>
      </c>
      <c r="I109" s="2">
        <f t="shared" si="18"/>
        <v>-2.7870414935811141</v>
      </c>
      <c r="J109" s="2">
        <f t="shared" si="19"/>
        <v>-5.5303259441725769</v>
      </c>
      <c r="K109" s="2">
        <f t="shared" si="20"/>
        <v>-2.7870551511703083</v>
      </c>
      <c r="L109" s="2">
        <f t="shared" si="21"/>
        <v>-2.3553098989394812</v>
      </c>
      <c r="M109" s="2"/>
      <c r="O109" s="4">
        <f t="shared" ca="1" si="22"/>
        <v>0.9961170072035378</v>
      </c>
      <c r="P109" s="4">
        <f t="shared" ca="1" si="23"/>
        <v>2.6620781051041229</v>
      </c>
      <c r="Q109" s="4">
        <f t="shared" ca="1" si="24"/>
        <v>1842.6167461633829</v>
      </c>
      <c r="R109" s="4">
        <f t="shared" ca="1" si="25"/>
        <v>-81.053297836617048</v>
      </c>
      <c r="S109" s="4">
        <f t="shared" ca="1" si="26"/>
        <v>-38.355676190643862</v>
      </c>
    </row>
    <row r="110" spans="3:19" x14ac:dyDescent="0.2">
      <c r="C110" s="1">
        <v>42222</v>
      </c>
      <c r="D110" s="2">
        <v>2083.5600589999999</v>
      </c>
      <c r="E110" s="3">
        <f t="shared" si="14"/>
        <v>-7.7529851406475357E-3</v>
      </c>
      <c r="F110" s="3">
        <f t="shared" si="15"/>
        <v>-7.7831957796706099E-3</v>
      </c>
      <c r="G110" s="2">
        <f t="shared" si="16"/>
        <v>1908.7558587333592</v>
      </c>
      <c r="H110" s="2">
        <f t="shared" si="17"/>
        <v>162.62161815376487</v>
      </c>
      <c r="I110" s="2">
        <f t="shared" si="18"/>
        <v>-7.4588971137445697</v>
      </c>
      <c r="J110" s="2">
        <f t="shared" si="19"/>
        <v>-14.914185266640791</v>
      </c>
      <c r="K110" s="2">
        <f t="shared" si="20"/>
        <v>-7.4591610676041658</v>
      </c>
      <c r="L110" s="2">
        <f t="shared" si="21"/>
        <v>-6.3518006981398401</v>
      </c>
      <c r="M110" s="2"/>
      <c r="O110" s="4">
        <f t="shared" ca="1" si="22"/>
        <v>0.88952515820194478</v>
      </c>
      <c r="P110" s="4">
        <f t="shared" ca="1" si="23"/>
        <v>1.2240067436110831</v>
      </c>
      <c r="Q110" s="4">
        <f t="shared" ca="1" si="24"/>
        <v>1886.1830542108898</v>
      </c>
      <c r="R110" s="4">
        <f t="shared" ca="1" si="25"/>
        <v>-37.486989789110112</v>
      </c>
      <c r="S110" s="4">
        <f t="shared" ca="1" si="26"/>
        <v>-18.404237449416094</v>
      </c>
    </row>
    <row r="111" spans="3:19" x14ac:dyDescent="0.2">
      <c r="C111" s="1">
        <v>42221</v>
      </c>
      <c r="D111" s="2">
        <v>2099.8400879999999</v>
      </c>
      <c r="E111" s="3">
        <f t="shared" si="14"/>
        <v>3.1146789732108618E-3</v>
      </c>
      <c r="F111" s="3">
        <f t="shared" si="15"/>
        <v>3.1098384092550632E-3</v>
      </c>
      <c r="G111" s="2">
        <f t="shared" si="16"/>
        <v>1929.6616586374423</v>
      </c>
      <c r="H111" s="2">
        <f t="shared" si="17"/>
        <v>173.12812516892245</v>
      </c>
      <c r="I111" s="2">
        <f t="shared" si="18"/>
        <v>3.0476099014130114</v>
      </c>
      <c r="J111" s="2">
        <f t="shared" si="19"/>
        <v>5.9916146374424128</v>
      </c>
      <c r="K111" s="2">
        <f t="shared" si="20"/>
        <v>3.0476275764448189</v>
      </c>
      <c r="L111" s="2">
        <f t="shared" si="21"/>
        <v>3.4796138256391487</v>
      </c>
      <c r="M111" s="2"/>
      <c r="O111" s="4">
        <f t="shared" ca="1" si="22"/>
        <v>0.91644901467098794</v>
      </c>
      <c r="P111" s="4">
        <f t="shared" ca="1" si="23"/>
        <v>1.3815758589486156</v>
      </c>
      <c r="Q111" s="4">
        <f t="shared" ca="1" si="24"/>
        <v>1881.4095048576498</v>
      </c>
      <c r="R111" s="4">
        <f t="shared" ca="1" si="25"/>
        <v>-42.260539142350126</v>
      </c>
      <c r="S111" s="4">
        <f t="shared" ca="1" si="26"/>
        <v>-20.665692278307446</v>
      </c>
    </row>
    <row r="112" spans="3:19" x14ac:dyDescent="0.2">
      <c r="C112" s="1">
        <v>42220</v>
      </c>
      <c r="D112" s="2">
        <v>2093.320068</v>
      </c>
      <c r="E112" s="3">
        <f t="shared" si="14"/>
        <v>-2.2497049209078447E-3</v>
      </c>
      <c r="F112" s="3">
        <f t="shared" si="15"/>
        <v>-2.2522393088201631E-3</v>
      </c>
      <c r="G112" s="2">
        <f t="shared" si="16"/>
        <v>1919.3423540358101</v>
      </c>
      <c r="H112" s="2">
        <f t="shared" si="17"/>
        <v>167.89742673418789</v>
      </c>
      <c r="I112" s="2">
        <f t="shared" si="18"/>
        <v>-2.1830885333215519</v>
      </c>
      <c r="J112" s="2">
        <f t="shared" si="19"/>
        <v>-4.3276899641898101</v>
      </c>
      <c r="K112" s="2">
        <f t="shared" si="20"/>
        <v>-2.1830950901916308</v>
      </c>
      <c r="L112" s="2">
        <f t="shared" si="21"/>
        <v>-1.843119395690934</v>
      </c>
      <c r="M112" s="2"/>
      <c r="O112" s="4">
        <f t="shared" ca="1" si="22"/>
        <v>0.80289110722327273</v>
      </c>
      <c r="P112" s="4">
        <f t="shared" ca="1" si="23"/>
        <v>0.8519933453572951</v>
      </c>
      <c r="Q112" s="4">
        <f t="shared" ca="1" si="24"/>
        <v>1897.453183593967</v>
      </c>
      <c r="R112" s="4">
        <f t="shared" ca="1" si="25"/>
        <v>-26.216860406032993</v>
      </c>
      <c r="S112" s="4">
        <f t="shared" ca="1" si="26"/>
        <v>-12.991443174505536</v>
      </c>
    </row>
    <row r="113" spans="3:19" x14ac:dyDescent="0.2">
      <c r="C113" s="1">
        <v>42219</v>
      </c>
      <c r="D113" s="2">
        <v>2098.040039</v>
      </c>
      <c r="E113" s="3">
        <f t="shared" si="14"/>
        <v>-2.7568868152492132E-3</v>
      </c>
      <c r="F113" s="3">
        <f t="shared" si="15"/>
        <v>-2.7606940266825457E-3</v>
      </c>
      <c r="G113" s="2">
        <f t="shared" si="16"/>
        <v>1918.3667034188065</v>
      </c>
      <c r="H113" s="2">
        <f t="shared" si="17"/>
        <v>167.4073733612878</v>
      </c>
      <c r="I113" s="2">
        <f t="shared" si="18"/>
        <v>-2.6731419062216446</v>
      </c>
      <c r="J113" s="2">
        <f t="shared" si="19"/>
        <v>-5.3033405811934742</v>
      </c>
      <c r="K113" s="2">
        <f t="shared" si="20"/>
        <v>-2.6731539544395493</v>
      </c>
      <c r="L113" s="2">
        <f t="shared" si="21"/>
        <v>-2.2586391280417217</v>
      </c>
      <c r="M113" s="2"/>
      <c r="O113" s="4">
        <f t="shared" ca="1" si="22"/>
        <v>0.33749857718513887</v>
      </c>
      <c r="P113" s="4">
        <f t="shared" ca="1" si="23"/>
        <v>-0.41929964721317564</v>
      </c>
      <c r="Q113" s="4">
        <f t="shared" ca="1" si="24"/>
        <v>1935.966948359757</v>
      </c>
      <c r="R113" s="4">
        <f t="shared" ca="1" si="25"/>
        <v>12.296904359757036</v>
      </c>
      <c r="S113" s="4">
        <f t="shared" ca="1" si="26"/>
        <v>6.2863679415454339</v>
      </c>
    </row>
    <row r="114" spans="3:19" x14ac:dyDescent="0.2">
      <c r="C114" s="1">
        <v>42216</v>
      </c>
      <c r="D114" s="2">
        <v>2103.8400879999999</v>
      </c>
      <c r="E114" s="3">
        <f t="shared" si="14"/>
        <v>-2.2715200228432598E-3</v>
      </c>
      <c r="F114" s="3">
        <f t="shared" si="15"/>
        <v>-2.2741038379837917E-3</v>
      </c>
      <c r="G114" s="2">
        <f t="shared" si="16"/>
        <v>1919.3003889777101</v>
      </c>
      <c r="H114" s="2">
        <f t="shared" si="17"/>
        <v>167.87633237688988</v>
      </c>
      <c r="I114" s="2">
        <f t="shared" si="18"/>
        <v>-2.2041828906195633</v>
      </c>
      <c r="J114" s="2">
        <f t="shared" si="19"/>
        <v>-4.3696550222897743</v>
      </c>
      <c r="K114" s="2">
        <f t="shared" si="20"/>
        <v>-2.204189639652101</v>
      </c>
      <c r="L114" s="2">
        <f t="shared" si="21"/>
        <v>-1.8609918896000295</v>
      </c>
      <c r="M114" s="2"/>
      <c r="O114" s="4">
        <f t="shared" ca="1" si="22"/>
        <v>0.34851699549490434</v>
      </c>
      <c r="P114" s="4">
        <f t="shared" ca="1" si="23"/>
        <v>-0.38932737136349416</v>
      </c>
      <c r="Q114" s="4">
        <f t="shared" ca="1" si="24"/>
        <v>1935.0589395936299</v>
      </c>
      <c r="R114" s="4">
        <f t="shared" ca="1" si="25"/>
        <v>11.388895593629968</v>
      </c>
      <c r="S114" s="4">
        <f t="shared" ca="1" si="26"/>
        <v>5.8179702074459518</v>
      </c>
    </row>
    <row r="115" spans="3:19" x14ac:dyDescent="0.2">
      <c r="C115" s="1">
        <v>42215</v>
      </c>
      <c r="D115" s="2">
        <v>2108.6298830000001</v>
      </c>
      <c r="E115" s="3">
        <f t="shared" si="14"/>
        <v>2.836756572989134E-5</v>
      </c>
      <c r="F115" s="3">
        <f t="shared" si="15"/>
        <v>2.8367163378208414E-5</v>
      </c>
      <c r="G115" s="2">
        <f t="shared" si="16"/>
        <v>1923.724613836416</v>
      </c>
      <c r="H115" s="2">
        <f t="shared" si="17"/>
        <v>170.10814026539435</v>
      </c>
      <c r="I115" s="2">
        <f t="shared" si="18"/>
        <v>2.7624997884913682E-2</v>
      </c>
      <c r="J115" s="2">
        <f t="shared" si="19"/>
        <v>5.4569836415792966E-2</v>
      </c>
      <c r="K115" s="2">
        <f t="shared" si="20"/>
        <v>2.7624997898095516E-2</v>
      </c>
      <c r="L115" s="2">
        <f t="shared" si="21"/>
        <v>3.1691283359464251E-2</v>
      </c>
      <c r="M115" s="2"/>
      <c r="O115" s="4">
        <f t="shared" ca="1" si="22"/>
        <v>0.93026847649595679</v>
      </c>
      <c r="P115" s="4">
        <f t="shared" ca="1" si="23"/>
        <v>1.4777935437119087</v>
      </c>
      <c r="Q115" s="4">
        <f t="shared" ca="1" si="24"/>
        <v>1878.4945943697144</v>
      </c>
      <c r="R115" s="4">
        <f t="shared" ca="1" si="25"/>
        <v>-45.175449630285584</v>
      </c>
      <c r="S115" s="4">
        <f t="shared" ca="1" si="26"/>
        <v>-22.037499566300284</v>
      </c>
    </row>
    <row r="116" spans="3:19" x14ac:dyDescent="0.2">
      <c r="C116" s="1">
        <v>42214</v>
      </c>
      <c r="D116" s="2">
        <v>2108.570068</v>
      </c>
      <c r="E116" s="3">
        <f t="shared" si="14"/>
        <v>7.3187951749671522E-3</v>
      </c>
      <c r="F116" s="3">
        <f t="shared" si="15"/>
        <v>7.2921427569481731E-3</v>
      </c>
      <c r="G116" s="2">
        <f t="shared" si="16"/>
        <v>1937.748991036256</v>
      </c>
      <c r="H116" s="2">
        <f t="shared" si="17"/>
        <v>177.28787202521846</v>
      </c>
      <c r="I116" s="2">
        <f t="shared" si="18"/>
        <v>7.2073567577090216</v>
      </c>
      <c r="J116" s="2">
        <f t="shared" si="19"/>
        <v>14.078947036256048</v>
      </c>
      <c r="K116" s="2">
        <f t="shared" si="20"/>
        <v>7.207588830514787</v>
      </c>
      <c r="L116" s="2">
        <f t="shared" si="21"/>
        <v>8.1763100136076616</v>
      </c>
      <c r="M116" s="2"/>
      <c r="O116" s="4">
        <f t="shared" ca="1" si="22"/>
        <v>0.82767810376970075</v>
      </c>
      <c r="P116" s="4">
        <f t="shared" ca="1" si="23"/>
        <v>0.94502954526703464</v>
      </c>
      <c r="Q116" s="4">
        <f t="shared" ca="1" si="24"/>
        <v>1894.6346560484153</v>
      </c>
      <c r="R116" s="4">
        <f t="shared" ca="1" si="25"/>
        <v>-29.035387951584653</v>
      </c>
      <c r="S116" s="4">
        <f t="shared" ca="1" si="26"/>
        <v>-14.354816541285077</v>
      </c>
    </row>
    <row r="117" spans="3:19" x14ac:dyDescent="0.2">
      <c r="C117" s="1">
        <v>42213</v>
      </c>
      <c r="D117" s="2">
        <v>2093.25</v>
      </c>
      <c r="E117" s="3">
        <f t="shared" si="14"/>
        <v>1.2386154420169127E-2</v>
      </c>
      <c r="F117" s="3">
        <f t="shared" si="15"/>
        <v>1.2310073597852267E-2</v>
      </c>
      <c r="G117" s="2">
        <f t="shared" si="16"/>
        <v>1947.4969182184375</v>
      </c>
      <c r="H117" s="2">
        <f t="shared" si="17"/>
        <v>182.37187291408043</v>
      </c>
      <c r="I117" s="2">
        <f t="shared" si="18"/>
        <v>12.291357646570987</v>
      </c>
      <c r="J117" s="2">
        <f t="shared" si="19"/>
        <v>23.826874218437538</v>
      </c>
      <c r="K117" s="2">
        <f t="shared" si="20"/>
        <v>12.292498425734635</v>
      </c>
      <c r="L117" s="2">
        <f t="shared" si="21"/>
        <v>13.837392083619022</v>
      </c>
      <c r="M117" s="2"/>
      <c r="O117" s="4">
        <f t="shared" ca="1" si="22"/>
        <v>0.49070244946066055</v>
      </c>
      <c r="P117" s="4">
        <f t="shared" ca="1" si="23"/>
        <v>-2.3307613184839072E-2</v>
      </c>
      <c r="Q117" s="4">
        <f t="shared" ca="1" si="24"/>
        <v>1923.9703872705172</v>
      </c>
      <c r="R117" s="4">
        <f t="shared" ca="1" si="25"/>
        <v>0.30034327051725995</v>
      </c>
      <c r="S117" s="4">
        <f t="shared" ca="1" si="26"/>
        <v>0.15207342548897554</v>
      </c>
    </row>
    <row r="118" spans="3:19" x14ac:dyDescent="0.2">
      <c r="C118" s="1">
        <v>42212</v>
      </c>
      <c r="D118" s="2">
        <v>2067.639893</v>
      </c>
      <c r="E118" s="3">
        <f t="shared" si="14"/>
        <v>-5.7750148178547034E-3</v>
      </c>
      <c r="F118" s="3">
        <f t="shared" si="15"/>
        <v>-5.7917546957350231E-3</v>
      </c>
      <c r="G118" s="2">
        <f t="shared" si="16"/>
        <v>1912.5608209912368</v>
      </c>
      <c r="H118" s="2">
        <f t="shared" si="17"/>
        <v>164.50726589576709</v>
      </c>
      <c r="I118" s="2">
        <f t="shared" si="18"/>
        <v>-5.5732493717423495</v>
      </c>
      <c r="J118" s="2">
        <f t="shared" si="19"/>
        <v>-11.109223008763209</v>
      </c>
      <c r="K118" s="2">
        <f t="shared" si="20"/>
        <v>-5.5733591191482841</v>
      </c>
      <c r="L118" s="2">
        <f t="shared" si="21"/>
        <v>-4.7313057469311559</v>
      </c>
      <c r="M118" s="2"/>
      <c r="O118" s="4">
        <f t="shared" ca="1" si="22"/>
        <v>0.30943401636886081</v>
      </c>
      <c r="P118" s="4">
        <f t="shared" ca="1" si="23"/>
        <v>-0.49745527792336042</v>
      </c>
      <c r="Q118" s="4">
        <f t="shared" ca="1" si="24"/>
        <v>1938.3346697220904</v>
      </c>
      <c r="R118" s="4">
        <f t="shared" ca="1" si="25"/>
        <v>14.664625722090477</v>
      </c>
      <c r="S118" s="4">
        <f t="shared" ca="1" si="26"/>
        <v>7.5109179239851125</v>
      </c>
    </row>
    <row r="119" spans="3:19" x14ac:dyDescent="0.2">
      <c r="C119" s="1">
        <v>42209</v>
      </c>
      <c r="D119" s="2">
        <v>2079.6499020000001</v>
      </c>
      <c r="E119" s="3">
        <f t="shared" si="14"/>
        <v>-1.070332804458585E-2</v>
      </c>
      <c r="F119" s="3">
        <f t="shared" si="15"/>
        <v>-1.0761020698430391E-2</v>
      </c>
      <c r="G119" s="2">
        <f t="shared" si="16"/>
        <v>1903.0803724695252</v>
      </c>
      <c r="H119" s="2">
        <f t="shared" si="17"/>
        <v>159.83108079628335</v>
      </c>
      <c r="I119" s="2">
        <f t="shared" si="18"/>
        <v>-10.249434471226095</v>
      </c>
      <c r="J119" s="2">
        <f t="shared" si="19"/>
        <v>-20.589671530474895</v>
      </c>
      <c r="K119" s="2">
        <f t="shared" si="20"/>
        <v>-10.250122683922104</v>
      </c>
      <c r="L119" s="2">
        <f t="shared" si="21"/>
        <v>-8.7689329094138202</v>
      </c>
      <c r="M119" s="2"/>
      <c r="O119" s="4">
        <f t="shared" ca="1" si="22"/>
        <v>0.11432741904706933</v>
      </c>
      <c r="P119" s="4">
        <f t="shared" ca="1" si="23"/>
        <v>-1.2038311737465368</v>
      </c>
      <c r="Q119" s="4">
        <f t="shared" ca="1" si="24"/>
        <v>1959.7342961236732</v>
      </c>
      <c r="R119" s="4">
        <f t="shared" ca="1" si="25"/>
        <v>36.064252123673214</v>
      </c>
      <c r="S119" s="4">
        <f t="shared" ca="1" si="26"/>
        <v>18.785524232490239</v>
      </c>
    </row>
    <row r="120" spans="3:19" x14ac:dyDescent="0.2">
      <c r="C120" s="1">
        <v>42208</v>
      </c>
      <c r="D120" s="2">
        <v>2102.1499020000001</v>
      </c>
      <c r="E120" s="3">
        <f t="shared" si="14"/>
        <v>-5.6760402791911392E-3</v>
      </c>
      <c r="F120" s="3">
        <f t="shared" si="15"/>
        <v>-5.6922102123075392E-3</v>
      </c>
      <c r="G120" s="2">
        <f t="shared" si="16"/>
        <v>1912.7512153463827</v>
      </c>
      <c r="H120" s="2">
        <f t="shared" si="17"/>
        <v>164.60193261277414</v>
      </c>
      <c r="I120" s="2">
        <f t="shared" si="18"/>
        <v>-5.4785826547353054</v>
      </c>
      <c r="J120" s="2">
        <f t="shared" si="19"/>
        <v>-10.918828653617391</v>
      </c>
      <c r="K120" s="2">
        <f t="shared" si="20"/>
        <v>-5.4786868868060274</v>
      </c>
      <c r="L120" s="2">
        <f t="shared" si="21"/>
        <v>-4.6502187162743667</v>
      </c>
      <c r="M120" s="2"/>
      <c r="O120" s="4">
        <f t="shared" ca="1" si="22"/>
        <v>0.1630565812627699</v>
      </c>
      <c r="P120" s="4">
        <f t="shared" ca="1" si="23"/>
        <v>-0.98197297452968191</v>
      </c>
      <c r="Q120" s="4">
        <f t="shared" ca="1" si="24"/>
        <v>1953.0131118286797</v>
      </c>
      <c r="R120" s="4">
        <f t="shared" ca="1" si="25"/>
        <v>29.34306782867975</v>
      </c>
      <c r="S120" s="4">
        <f t="shared" ca="1" si="26"/>
        <v>15.204241313136025</v>
      </c>
    </row>
    <row r="121" spans="3:19" x14ac:dyDescent="0.2">
      <c r="C121" s="1">
        <v>42207</v>
      </c>
      <c r="D121" s="2">
        <v>2114.1499020000001</v>
      </c>
      <c r="E121" s="3">
        <f t="shared" si="14"/>
        <v>-2.3877100868345295E-3</v>
      </c>
      <c r="F121" s="3">
        <f t="shared" si="15"/>
        <v>-2.3905652122773076E-3</v>
      </c>
      <c r="G121" s="2">
        <f t="shared" si="16"/>
        <v>1919.0768776321997</v>
      </c>
      <c r="H121" s="2">
        <f t="shared" si="17"/>
        <v>167.7640053099849</v>
      </c>
      <c r="I121" s="2">
        <f t="shared" si="18"/>
        <v>-2.3165099575245449</v>
      </c>
      <c r="J121" s="2">
        <f t="shared" si="19"/>
        <v>-4.5931663678002232</v>
      </c>
      <c r="K121" s="2">
        <f t="shared" si="20"/>
        <v>-2.3165177933893477</v>
      </c>
      <c r="L121" s="2">
        <f t="shared" si="21"/>
        <v>-1.9561831115859434</v>
      </c>
      <c r="M121" s="2"/>
      <c r="O121" s="4">
        <f t="shared" ca="1" si="22"/>
        <v>0.37116819788700484</v>
      </c>
      <c r="P121" s="4">
        <f t="shared" ca="1" si="23"/>
        <v>-0.32876093067642526</v>
      </c>
      <c r="Q121" s="4">
        <f t="shared" ca="1" si="24"/>
        <v>1933.2240819621043</v>
      </c>
      <c r="R121" s="4">
        <f t="shared" ca="1" si="25"/>
        <v>9.554037962104303</v>
      </c>
      <c r="S121" s="4">
        <f t="shared" ca="1" si="26"/>
        <v>4.8735047302578547</v>
      </c>
    </row>
    <row r="122" spans="3:19" x14ac:dyDescent="0.2">
      <c r="C122" s="1">
        <v>42206</v>
      </c>
      <c r="D122" s="2">
        <v>2119.209961</v>
      </c>
      <c r="E122" s="3">
        <f t="shared" si="14"/>
        <v>-4.2616891933443934E-3</v>
      </c>
      <c r="F122" s="3">
        <f t="shared" si="15"/>
        <v>-4.2707960737403163E-3</v>
      </c>
      <c r="G122" s="2">
        <f t="shared" si="16"/>
        <v>1915.4719601619249</v>
      </c>
      <c r="H122" s="2">
        <f t="shared" si="17"/>
        <v>165.95796777901307</v>
      </c>
      <c r="I122" s="2">
        <f t="shared" si="18"/>
        <v>-4.122547488496366</v>
      </c>
      <c r="J122" s="2">
        <f t="shared" si="19"/>
        <v>-8.1980838380751333</v>
      </c>
      <c r="K122" s="2">
        <f t="shared" si="20"/>
        <v>-4.1225917942299413</v>
      </c>
      <c r="L122" s="2">
        <f t="shared" si="21"/>
        <v>-3.4914810105361482</v>
      </c>
      <c r="M122" s="2"/>
      <c r="O122" s="4">
        <f t="shared" ca="1" si="22"/>
        <v>0.92546112580958206</v>
      </c>
      <c r="P122" s="4">
        <f t="shared" ca="1" si="23"/>
        <v>1.4427967023927128</v>
      </c>
      <c r="Q122" s="4">
        <f t="shared" ca="1" si="24"/>
        <v>1879.554822123655</v>
      </c>
      <c r="R122" s="4">
        <f t="shared" ca="1" si="25"/>
        <v>-44.115221876345004</v>
      </c>
      <c r="S122" s="4">
        <f t="shared" ca="1" si="26"/>
        <v>-21.539338504293941</v>
      </c>
    </row>
    <row r="123" spans="3:19" x14ac:dyDescent="0.2">
      <c r="C123" s="1">
        <v>42205</v>
      </c>
      <c r="D123" s="2">
        <v>2128.280029</v>
      </c>
      <c r="E123" s="3">
        <f t="shared" si="14"/>
        <v>7.7123353389476929E-4</v>
      </c>
      <c r="F123" s="3">
        <f t="shared" si="15"/>
        <v>7.7093628613465076E-4</v>
      </c>
      <c r="G123" s="2">
        <f t="shared" si="16"/>
        <v>1925.1536428460815</v>
      </c>
      <c r="H123" s="2">
        <f t="shared" si="17"/>
        <v>170.83242325462811</v>
      </c>
      <c r="I123" s="2">
        <f t="shared" si="18"/>
        <v>0.75190798711867046</v>
      </c>
      <c r="J123" s="2">
        <f t="shared" si="19"/>
        <v>1.4835988460816263</v>
      </c>
      <c r="K123" s="2">
        <f t="shared" si="20"/>
        <v>0.75190825364050651</v>
      </c>
      <c r="L123" s="2">
        <f t="shared" si="21"/>
        <v>0.86159597519298359</v>
      </c>
      <c r="M123" s="2"/>
      <c r="O123" s="4">
        <f t="shared" ca="1" si="22"/>
        <v>0.21119492963412034</v>
      </c>
      <c r="P123" s="4">
        <f t="shared" ca="1" si="23"/>
        <v>-0.80228198776499504</v>
      </c>
      <c r="Q123" s="4">
        <f t="shared" ca="1" si="24"/>
        <v>1947.5693813627427</v>
      </c>
      <c r="R123" s="4">
        <f t="shared" ca="1" si="25"/>
        <v>23.899337362742699</v>
      </c>
      <c r="S123" s="4">
        <f t="shared" ca="1" si="26"/>
        <v>12.330587783843502</v>
      </c>
    </row>
    <row r="124" spans="3:19" x14ac:dyDescent="0.2">
      <c r="C124" s="1">
        <v>42202</v>
      </c>
      <c r="D124" s="2">
        <v>2126.639893</v>
      </c>
      <c r="E124" s="3">
        <f t="shared" si="14"/>
        <v>1.1061832220925132E-3</v>
      </c>
      <c r="F124" s="3">
        <f t="shared" si="15"/>
        <v>1.1055718522485251E-3</v>
      </c>
      <c r="G124" s="2">
        <f t="shared" si="16"/>
        <v>1925.7979755275146</v>
      </c>
      <c r="H124" s="2">
        <f t="shared" si="17"/>
        <v>171.15953750957783</v>
      </c>
      <c r="I124" s="2">
        <f t="shared" si="18"/>
        <v>1.0790222420683904</v>
      </c>
      <c r="J124" s="2">
        <f t="shared" si="19"/>
        <v>2.1279315275147663</v>
      </c>
      <c r="K124" s="2">
        <f t="shared" si="20"/>
        <v>1.0790230292590319</v>
      </c>
      <c r="L124" s="2">
        <f t="shared" si="21"/>
        <v>1.2357904189769613</v>
      </c>
      <c r="M124" s="2"/>
      <c r="O124" s="4">
        <f t="shared" ca="1" si="22"/>
        <v>0.33808479843602501</v>
      </c>
      <c r="P124" s="4">
        <f t="shared" ca="1" si="23"/>
        <v>-0.417695726978425</v>
      </c>
      <c r="Q124" s="4">
        <f t="shared" ca="1" si="24"/>
        <v>1935.9183576674575</v>
      </c>
      <c r="R124" s="4">
        <f t="shared" ca="1" si="25"/>
        <v>12.248313667457523</v>
      </c>
      <c r="S124" s="4">
        <f t="shared" ca="1" si="26"/>
        <v>6.2612853582602002</v>
      </c>
    </row>
    <row r="125" spans="3:19" x14ac:dyDescent="0.2">
      <c r="C125" s="1">
        <v>42201</v>
      </c>
      <c r="D125" s="2">
        <v>2124.290039</v>
      </c>
      <c r="E125" s="3">
        <f t="shared" si="14"/>
        <v>8.0146805473277783E-3</v>
      </c>
      <c r="F125" s="3">
        <f t="shared" si="15"/>
        <v>7.9827335781697557E-3</v>
      </c>
      <c r="G125" s="2">
        <f t="shared" si="16"/>
        <v>1939.0876448811239</v>
      </c>
      <c r="H125" s="2">
        <f t="shared" si="17"/>
        <v>177.98151182749507</v>
      </c>
      <c r="I125" s="2">
        <f t="shared" si="18"/>
        <v>7.9009965599856287</v>
      </c>
      <c r="J125" s="2">
        <f t="shared" si="19"/>
        <v>15.41760088112397</v>
      </c>
      <c r="K125" s="2">
        <f t="shared" si="20"/>
        <v>7.9013019187819014</v>
      </c>
      <c r="L125" s="2">
        <f t="shared" si="21"/>
        <v>8.9537295754798834</v>
      </c>
      <c r="M125" s="2"/>
      <c r="O125" s="4">
        <f t="shared" ca="1" si="22"/>
        <v>0.99713592732223022</v>
      </c>
      <c r="P125" s="4">
        <f t="shared" ca="1" si="23"/>
        <v>2.7629504956197595</v>
      </c>
      <c r="Q125" s="4">
        <f t="shared" ca="1" si="24"/>
        <v>1839.5608215713444</v>
      </c>
      <c r="R125" s="4">
        <f t="shared" ca="1" si="25"/>
        <v>-84.109222428655585</v>
      </c>
      <c r="S125" s="4">
        <f t="shared" ca="1" si="26"/>
        <v>-39.697157459327585</v>
      </c>
    </row>
    <row r="126" spans="3:19" x14ac:dyDescent="0.2">
      <c r="C126" s="1">
        <v>42200</v>
      </c>
      <c r="D126" s="2">
        <v>2107.3999020000001</v>
      </c>
      <c r="E126" s="3">
        <f t="shared" si="14"/>
        <v>-7.3498614761576409E-4</v>
      </c>
      <c r="F126" s="3">
        <f t="shared" si="15"/>
        <v>-7.35256382355035E-4</v>
      </c>
      <c r="G126" s="2">
        <f t="shared" si="16"/>
        <v>1922.2561731650765</v>
      </c>
      <c r="H126" s="2">
        <f t="shared" si="17"/>
        <v>169.36561397570165</v>
      </c>
      <c r="I126" s="2">
        <f t="shared" si="18"/>
        <v>-0.71490129180779149</v>
      </c>
      <c r="J126" s="2">
        <f t="shared" si="19"/>
        <v>-1.4138708349234075</v>
      </c>
      <c r="K126" s="2">
        <f t="shared" si="20"/>
        <v>-0.71490152147470865</v>
      </c>
      <c r="L126" s="2">
        <f t="shared" si="21"/>
        <v>-0.60215329203626311</v>
      </c>
      <c r="M126" s="2"/>
      <c r="O126" s="4">
        <f t="shared" ca="1" si="22"/>
        <v>2.9000093480856415E-2</v>
      </c>
      <c r="P126" s="4">
        <f t="shared" ca="1" si="23"/>
        <v>-1.8956965109087629</v>
      </c>
      <c r="Q126" s="4">
        <f t="shared" ca="1" si="24"/>
        <v>1980.6943257948765</v>
      </c>
      <c r="R126" s="4">
        <f t="shared" ca="1" si="25"/>
        <v>57.024281794876515</v>
      </c>
      <c r="S126" s="4">
        <f t="shared" ca="1" si="26"/>
        <v>30.189944964770856</v>
      </c>
    </row>
    <row r="127" spans="3:19" x14ac:dyDescent="0.2">
      <c r="C127" s="1">
        <v>42199</v>
      </c>
      <c r="D127" s="2">
        <v>2108.9499510000001</v>
      </c>
      <c r="E127" s="3">
        <f t="shared" si="14"/>
        <v>4.4531589653222462E-3</v>
      </c>
      <c r="F127" s="3">
        <f t="shared" si="15"/>
        <v>4.4432729912807552E-3</v>
      </c>
      <c r="G127" s="2">
        <f t="shared" si="16"/>
        <v>1932.2364525027604</v>
      </c>
      <c r="H127" s="2">
        <f t="shared" si="17"/>
        <v>174.4467354092817</v>
      </c>
      <c r="I127" s="2">
        <f t="shared" si="18"/>
        <v>4.3662201417722599</v>
      </c>
      <c r="J127" s="2">
        <f t="shared" si="19"/>
        <v>8.5664085027604404</v>
      </c>
      <c r="K127" s="2">
        <f t="shared" si="20"/>
        <v>4.3662719966119949</v>
      </c>
      <c r="L127" s="2">
        <f t="shared" si="21"/>
        <v>4.9749183260227881</v>
      </c>
      <c r="M127" s="2"/>
      <c r="O127" s="4">
        <f t="shared" ca="1" si="22"/>
        <v>0.91740943369874939</v>
      </c>
      <c r="P127" s="4">
        <f t="shared" ca="1" si="23"/>
        <v>1.3878552310630643</v>
      </c>
      <c r="Q127" s="4">
        <f t="shared" ca="1" si="24"/>
        <v>1881.2192715582403</v>
      </c>
      <c r="R127" s="4">
        <f t="shared" ca="1" si="25"/>
        <v>-42.450772441759682</v>
      </c>
      <c r="S127" s="4">
        <f t="shared" ca="1" si="26"/>
        <v>-20.75543035291307</v>
      </c>
    </row>
    <row r="128" spans="3:19" x14ac:dyDescent="0.2">
      <c r="C128" s="1">
        <v>42198</v>
      </c>
      <c r="D128" s="2">
        <v>2099.6000979999999</v>
      </c>
      <c r="E128" s="3">
        <f t="shared" si="14"/>
        <v>1.1066049496427928E-2</v>
      </c>
      <c r="F128" s="3">
        <f t="shared" si="15"/>
        <v>1.1005268761367724E-2</v>
      </c>
      <c r="G128" s="2">
        <f t="shared" si="16"/>
        <v>1944.9574719216996</v>
      </c>
      <c r="H128" s="2">
        <f t="shared" si="17"/>
        <v>181.04007448701589</v>
      </c>
      <c r="I128" s="2">
        <f t="shared" si="18"/>
        <v>10.959559219506446</v>
      </c>
      <c r="J128" s="2">
        <f t="shared" si="19"/>
        <v>21.287427921699688</v>
      </c>
      <c r="K128" s="2">
        <f t="shared" si="20"/>
        <v>10.960369809387213</v>
      </c>
      <c r="L128" s="2">
        <f t="shared" si="21"/>
        <v>12.362615587083639</v>
      </c>
      <c r="M128" s="2"/>
      <c r="O128" s="4">
        <f t="shared" ca="1" si="22"/>
        <v>0.83086206188703504</v>
      </c>
      <c r="P128" s="4">
        <f t="shared" ca="1" si="23"/>
        <v>0.95757744677618362</v>
      </c>
      <c r="Q128" s="4">
        <f t="shared" ca="1" si="24"/>
        <v>1894.2545179293099</v>
      </c>
      <c r="R128" s="4">
        <f t="shared" ca="1" si="25"/>
        <v>-29.415526070690021</v>
      </c>
      <c r="S128" s="4">
        <f t="shared" ca="1" si="26"/>
        <v>-14.53820133828733</v>
      </c>
    </row>
    <row r="129" spans="3:19" x14ac:dyDescent="0.2">
      <c r="C129" s="1">
        <v>42195</v>
      </c>
      <c r="D129" s="2">
        <v>2076.6201169999999</v>
      </c>
      <c r="E129" s="3">
        <f t="shared" si="14"/>
        <v>1.2338484808258832E-2</v>
      </c>
      <c r="F129" s="3">
        <f t="shared" si="15"/>
        <v>1.2262986096672604E-2</v>
      </c>
      <c r="G129" s="2">
        <f t="shared" si="16"/>
        <v>1947.4052176139965</v>
      </c>
      <c r="H129" s="2">
        <f t="shared" si="17"/>
        <v>182.32369101749589</v>
      </c>
      <c r="I129" s="2">
        <f t="shared" si="18"/>
        <v>12.243175749986449</v>
      </c>
      <c r="J129" s="2">
        <f t="shared" si="19"/>
        <v>23.735173613996597</v>
      </c>
      <c r="K129" s="2">
        <f t="shared" si="20"/>
        <v>12.244303261948415</v>
      </c>
      <c r="L129" s="2">
        <f t="shared" si="21"/>
        <v>13.784137208207312</v>
      </c>
      <c r="M129" s="2"/>
      <c r="O129" s="4">
        <f t="shared" ca="1" si="22"/>
        <v>0.38709962959744415</v>
      </c>
      <c r="P129" s="4">
        <f t="shared" ca="1" si="23"/>
        <v>-0.2868864587921941</v>
      </c>
      <c r="Q129" s="4">
        <f t="shared" ca="1" si="24"/>
        <v>1931.9554966955559</v>
      </c>
      <c r="R129" s="4">
        <f t="shared" ca="1" si="25"/>
        <v>8.2854526955559322</v>
      </c>
      <c r="S129" s="4">
        <f t="shared" ca="1" si="26"/>
        <v>4.222122093607191</v>
      </c>
    </row>
    <row r="130" spans="3:19" x14ac:dyDescent="0.2">
      <c r="C130" s="1">
        <v>42194</v>
      </c>
      <c r="D130" s="2">
        <v>2051.3100589999999</v>
      </c>
      <c r="E130" s="3">
        <f t="shared" si="14"/>
        <v>2.262202629546896E-3</v>
      </c>
      <c r="F130" s="3">
        <f t="shared" si="15"/>
        <v>2.259647701629263E-3</v>
      </c>
      <c r="G130" s="2">
        <f t="shared" si="16"/>
        <v>1928.0217754319174</v>
      </c>
      <c r="H130" s="2">
        <f t="shared" si="17"/>
        <v>172.29110648830397</v>
      </c>
      <c r="I130" s="2">
        <f t="shared" si="18"/>
        <v>2.2105912207945266</v>
      </c>
      <c r="J130" s="2">
        <f t="shared" si="19"/>
        <v>4.3517314319173934</v>
      </c>
      <c r="K130" s="2">
        <f t="shared" si="20"/>
        <v>2.210597976148803</v>
      </c>
      <c r="L130" s="2">
        <f t="shared" si="21"/>
        <v>2.5272561358238761</v>
      </c>
      <c r="M130" s="2"/>
      <c r="O130" s="4">
        <f t="shared" ca="1" si="22"/>
        <v>0.61444119781148665</v>
      </c>
      <c r="P130" s="4">
        <f t="shared" ca="1" si="23"/>
        <v>0.2909133323306537</v>
      </c>
      <c r="Q130" s="4">
        <f t="shared" ca="1" si="24"/>
        <v>1914.4510776772199</v>
      </c>
      <c r="R130" s="4">
        <f t="shared" ca="1" si="25"/>
        <v>-9.2189663227800338</v>
      </c>
      <c r="S130" s="4">
        <f t="shared" ca="1" si="26"/>
        <v>-4.6321345066408721</v>
      </c>
    </row>
    <row r="131" spans="3:19" x14ac:dyDescent="0.2">
      <c r="C131" s="1">
        <v>42193</v>
      </c>
      <c r="D131" s="2">
        <v>2046.6800539999999</v>
      </c>
      <c r="E131" s="3">
        <f t="shared" ref="E131:E194" si="27">(D131-D132)/D132</f>
        <v>-1.6652748966799316E-2</v>
      </c>
      <c r="F131" s="3">
        <f t="shared" ref="F131:F194" si="28">LN(D131/D132)</f>
        <v>-1.6792964823456991E-2</v>
      </c>
      <c r="G131" s="2">
        <f t="shared" ref="G131:G194" si="29">$D$2*(1+E131)</f>
        <v>1891.6356496623162</v>
      </c>
      <c r="H131" s="2">
        <f t="shared" ref="H131:H194" si="30">G131*EXP(-$B$9*$B$7)*_xlfn.NORM.S.DIST((LN(G131/$B$5)+($B$8-$B$9+0.5*$B$6^2)*$B$7)/($B$6*SQRT($B$7)),TRUE)-$B$5*EXP(-$B$8*$B$7)*_xlfn.NORM.S.DIST((LN(G131/$B$5)+($B$8-$B$9-0.5*$B$6^2)*$B$7)/($B$6*SQRT($B$7)),TRUE)</f>
        <v>154.28467004390234</v>
      </c>
      <c r="I131" s="2">
        <f t="shared" ref="I131:I194" si="31">H131-$B$10</f>
        <v>-15.795845223607103</v>
      </c>
      <c r="J131" s="2">
        <f t="shared" ref="J131:J194" si="32">E131*$B$4</f>
        <v>-32.034394337683793</v>
      </c>
      <c r="K131" s="2">
        <f t="shared" ref="K131:K194" si="33">$B$12*J131+0.5*$B$13*J131^2</f>
        <v>-15.798388762809164</v>
      </c>
      <c r="L131" s="2">
        <f t="shared" ref="L131:L194" si="34">linearinterp(A$22:A$28,B$22:B$28,7,1+E131)-$B$10</f>
        <v>-13.643124628048724</v>
      </c>
      <c r="M131" s="2"/>
      <c r="O131" s="4">
        <f t="shared" ref="O131:O194" ca="1" si="35">RAND()</f>
        <v>0.32708650085410829</v>
      </c>
      <c r="P131" s="4">
        <f t="shared" ref="P131:P194" ca="1" si="36">NORMSINV(O131)</f>
        <v>-0.44797255794329571</v>
      </c>
      <c r="Q131" s="4">
        <f t="shared" ref="Q131:Q194" ca="1" si="37">$B$4*(1+$B$17-$B$6/SQRT(252)*P131)</f>
        <v>1936.8355929172774</v>
      </c>
      <c r="R131" s="4">
        <f t="shared" ref="R131:R194" ca="1" si="38">Q131-$B$4</f>
        <v>13.16554891727742</v>
      </c>
      <c r="S131" s="4">
        <f t="shared" ref="S131:S194" ca="1" si="39">R131*$B$12+0.5*$B$13*R131^2</f>
        <v>6.7350878093102384</v>
      </c>
    </row>
    <row r="132" spans="3:19" x14ac:dyDescent="0.2">
      <c r="C132" s="1">
        <v>42192</v>
      </c>
      <c r="D132" s="2">
        <v>2081.3400879999999</v>
      </c>
      <c r="E132" s="3">
        <f t="shared" si="27"/>
        <v>6.0809750474633151E-3</v>
      </c>
      <c r="F132" s="3">
        <f t="shared" si="28"/>
        <v>6.0625605331265549E-3</v>
      </c>
      <c r="G132" s="2">
        <f t="shared" si="29"/>
        <v>1935.3678335371167</v>
      </c>
      <c r="H132" s="2">
        <f t="shared" si="30"/>
        <v>176.05762091138467</v>
      </c>
      <c r="I132" s="2">
        <f t="shared" si="31"/>
        <v>5.9771056438752339</v>
      </c>
      <c r="J132" s="2">
        <f t="shared" si="32"/>
        <v>11.697789537116657</v>
      </c>
      <c r="K132" s="2">
        <f t="shared" si="33"/>
        <v>5.9772382951432323</v>
      </c>
      <c r="L132" s="2">
        <f t="shared" si="34"/>
        <v>6.7934593036750073</v>
      </c>
      <c r="M132" s="2"/>
      <c r="O132" s="4">
        <f t="shared" ca="1" si="35"/>
        <v>7.4705681692636916E-2</v>
      </c>
      <c r="P132" s="4">
        <f t="shared" ca="1" si="36"/>
        <v>-1.4416137638601119</v>
      </c>
      <c r="Q132" s="4">
        <f t="shared" ca="1" si="37"/>
        <v>1966.9379091338556</v>
      </c>
      <c r="R132" s="4">
        <f t="shared" ca="1" si="38"/>
        <v>43.267865133855594</v>
      </c>
      <c r="S132" s="4">
        <f t="shared" ca="1" si="39"/>
        <v>22.664694751831245</v>
      </c>
    </row>
    <row r="133" spans="3:19" x14ac:dyDescent="0.2">
      <c r="C133" s="1">
        <v>42191</v>
      </c>
      <c r="D133" s="2">
        <v>2068.76001</v>
      </c>
      <c r="E133" s="3">
        <f t="shared" si="27"/>
        <v>-3.8617566078299609E-3</v>
      </c>
      <c r="F133" s="3">
        <f t="shared" si="28"/>
        <v>-3.8692324426552824E-3</v>
      </c>
      <c r="G133" s="2">
        <f t="shared" si="29"/>
        <v>1916.2412984962984</v>
      </c>
      <c r="H133" s="2">
        <f t="shared" si="30"/>
        <v>166.34250916345547</v>
      </c>
      <c r="I133" s="2">
        <f t="shared" si="31"/>
        <v>-3.7380061040539658</v>
      </c>
      <c r="J133" s="2">
        <f t="shared" si="32"/>
        <v>-7.4287455037015517</v>
      </c>
      <c r="K133" s="2">
        <f t="shared" si="33"/>
        <v>-3.7380391098025432</v>
      </c>
      <c r="L133" s="2">
        <f t="shared" si="34"/>
        <v>-3.1638275932013187</v>
      </c>
      <c r="M133" s="2"/>
      <c r="O133" s="4">
        <f t="shared" ca="1" si="35"/>
        <v>0.33480794279020265</v>
      </c>
      <c r="P133" s="4">
        <f t="shared" ca="1" si="36"/>
        <v>-0.42667524226425024</v>
      </c>
      <c r="Q133" s="4">
        <f t="shared" ca="1" si="37"/>
        <v>1936.1903916843603</v>
      </c>
      <c r="R133" s="4">
        <f t="shared" ca="1" si="38"/>
        <v>12.520347684360331</v>
      </c>
      <c r="S133" s="4">
        <f t="shared" ca="1" si="39"/>
        <v>6.4017344414066306</v>
      </c>
    </row>
    <row r="134" spans="3:19" x14ac:dyDescent="0.2">
      <c r="C134" s="1">
        <v>42187</v>
      </c>
      <c r="D134" s="2">
        <v>2076.780029</v>
      </c>
      <c r="E134" s="3">
        <f t="shared" si="27"/>
        <v>-3.0802294385623452E-4</v>
      </c>
      <c r="F134" s="3">
        <f t="shared" si="28"/>
        <v>-3.0807039266700365E-4</v>
      </c>
      <c r="G134" s="2">
        <f t="shared" si="29"/>
        <v>1923.0775094900391</v>
      </c>
      <c r="H134" s="2">
        <f t="shared" si="30"/>
        <v>169.78071143251668</v>
      </c>
      <c r="I134" s="2">
        <f t="shared" si="31"/>
        <v>-0.29980383499275831</v>
      </c>
      <c r="J134" s="2">
        <f t="shared" si="32"/>
        <v>-0.59253450996093215</v>
      </c>
      <c r="K134" s="2">
        <f t="shared" si="33"/>
        <v>-0.29980385191855258</v>
      </c>
      <c r="L134" s="2">
        <f t="shared" si="34"/>
        <v>-0.25235445629473929</v>
      </c>
      <c r="M134" s="2"/>
      <c r="O134" s="4">
        <f t="shared" ca="1" si="35"/>
        <v>0.91579693543019647</v>
      </c>
      <c r="P134" s="4">
        <f t="shared" ca="1" si="36"/>
        <v>1.3773433157291302</v>
      </c>
      <c r="Q134" s="4">
        <f t="shared" ca="1" si="37"/>
        <v>1881.5377295665633</v>
      </c>
      <c r="R134" s="4">
        <f t="shared" ca="1" si="38"/>
        <v>-42.132314433436704</v>
      </c>
      <c r="S134" s="4">
        <f t="shared" ca="1" si="39"/>
        <v>-20.605188672192693</v>
      </c>
    </row>
    <row r="135" spans="3:19" x14ac:dyDescent="0.2">
      <c r="C135" s="1">
        <v>42186</v>
      </c>
      <c r="D135" s="2">
        <v>2077.419922</v>
      </c>
      <c r="E135" s="3">
        <f t="shared" si="27"/>
        <v>6.9360403748921539E-3</v>
      </c>
      <c r="F135" s="3">
        <f t="shared" si="28"/>
        <v>6.9120966992928731E-3</v>
      </c>
      <c r="G135" s="2">
        <f t="shared" si="29"/>
        <v>1937.0126970931544</v>
      </c>
      <c r="H135" s="2">
        <f t="shared" si="30"/>
        <v>176.90696869762928</v>
      </c>
      <c r="I135" s="2">
        <f t="shared" si="31"/>
        <v>6.826453430119841</v>
      </c>
      <c r="J135" s="2">
        <f t="shared" si="32"/>
        <v>13.342653093154565</v>
      </c>
      <c r="K135" s="2">
        <f t="shared" si="33"/>
        <v>6.8266507511541814</v>
      </c>
      <c r="L135" s="2">
        <f t="shared" si="34"/>
        <v>7.7487093184394666</v>
      </c>
      <c r="M135" s="2"/>
      <c r="O135" s="4">
        <f t="shared" ca="1" si="35"/>
        <v>0.57519584013035252</v>
      </c>
      <c r="P135" s="4">
        <f t="shared" ca="1" si="36"/>
        <v>0.18961820596600321</v>
      </c>
      <c r="Q135" s="4">
        <f t="shared" ca="1" si="37"/>
        <v>1917.519809033035</v>
      </c>
      <c r="R135" s="4">
        <f t="shared" ca="1" si="38"/>
        <v>-6.1502349669649448</v>
      </c>
      <c r="S135" s="4">
        <f t="shared" ca="1" si="39"/>
        <v>-3.0979116289667679</v>
      </c>
    </row>
    <row r="136" spans="3:19" x14ac:dyDescent="0.2">
      <c r="C136" s="1">
        <v>42185</v>
      </c>
      <c r="D136" s="2">
        <v>2063.110107</v>
      </c>
      <c r="E136" s="3">
        <f t="shared" si="27"/>
        <v>2.6584894755439801E-3</v>
      </c>
      <c r="F136" s="3">
        <f t="shared" si="28"/>
        <v>2.6549619429538794E-3</v>
      </c>
      <c r="G136" s="2">
        <f t="shared" si="29"/>
        <v>1928.7841005663931</v>
      </c>
      <c r="H136" s="2">
        <f t="shared" si="30"/>
        <v>172.67993613219119</v>
      </c>
      <c r="I136" s="2">
        <f t="shared" si="31"/>
        <v>2.5994208646817469</v>
      </c>
      <c r="J136" s="2">
        <f t="shared" si="32"/>
        <v>5.1140565663932254</v>
      </c>
      <c r="K136" s="2">
        <f t="shared" si="33"/>
        <v>2.5994318409567772</v>
      </c>
      <c r="L136" s="2">
        <f t="shared" si="34"/>
        <v>2.9699743742395128</v>
      </c>
      <c r="M136" s="2"/>
      <c r="O136" s="4">
        <f t="shared" ca="1" si="35"/>
        <v>0.60502585995311742</v>
      </c>
      <c r="P136" s="4">
        <f t="shared" ca="1" si="36"/>
        <v>0.26637777494197873</v>
      </c>
      <c r="Q136" s="4">
        <f t="shared" ca="1" si="37"/>
        <v>1915.1943812989555</v>
      </c>
      <c r="R136" s="4">
        <f t="shared" ca="1" si="38"/>
        <v>-8.4756627010444845</v>
      </c>
      <c r="S136" s="4">
        <f t="shared" ca="1" si="39"/>
        <v>-4.2612209033281561</v>
      </c>
    </row>
    <row r="137" spans="3:19" x14ac:dyDescent="0.2">
      <c r="C137" s="1">
        <v>42184</v>
      </c>
      <c r="D137" s="2">
        <v>2057.639893</v>
      </c>
      <c r="E137" s="3">
        <f t="shared" si="27"/>
        <v>-2.0866193609611249E-2</v>
      </c>
      <c r="F137" s="3">
        <f t="shared" si="28"/>
        <v>-2.1086969192055022E-2</v>
      </c>
      <c r="G137" s="2">
        <f t="shared" si="29"/>
        <v>1883.5303724208866</v>
      </c>
      <c r="H137" s="2">
        <f t="shared" si="30"/>
        <v>150.42222310724242</v>
      </c>
      <c r="I137" s="2">
        <f t="shared" si="31"/>
        <v>-19.658292160267024</v>
      </c>
      <c r="J137" s="2">
        <f t="shared" si="32"/>
        <v>-40.13967157911339</v>
      </c>
      <c r="K137" s="2">
        <f t="shared" si="33"/>
        <v>-19.663227735172086</v>
      </c>
      <c r="L137" s="2">
        <f t="shared" si="34"/>
        <v>-17.095080247500789</v>
      </c>
      <c r="M137" s="2"/>
      <c r="O137" s="4">
        <f t="shared" ca="1" si="35"/>
        <v>0.1660080828533177</v>
      </c>
      <c r="P137" s="4">
        <f t="shared" ca="1" si="36"/>
        <v>-0.97006084259720216</v>
      </c>
      <c r="Q137" s="4">
        <f t="shared" ca="1" si="37"/>
        <v>1952.6522343206721</v>
      </c>
      <c r="R137" s="4">
        <f t="shared" ca="1" si="38"/>
        <v>28.982190320672089</v>
      </c>
      <c r="S137" s="4">
        <f t="shared" ca="1" si="39"/>
        <v>15.012993479296686</v>
      </c>
    </row>
    <row r="138" spans="3:19" x14ac:dyDescent="0.2">
      <c r="C138" s="1">
        <v>42181</v>
      </c>
      <c r="D138" s="2">
        <v>2101.48999</v>
      </c>
      <c r="E138" s="3">
        <f t="shared" si="27"/>
        <v>-3.9007994871601183E-4</v>
      </c>
      <c r="F138" s="3">
        <f t="shared" si="28"/>
        <v>-3.9015604969013028E-4</v>
      </c>
      <c r="G138" s="2">
        <f t="shared" si="29"/>
        <v>1922.9196588878899</v>
      </c>
      <c r="H138" s="2">
        <f t="shared" si="30"/>
        <v>169.70089221982732</v>
      </c>
      <c r="I138" s="2">
        <f t="shared" si="31"/>
        <v>-0.37962304768211652</v>
      </c>
      <c r="J138" s="2">
        <f t="shared" si="32"/>
        <v>-0.75038511211004821</v>
      </c>
      <c r="K138" s="2">
        <f t="shared" si="33"/>
        <v>-0.37962308205055206</v>
      </c>
      <c r="L138" s="2">
        <f t="shared" si="34"/>
        <v>-0.3195814316210317</v>
      </c>
      <c r="M138" s="2"/>
      <c r="O138" s="4">
        <f t="shared" ca="1" si="35"/>
        <v>0.47279033639624146</v>
      </c>
      <c r="P138" s="4">
        <f t="shared" ca="1" si="36"/>
        <v>-6.8257477990510143E-2</v>
      </c>
      <c r="Q138" s="4">
        <f t="shared" ca="1" si="37"/>
        <v>1925.3321414290763</v>
      </c>
      <c r="R138" s="4">
        <f t="shared" ca="1" si="38"/>
        <v>1.6620974290763115</v>
      </c>
      <c r="S138" s="4">
        <f t="shared" ca="1" si="39"/>
        <v>0.84249455504692161</v>
      </c>
    </row>
    <row r="139" spans="3:19" x14ac:dyDescent="0.2">
      <c r="C139" s="1">
        <v>42180</v>
      </c>
      <c r="D139" s="2">
        <v>2102.3100589999999</v>
      </c>
      <c r="E139" s="3">
        <f t="shared" si="27"/>
        <v>-2.9735740489150383E-3</v>
      </c>
      <c r="F139" s="3">
        <f t="shared" si="28"/>
        <v>-2.9780039040750291E-3</v>
      </c>
      <c r="G139" s="2">
        <f t="shared" si="29"/>
        <v>1917.9498686784862</v>
      </c>
      <c r="H139" s="2">
        <f t="shared" si="30"/>
        <v>167.19824106993417</v>
      </c>
      <c r="I139" s="2">
        <f t="shared" si="31"/>
        <v>-2.8822741975752706</v>
      </c>
      <c r="J139" s="2">
        <f t="shared" si="32"/>
        <v>-5.7201753215136497</v>
      </c>
      <c r="K139" s="2">
        <f t="shared" si="33"/>
        <v>-2.8822893061091284</v>
      </c>
      <c r="L139" s="2">
        <f t="shared" si="34"/>
        <v>-2.4361648290598907</v>
      </c>
      <c r="M139" s="2"/>
      <c r="O139" s="4">
        <f t="shared" ca="1" si="35"/>
        <v>0.83965000418320157</v>
      </c>
      <c r="P139" s="4">
        <f t="shared" ca="1" si="36"/>
        <v>0.99302044397641642</v>
      </c>
      <c r="Q139" s="4">
        <f t="shared" ca="1" si="37"/>
        <v>1893.1807739027622</v>
      </c>
      <c r="R139" s="4">
        <f t="shared" ca="1" si="38"/>
        <v>-30.48927009723775</v>
      </c>
      <c r="S139" s="4">
        <f t="shared" ca="1" si="39"/>
        <v>-15.055557405242567</v>
      </c>
    </row>
    <row r="140" spans="3:19" x14ac:dyDescent="0.2">
      <c r="C140" s="1">
        <v>42179</v>
      </c>
      <c r="D140" s="2">
        <v>2108.580078</v>
      </c>
      <c r="E140" s="3">
        <f t="shared" si="27"/>
        <v>-7.3532969401711923E-3</v>
      </c>
      <c r="F140" s="3">
        <f t="shared" si="28"/>
        <v>-7.3804656966740398E-3</v>
      </c>
      <c r="G140" s="2">
        <f t="shared" si="29"/>
        <v>1909.5247269515557</v>
      </c>
      <c r="H140" s="2">
        <f t="shared" si="30"/>
        <v>163.00169317946916</v>
      </c>
      <c r="I140" s="2">
        <f t="shared" si="31"/>
        <v>-7.0788220880402832</v>
      </c>
      <c r="J140" s="2">
        <f t="shared" si="32"/>
        <v>-14.145317048444182</v>
      </c>
      <c r="K140" s="2">
        <f t="shared" si="33"/>
        <v>-7.0790475628680953</v>
      </c>
      <c r="L140" s="2">
        <f t="shared" si="34"/>
        <v>-6.0243474985311423</v>
      </c>
      <c r="M140" s="2"/>
      <c r="O140" s="4">
        <f t="shared" ca="1" si="35"/>
        <v>0.17633656457888347</v>
      </c>
      <c r="P140" s="4">
        <f t="shared" ca="1" si="36"/>
        <v>-0.92941679128950483</v>
      </c>
      <c r="Q140" s="4">
        <f t="shared" ca="1" si="37"/>
        <v>1951.4209245908603</v>
      </c>
      <c r="R140" s="4">
        <f t="shared" ca="1" si="38"/>
        <v>27.750880590860334</v>
      </c>
      <c r="S140" s="4">
        <f t="shared" ca="1" si="39"/>
        <v>14.361256212910433</v>
      </c>
    </row>
    <row r="141" spans="3:19" x14ac:dyDescent="0.2">
      <c r="C141" s="1">
        <v>42178</v>
      </c>
      <c r="D141" s="2">
        <v>2124.1999510000001</v>
      </c>
      <c r="E141" s="3">
        <f t="shared" si="27"/>
        <v>6.3586826091578631E-4</v>
      </c>
      <c r="F141" s="3">
        <f t="shared" si="28"/>
        <v>6.356661823521784E-4</v>
      </c>
      <c r="G141" s="2">
        <f t="shared" si="29"/>
        <v>1924.893244725454</v>
      </c>
      <c r="H141" s="2">
        <f t="shared" si="30"/>
        <v>170.70032037167687</v>
      </c>
      <c r="I141" s="2">
        <f t="shared" si="31"/>
        <v>0.61980510416742618</v>
      </c>
      <c r="J141" s="2">
        <f t="shared" si="32"/>
        <v>1.2232007254540742</v>
      </c>
      <c r="K141" s="2">
        <f t="shared" si="33"/>
        <v>0.6198052534832349</v>
      </c>
      <c r="L141" s="2">
        <f t="shared" si="34"/>
        <v>0.71037047830543543</v>
      </c>
      <c r="M141" s="2"/>
      <c r="O141" s="4">
        <f t="shared" ca="1" si="35"/>
        <v>0.42047901018079836</v>
      </c>
      <c r="P141" s="4">
        <f t="shared" ca="1" si="36"/>
        <v>-0.20066820800623994</v>
      </c>
      <c r="Q141" s="4">
        <f t="shared" ca="1" si="37"/>
        <v>1929.3435186159993</v>
      </c>
      <c r="R141" s="4">
        <f t="shared" ca="1" si="38"/>
        <v>5.6734746159993392</v>
      </c>
      <c r="S141" s="4">
        <f t="shared" ca="1" si="39"/>
        <v>2.8850712939127892</v>
      </c>
    </row>
    <row r="142" spans="3:19" x14ac:dyDescent="0.2">
      <c r="C142" s="1">
        <v>42177</v>
      </c>
      <c r="D142" s="2">
        <v>2122.8500979999999</v>
      </c>
      <c r="E142" s="3">
        <f t="shared" si="27"/>
        <v>6.0948668292022815E-3</v>
      </c>
      <c r="F142" s="3">
        <f t="shared" si="28"/>
        <v>6.0763682545493542E-3</v>
      </c>
      <c r="G142" s="2">
        <f t="shared" si="29"/>
        <v>1935.3945567415055</v>
      </c>
      <c r="H142" s="2">
        <f t="shared" si="30"/>
        <v>176.07140233511507</v>
      </c>
      <c r="I142" s="2">
        <f t="shared" si="31"/>
        <v>5.9908870676056267</v>
      </c>
      <c r="J142" s="2">
        <f t="shared" si="32"/>
        <v>11.724512741505693</v>
      </c>
      <c r="K142" s="2">
        <f t="shared" si="33"/>
        <v>5.99102063530714</v>
      </c>
      <c r="L142" s="2">
        <f t="shared" si="34"/>
        <v>6.8089787315895194</v>
      </c>
      <c r="M142" s="2"/>
      <c r="O142" s="4">
        <f t="shared" ca="1" si="35"/>
        <v>0.78808481207930792</v>
      </c>
      <c r="P142" s="4">
        <f t="shared" ca="1" si="36"/>
        <v>0.79979362738839654</v>
      </c>
      <c r="Q142" s="4">
        <f t="shared" ca="1" si="37"/>
        <v>1899.0345717322198</v>
      </c>
      <c r="R142" s="4">
        <f t="shared" ca="1" si="38"/>
        <v>-24.635472267780187</v>
      </c>
      <c r="S142" s="4">
        <f t="shared" ca="1" si="39"/>
        <v>-12.223664407526387</v>
      </c>
    </row>
    <row r="143" spans="3:19" x14ac:dyDescent="0.2">
      <c r="C143" s="1">
        <v>42174</v>
      </c>
      <c r="D143" s="2">
        <v>2109.98999</v>
      </c>
      <c r="E143" s="3">
        <f t="shared" si="27"/>
        <v>-5.3035017504077884E-3</v>
      </c>
      <c r="F143" s="3">
        <f t="shared" si="28"/>
        <v>-5.3176152385387195E-3</v>
      </c>
      <c r="G143" s="2">
        <f t="shared" si="29"/>
        <v>1913.4678565544389</v>
      </c>
      <c r="H143" s="2">
        <f t="shared" si="30"/>
        <v>164.95852282430144</v>
      </c>
      <c r="I143" s="2">
        <f t="shared" si="31"/>
        <v>-5.1219924432080006</v>
      </c>
      <c r="J143" s="2">
        <f t="shared" si="32"/>
        <v>-10.202187445561027</v>
      </c>
      <c r="K143" s="2">
        <f t="shared" si="33"/>
        <v>-5.1220775651994037</v>
      </c>
      <c r="L143" s="2">
        <f t="shared" si="34"/>
        <v>-4.3450084721835083</v>
      </c>
      <c r="M143" s="2"/>
      <c r="O143" s="4">
        <f t="shared" ca="1" si="35"/>
        <v>0.58418167404065813</v>
      </c>
      <c r="P143" s="4">
        <f t="shared" ca="1" si="36"/>
        <v>0.2126029735409001</v>
      </c>
      <c r="Q143" s="4">
        <f t="shared" ca="1" si="37"/>
        <v>1916.8234865198542</v>
      </c>
      <c r="R143" s="4">
        <f t="shared" ca="1" si="38"/>
        <v>-6.8465574801457478</v>
      </c>
      <c r="S143" s="4">
        <f t="shared" ca="1" si="39"/>
        <v>-3.4467129456757424</v>
      </c>
    </row>
    <row r="144" spans="3:19" x14ac:dyDescent="0.2">
      <c r="C144" s="1">
        <v>42173</v>
      </c>
      <c r="D144" s="2">
        <v>2121.23999</v>
      </c>
      <c r="E144" s="3">
        <f t="shared" si="27"/>
        <v>9.9027106626515746E-3</v>
      </c>
      <c r="F144" s="3">
        <f t="shared" si="28"/>
        <v>9.8540001369309162E-3</v>
      </c>
      <c r="G144" s="2">
        <f t="shared" si="29"/>
        <v>1942.719591856142</v>
      </c>
      <c r="H144" s="2">
        <f t="shared" si="30"/>
        <v>179.87072338840869</v>
      </c>
      <c r="I144" s="2">
        <f t="shared" si="31"/>
        <v>9.7902081208992513</v>
      </c>
      <c r="J144" s="2">
        <f t="shared" si="32"/>
        <v>19.049547856142222</v>
      </c>
      <c r="K144" s="2">
        <f t="shared" si="33"/>
        <v>9.7907871406218554</v>
      </c>
      <c r="L144" s="2">
        <f t="shared" si="34"/>
        <v>11.0629728551271</v>
      </c>
      <c r="M144" s="2"/>
      <c r="O144" s="4">
        <f t="shared" ca="1" si="35"/>
        <v>0.86325197071619264</v>
      </c>
      <c r="P144" s="4">
        <f t="shared" ca="1" si="36"/>
        <v>1.0950469718245066</v>
      </c>
      <c r="Q144" s="4">
        <f t="shared" ca="1" si="37"/>
        <v>1890.0898847714798</v>
      </c>
      <c r="R144" s="4">
        <f t="shared" ca="1" si="38"/>
        <v>-33.580159228520188</v>
      </c>
      <c r="S144" s="4">
        <f t="shared" ca="1" si="39"/>
        <v>-16.539583227969484</v>
      </c>
    </row>
    <row r="145" spans="3:19" x14ac:dyDescent="0.2">
      <c r="C145" s="1">
        <v>42172</v>
      </c>
      <c r="D145" s="2">
        <v>2100.4399410000001</v>
      </c>
      <c r="E145" s="3">
        <f t="shared" si="27"/>
        <v>1.9796411387709269E-3</v>
      </c>
      <c r="F145" s="3">
        <f t="shared" si="28"/>
        <v>1.9776842314756056E-3</v>
      </c>
      <c r="G145" s="2">
        <f t="shared" si="29"/>
        <v>1927.4782203565237</v>
      </c>
      <c r="H145" s="2">
        <f t="shared" si="30"/>
        <v>172.01415031881959</v>
      </c>
      <c r="I145" s="2">
        <f t="shared" si="31"/>
        <v>1.9336350513101479</v>
      </c>
      <c r="J145" s="2">
        <f t="shared" si="32"/>
        <v>3.808176356523679</v>
      </c>
      <c r="K145" s="2">
        <f t="shared" si="33"/>
        <v>1.9336395746406296</v>
      </c>
      <c r="L145" s="2">
        <f t="shared" si="34"/>
        <v>2.2115880113225046</v>
      </c>
      <c r="M145" s="2"/>
      <c r="O145" s="4">
        <f t="shared" ca="1" si="35"/>
        <v>0.73837138663099688</v>
      </c>
      <c r="P145" s="4">
        <f t="shared" ca="1" si="36"/>
        <v>0.63833255142450085</v>
      </c>
      <c r="Q145" s="4">
        <f t="shared" ca="1" si="37"/>
        <v>1903.926027859836</v>
      </c>
      <c r="R145" s="4">
        <f t="shared" ca="1" si="38"/>
        <v>-19.744016140163922</v>
      </c>
      <c r="S145" s="4">
        <f t="shared" ca="1" si="39"/>
        <v>-9.8359281223697064</v>
      </c>
    </row>
    <row r="146" spans="3:19" x14ac:dyDescent="0.2">
      <c r="C146" s="1">
        <v>42171</v>
      </c>
      <c r="D146" s="2">
        <v>2096.290039</v>
      </c>
      <c r="E146" s="3">
        <f t="shared" si="27"/>
        <v>5.6898564053051463E-3</v>
      </c>
      <c r="F146" s="3">
        <f t="shared" si="28"/>
        <v>5.6737303135299989E-3</v>
      </c>
      <c r="G146" s="2">
        <f t="shared" si="29"/>
        <v>1934.6154503215471</v>
      </c>
      <c r="H146" s="2">
        <f t="shared" si="30"/>
        <v>175.66984628500018</v>
      </c>
      <c r="I146" s="2">
        <f t="shared" si="31"/>
        <v>5.5893310174907356</v>
      </c>
      <c r="J146" s="2">
        <f t="shared" si="32"/>
        <v>10.945406321547033</v>
      </c>
      <c r="K146" s="2">
        <f t="shared" si="33"/>
        <v>5.5894395638169696</v>
      </c>
      <c r="L146" s="2">
        <f t="shared" si="34"/>
        <v>6.3565148074929141</v>
      </c>
      <c r="M146" s="2"/>
      <c r="O146" s="4">
        <f t="shared" ca="1" si="35"/>
        <v>0.38005290340716447</v>
      </c>
      <c r="P146" s="4">
        <f t="shared" ca="1" si="36"/>
        <v>-0.30534184780350043</v>
      </c>
      <c r="Q146" s="4">
        <f t="shared" ca="1" si="37"/>
        <v>1932.5146018862524</v>
      </c>
      <c r="R146" s="4">
        <f t="shared" ca="1" si="38"/>
        <v>8.8445578862524599</v>
      </c>
      <c r="S146" s="4">
        <f t="shared" ca="1" si="39"/>
        <v>4.5090453140061824</v>
      </c>
    </row>
    <row r="147" spans="3:19" x14ac:dyDescent="0.2">
      <c r="C147" s="1">
        <v>42170</v>
      </c>
      <c r="D147" s="2">
        <v>2084.429932</v>
      </c>
      <c r="E147" s="3">
        <f t="shared" si="27"/>
        <v>-4.6225721215145078E-3</v>
      </c>
      <c r="F147" s="3">
        <f t="shared" si="28"/>
        <v>-4.6332892479042445E-3</v>
      </c>
      <c r="G147" s="2">
        <f t="shared" si="29"/>
        <v>1914.7777404836129</v>
      </c>
      <c r="H147" s="2">
        <f t="shared" si="30"/>
        <v>165.61138881836052</v>
      </c>
      <c r="I147" s="2">
        <f t="shared" si="31"/>
        <v>-4.4691264491489164</v>
      </c>
      <c r="J147" s="2">
        <f t="shared" si="32"/>
        <v>-8.8923035163869866</v>
      </c>
      <c r="K147" s="2">
        <f t="shared" si="33"/>
        <v>-4.4691829292129288</v>
      </c>
      <c r="L147" s="2">
        <f t="shared" si="34"/>
        <v>-3.7871421518273962</v>
      </c>
      <c r="M147" s="2"/>
      <c r="O147" s="4">
        <f t="shared" ca="1" si="35"/>
        <v>0.80110607188779426</v>
      </c>
      <c r="P147" s="4">
        <f t="shared" ca="1" si="36"/>
        <v>0.84557862088941482</v>
      </c>
      <c r="Q147" s="4">
        <f t="shared" ca="1" si="37"/>
        <v>1897.6475173869142</v>
      </c>
      <c r="R147" s="4">
        <f t="shared" ca="1" si="38"/>
        <v>-26.022526613085802</v>
      </c>
      <c r="S147" s="4">
        <f t="shared" ca="1" si="39"/>
        <v>-12.897202022241544</v>
      </c>
    </row>
    <row r="148" spans="3:19" x14ac:dyDescent="0.2">
      <c r="C148" s="1">
        <v>42167</v>
      </c>
      <c r="D148" s="2">
        <v>2094.110107</v>
      </c>
      <c r="E148" s="3">
        <f t="shared" si="27"/>
        <v>-6.9942998831643219E-3</v>
      </c>
      <c r="F148" s="3">
        <f t="shared" si="28"/>
        <v>-7.0188746545117725E-3</v>
      </c>
      <c r="G148" s="2">
        <f t="shared" si="29"/>
        <v>1910.2153188360039</v>
      </c>
      <c r="H148" s="2">
        <f t="shared" si="30"/>
        <v>163.34348744229305</v>
      </c>
      <c r="I148" s="2">
        <f t="shared" si="31"/>
        <v>-6.7370278252163871</v>
      </c>
      <c r="J148" s="2">
        <f t="shared" si="32"/>
        <v>-13.454725163995906</v>
      </c>
      <c r="K148" s="2">
        <f t="shared" si="33"/>
        <v>-6.7372220747669562</v>
      </c>
      <c r="L148" s="2">
        <f t="shared" si="34"/>
        <v>-5.7302313979635073</v>
      </c>
      <c r="M148" s="2"/>
      <c r="O148" s="4">
        <f t="shared" ca="1" si="35"/>
        <v>0.85115759916606204</v>
      </c>
      <c r="P148" s="4">
        <f t="shared" ca="1" si="36"/>
        <v>1.0414110815093365</v>
      </c>
      <c r="Q148" s="4">
        <f t="shared" ca="1" si="37"/>
        <v>1891.7147816871982</v>
      </c>
      <c r="R148" s="4">
        <f t="shared" ca="1" si="38"/>
        <v>-31.955262312801779</v>
      </c>
      <c r="S148" s="4">
        <f t="shared" ca="1" si="39"/>
        <v>-15.760392605115372</v>
      </c>
    </row>
    <row r="149" spans="3:19" x14ac:dyDescent="0.2">
      <c r="C149" s="1">
        <v>42166</v>
      </c>
      <c r="D149" s="2">
        <v>2108.860107</v>
      </c>
      <c r="E149" s="3">
        <f t="shared" si="27"/>
        <v>1.7386262992554644E-3</v>
      </c>
      <c r="F149" s="3">
        <f t="shared" si="28"/>
        <v>1.7371166381222091E-3</v>
      </c>
      <c r="G149" s="2">
        <f t="shared" si="29"/>
        <v>1927.014587329588</v>
      </c>
      <c r="H149" s="2">
        <f t="shared" si="30"/>
        <v>171.77810626254711</v>
      </c>
      <c r="I149" s="2">
        <f t="shared" si="31"/>
        <v>1.6975909950376717</v>
      </c>
      <c r="J149" s="2">
        <f t="shared" si="32"/>
        <v>3.3445433295883165</v>
      </c>
      <c r="K149" s="2">
        <f t="shared" si="33"/>
        <v>1.6975940571042396</v>
      </c>
      <c r="L149" s="2">
        <f t="shared" si="34"/>
        <v>1.9423343980366496</v>
      </c>
      <c r="M149" s="2"/>
      <c r="O149" s="4">
        <f t="shared" ca="1" si="35"/>
        <v>0.92135569534717088</v>
      </c>
      <c r="P149" s="4">
        <f t="shared" ca="1" si="36"/>
        <v>1.4142496683382335</v>
      </c>
      <c r="Q149" s="4">
        <f t="shared" ca="1" si="37"/>
        <v>1880.4196532528756</v>
      </c>
      <c r="R149" s="4">
        <f t="shared" ca="1" si="38"/>
        <v>-43.250390747124356</v>
      </c>
      <c r="S149" s="4">
        <f t="shared" ca="1" si="39"/>
        <v>-21.132309242275404</v>
      </c>
    </row>
    <row r="150" spans="3:19" x14ac:dyDescent="0.2">
      <c r="C150" s="1">
        <v>42165</v>
      </c>
      <c r="D150" s="2">
        <v>2105.1999510000001</v>
      </c>
      <c r="E150" s="3">
        <f t="shared" si="27"/>
        <v>1.2042424911740781E-2</v>
      </c>
      <c r="F150" s="3">
        <f t="shared" si="28"/>
        <v>1.1970491836123859E-2</v>
      </c>
      <c r="G150" s="2">
        <f t="shared" si="29"/>
        <v>1946.8356960598351</v>
      </c>
      <c r="H150" s="2">
        <f t="shared" si="30"/>
        <v>182.02460046770773</v>
      </c>
      <c r="I150" s="2">
        <f t="shared" si="31"/>
        <v>11.944085200198288</v>
      </c>
      <c r="J150" s="2">
        <f t="shared" si="32"/>
        <v>23.165652059835086</v>
      </c>
      <c r="K150" s="2">
        <f t="shared" si="33"/>
        <v>11.945132634061823</v>
      </c>
      <c r="L150" s="2">
        <f t="shared" si="34"/>
        <v>13.453389122127817</v>
      </c>
      <c r="M150" s="2"/>
      <c r="O150" s="4">
        <f t="shared" ca="1" si="35"/>
        <v>0.34669537389523386</v>
      </c>
      <c r="P150" s="4">
        <f t="shared" ca="1" si="36"/>
        <v>-0.39425775691648995</v>
      </c>
      <c r="Q150" s="4">
        <f t="shared" ca="1" si="37"/>
        <v>1935.2083054050536</v>
      </c>
      <c r="R150" s="4">
        <f t="shared" ca="1" si="38"/>
        <v>11.538261405053618</v>
      </c>
      <c r="S150" s="4">
        <f t="shared" ca="1" si="39"/>
        <v>5.8949746663757931</v>
      </c>
    </row>
    <row r="151" spans="3:19" x14ac:dyDescent="0.2">
      <c r="C151" s="1">
        <v>42164</v>
      </c>
      <c r="D151" s="2">
        <v>2080.1499020000001</v>
      </c>
      <c r="E151" s="3">
        <f t="shared" si="27"/>
        <v>4.1835298173784259E-4</v>
      </c>
      <c r="F151" s="3">
        <f t="shared" si="28"/>
        <v>4.1826549652815233E-4</v>
      </c>
      <c r="G151" s="2">
        <f t="shared" si="29"/>
        <v>1924.4748170987871</v>
      </c>
      <c r="H151" s="2">
        <f t="shared" si="30"/>
        <v>170.48816289264403</v>
      </c>
      <c r="I151" s="2">
        <f t="shared" si="31"/>
        <v>0.40764762513458663</v>
      </c>
      <c r="J151" s="2">
        <f t="shared" si="32"/>
        <v>0.80477309878716685</v>
      </c>
      <c r="K151" s="2">
        <f t="shared" si="33"/>
        <v>0.40764766763159188</v>
      </c>
      <c r="L151" s="2">
        <f t="shared" si="34"/>
        <v>0.46736977767946541</v>
      </c>
      <c r="M151" s="2"/>
      <c r="O151" s="4">
        <f t="shared" ca="1" si="35"/>
        <v>0.56543054743627108</v>
      </c>
      <c r="P151" s="4">
        <f t="shared" ca="1" si="36"/>
        <v>0.16475235694699847</v>
      </c>
      <c r="Q151" s="4">
        <f t="shared" ca="1" si="37"/>
        <v>1918.273118825047</v>
      </c>
      <c r="R151" s="4">
        <f t="shared" ca="1" si="38"/>
        <v>-5.3969251749529121</v>
      </c>
      <c r="S151" s="4">
        <f t="shared" ca="1" si="39"/>
        <v>-2.72011976146183</v>
      </c>
    </row>
    <row r="152" spans="3:19" x14ac:dyDescent="0.2">
      <c r="C152" s="1">
        <v>42163</v>
      </c>
      <c r="D152" s="2">
        <v>2079.280029</v>
      </c>
      <c r="E152" s="3">
        <f t="shared" si="27"/>
        <v>-6.4745098717947352E-3</v>
      </c>
      <c r="F152" s="3">
        <f t="shared" si="28"/>
        <v>-6.4955604213555807E-3</v>
      </c>
      <c r="G152" s="2">
        <f t="shared" si="29"/>
        <v>1911.215223310046</v>
      </c>
      <c r="H152" s="2">
        <f t="shared" si="30"/>
        <v>163.83906298465774</v>
      </c>
      <c r="I152" s="2">
        <f t="shared" si="31"/>
        <v>-6.2414522828516965</v>
      </c>
      <c r="J152" s="2">
        <f t="shared" si="32"/>
        <v>-12.454820689953813</v>
      </c>
      <c r="K152" s="2">
        <f t="shared" si="33"/>
        <v>-6.2416066072966352</v>
      </c>
      <c r="L152" s="2">
        <f t="shared" si="34"/>
        <v>-5.3043821931464095</v>
      </c>
      <c r="M152" s="2"/>
      <c r="O152" s="4">
        <f t="shared" ca="1" si="35"/>
        <v>0.80353058634678631</v>
      </c>
      <c r="P152" s="4">
        <f t="shared" ca="1" si="36"/>
        <v>0.85429992760319073</v>
      </c>
      <c r="Q152" s="4">
        <f t="shared" ca="1" si="37"/>
        <v>1897.3833057872373</v>
      </c>
      <c r="R152" s="4">
        <f t="shared" ca="1" si="38"/>
        <v>-26.286738212762657</v>
      </c>
      <c r="S152" s="4">
        <f t="shared" ca="1" si="39"/>
        <v>-13.025322534359749</v>
      </c>
    </row>
    <row r="153" spans="3:19" x14ac:dyDescent="0.2">
      <c r="C153" s="1">
        <v>42160</v>
      </c>
      <c r="D153" s="2">
        <v>2092.830078</v>
      </c>
      <c r="E153" s="3">
        <f t="shared" si="27"/>
        <v>-1.4361830452781976E-3</v>
      </c>
      <c r="F153" s="3">
        <f t="shared" si="28"/>
        <v>-1.4372153446468713E-3</v>
      </c>
      <c r="G153" s="2">
        <f t="shared" si="29"/>
        <v>1920.9073016980976</v>
      </c>
      <c r="H153" s="2">
        <f t="shared" si="30"/>
        <v>168.68509681908711</v>
      </c>
      <c r="I153" s="2">
        <f t="shared" si="31"/>
        <v>-1.3954184484223333</v>
      </c>
      <c r="J153" s="2">
        <f t="shared" si="32"/>
        <v>-2.7627423019023643</v>
      </c>
      <c r="K153" s="2">
        <f t="shared" si="33"/>
        <v>-1.3954201584143779</v>
      </c>
      <c r="L153" s="2">
        <f t="shared" si="34"/>
        <v>-1.1766240105153258</v>
      </c>
      <c r="M153" s="2"/>
      <c r="O153" s="4">
        <f t="shared" ca="1" si="35"/>
        <v>9.6996596606185315E-2</v>
      </c>
      <c r="P153" s="4">
        <f t="shared" ca="1" si="36"/>
        <v>-1.2988564629772912</v>
      </c>
      <c r="Q153" s="4">
        <f t="shared" ca="1" si="37"/>
        <v>1962.6130830418913</v>
      </c>
      <c r="R153" s="4">
        <f t="shared" ca="1" si="38"/>
        <v>38.943039041891325</v>
      </c>
      <c r="S153" s="4">
        <f t="shared" ca="1" si="39"/>
        <v>20.330692829342112</v>
      </c>
    </row>
    <row r="154" spans="3:19" x14ac:dyDescent="0.2">
      <c r="C154" s="1">
        <v>42159</v>
      </c>
      <c r="D154" s="2">
        <v>2095.8400879999999</v>
      </c>
      <c r="E154" s="3">
        <f t="shared" si="27"/>
        <v>-8.623167356627116E-3</v>
      </c>
      <c r="F154" s="3">
        <f t="shared" si="28"/>
        <v>-8.6605619929224897E-3</v>
      </c>
      <c r="G154" s="2">
        <f t="shared" si="29"/>
        <v>1907.0819152716576</v>
      </c>
      <c r="H154" s="2">
        <f t="shared" si="30"/>
        <v>161.79581585406311</v>
      </c>
      <c r="I154" s="2">
        <f t="shared" si="31"/>
        <v>-8.284699413446333</v>
      </c>
      <c r="J154" s="2">
        <f t="shared" si="32"/>
        <v>-16.588128728342248</v>
      </c>
      <c r="K154" s="2">
        <f t="shared" si="33"/>
        <v>-8.2850616248845501</v>
      </c>
      <c r="L154" s="2">
        <f t="shared" si="34"/>
        <v>-7.0647162921592894</v>
      </c>
      <c r="M154" s="2"/>
      <c r="O154" s="4">
        <f t="shared" ca="1" si="35"/>
        <v>0.58533672590475716</v>
      </c>
      <c r="P154" s="4">
        <f t="shared" ca="1" si="36"/>
        <v>0.2155653747117616</v>
      </c>
      <c r="Q154" s="4">
        <f t="shared" ca="1" si="37"/>
        <v>1916.7337407079103</v>
      </c>
      <c r="R154" s="4">
        <f t="shared" ca="1" si="38"/>
        <v>-6.936303292089633</v>
      </c>
      <c r="S154" s="4">
        <f t="shared" ca="1" si="39"/>
        <v>-3.49163962881385</v>
      </c>
    </row>
    <row r="155" spans="3:19" x14ac:dyDescent="0.2">
      <c r="C155" s="1">
        <v>42158</v>
      </c>
      <c r="D155" s="2">
        <v>2114.070068</v>
      </c>
      <c r="E155" s="3">
        <f t="shared" si="27"/>
        <v>2.1188707775648308E-3</v>
      </c>
      <c r="F155" s="3">
        <f t="shared" si="28"/>
        <v>2.116629136818338E-3</v>
      </c>
      <c r="G155" s="2">
        <f t="shared" si="29"/>
        <v>1927.7460522419083</v>
      </c>
      <c r="H155" s="2">
        <f t="shared" si="30"/>
        <v>172.1505879993141</v>
      </c>
      <c r="I155" s="2">
        <f t="shared" si="31"/>
        <v>2.0700727318046575</v>
      </c>
      <c r="J155" s="2">
        <f t="shared" si="32"/>
        <v>4.0760082419084522</v>
      </c>
      <c r="K155" s="2">
        <f t="shared" si="33"/>
        <v>2.070078280452412</v>
      </c>
      <c r="L155" s="2">
        <f t="shared" si="34"/>
        <v>2.3671306467763316</v>
      </c>
      <c r="M155" s="2"/>
      <c r="O155" s="4">
        <f t="shared" ca="1" si="35"/>
        <v>0.97167613940885378</v>
      </c>
      <c r="P155" s="4">
        <f t="shared" ca="1" si="36"/>
        <v>1.906019149712783</v>
      </c>
      <c r="Q155" s="4">
        <f t="shared" ca="1" si="37"/>
        <v>1865.5215186487048</v>
      </c>
      <c r="R155" s="4">
        <f t="shared" ca="1" si="38"/>
        <v>-58.14852535129512</v>
      </c>
      <c r="S155" s="4">
        <f t="shared" ca="1" si="39"/>
        <v>-28.058949865344168</v>
      </c>
    </row>
    <row r="156" spans="3:19" x14ac:dyDescent="0.2">
      <c r="C156" s="1">
        <v>42157</v>
      </c>
      <c r="D156" s="2">
        <v>2109.6000979999999</v>
      </c>
      <c r="E156" s="3">
        <f t="shared" si="27"/>
        <v>-1.0085958054164574E-3</v>
      </c>
      <c r="F156" s="3">
        <f t="shared" si="28"/>
        <v>-1.0091047804279632E-3</v>
      </c>
      <c r="G156" s="2">
        <f t="shared" si="29"/>
        <v>1921.7298384626163</v>
      </c>
      <c r="H156" s="2">
        <f t="shared" si="30"/>
        <v>169.09989718375448</v>
      </c>
      <c r="I156" s="2">
        <f t="shared" si="31"/>
        <v>-0.98061808375496184</v>
      </c>
      <c r="J156" s="2">
        <f t="shared" si="32"/>
        <v>-1.9402055373836919</v>
      </c>
      <c r="K156" s="2">
        <f t="shared" si="33"/>
        <v>-0.98061867676663883</v>
      </c>
      <c r="L156" s="2">
        <f t="shared" si="34"/>
        <v>-0.82631391970528512</v>
      </c>
      <c r="M156" s="2"/>
      <c r="O156" s="4">
        <f t="shared" ca="1" si="35"/>
        <v>0.66502894878355334</v>
      </c>
      <c r="P156" s="4">
        <f t="shared" ca="1" si="36"/>
        <v>0.42622747030153729</v>
      </c>
      <c r="Q156" s="4">
        <f t="shared" ca="1" si="37"/>
        <v>1910.351741875204</v>
      </c>
      <c r="R156" s="4">
        <f t="shared" ca="1" si="38"/>
        <v>-13.318302124795991</v>
      </c>
      <c r="S156" s="4">
        <f t="shared" ca="1" si="39"/>
        <v>-6.6696501992220361</v>
      </c>
    </row>
    <row r="157" spans="3:19" x14ac:dyDescent="0.2">
      <c r="C157" s="1">
        <v>42156</v>
      </c>
      <c r="D157" s="2">
        <v>2111.7299800000001</v>
      </c>
      <c r="E157" s="3">
        <f t="shared" si="27"/>
        <v>2.0594608593389697E-3</v>
      </c>
      <c r="F157" s="3">
        <f t="shared" si="28"/>
        <v>2.0573430769848127E-3</v>
      </c>
      <c r="G157" s="2">
        <f t="shared" si="29"/>
        <v>1927.6317671619008</v>
      </c>
      <c r="H157" s="2">
        <f t="shared" si="30"/>
        <v>172.09236229619023</v>
      </c>
      <c r="I157" s="2">
        <f t="shared" si="31"/>
        <v>2.0118470286807906</v>
      </c>
      <c r="J157" s="2">
        <f t="shared" si="32"/>
        <v>3.9617231619008737</v>
      </c>
      <c r="K157" s="2">
        <f t="shared" si="33"/>
        <v>2.0118521226907045</v>
      </c>
      <c r="L157" s="2">
        <f t="shared" si="34"/>
        <v>2.3007598989025837</v>
      </c>
      <c r="M157" s="2"/>
      <c r="O157" s="4">
        <f t="shared" ca="1" si="35"/>
        <v>0.1119247514133449</v>
      </c>
      <c r="P157" s="4">
        <f t="shared" ca="1" si="36"/>
        <v>-1.2163555658916199</v>
      </c>
      <c r="Q157" s="4">
        <f t="shared" ca="1" si="37"/>
        <v>1960.113722027638</v>
      </c>
      <c r="R157" s="4">
        <f t="shared" ca="1" si="38"/>
        <v>36.443678027638043</v>
      </c>
      <c r="S157" s="4">
        <f t="shared" ca="1" si="39"/>
        <v>18.988792380499483</v>
      </c>
    </row>
    <row r="158" spans="3:19" x14ac:dyDescent="0.2">
      <c r="C158" s="1">
        <v>42153</v>
      </c>
      <c r="D158" s="2">
        <v>2107.389893</v>
      </c>
      <c r="E158" s="3">
        <f t="shared" si="27"/>
        <v>-6.3184689448647254E-3</v>
      </c>
      <c r="F158" s="3">
        <f t="shared" si="28"/>
        <v>-6.3385149544391154E-3</v>
      </c>
      <c r="G158" s="2">
        <f t="shared" si="29"/>
        <v>1911.5153945668194</v>
      </c>
      <c r="H158" s="2">
        <f t="shared" si="30"/>
        <v>163.98799474868929</v>
      </c>
      <c r="I158" s="2">
        <f t="shared" si="31"/>
        <v>-6.0925205188201517</v>
      </c>
      <c r="J158" s="2">
        <f t="shared" si="32"/>
        <v>-12.154649433180559</v>
      </c>
      <c r="K158" s="2">
        <f t="shared" si="33"/>
        <v>-6.0926640199624416</v>
      </c>
      <c r="L158" s="2">
        <f t="shared" si="34"/>
        <v>-5.1765422901113709</v>
      </c>
      <c r="M158" s="2"/>
      <c r="O158" s="4">
        <f t="shared" ca="1" si="35"/>
        <v>0.56856489948720412</v>
      </c>
      <c r="P158" s="4">
        <f t="shared" ca="1" si="36"/>
        <v>0.17272168090044338</v>
      </c>
      <c r="Q158" s="4">
        <f t="shared" ca="1" si="37"/>
        <v>1918.0316885097075</v>
      </c>
      <c r="R158" s="4">
        <f t="shared" ca="1" si="38"/>
        <v>-5.6383554902924971</v>
      </c>
      <c r="S158" s="4">
        <f t="shared" ca="1" si="39"/>
        <v>-2.8412496171637107</v>
      </c>
    </row>
    <row r="159" spans="3:19" x14ac:dyDescent="0.2">
      <c r="C159" s="1">
        <v>42152</v>
      </c>
      <c r="D159" s="2">
        <v>2120.790039</v>
      </c>
      <c r="E159" s="3">
        <f t="shared" si="27"/>
        <v>-1.2667607066397159E-3</v>
      </c>
      <c r="F159" s="3">
        <f t="shared" si="28"/>
        <v>-1.2675637262110088E-3</v>
      </c>
      <c r="G159" s="2">
        <f t="shared" si="29"/>
        <v>1921.233214375721</v>
      </c>
      <c r="H159" s="2">
        <f t="shared" si="30"/>
        <v>168.84938665066602</v>
      </c>
      <c r="I159" s="2">
        <f t="shared" si="31"/>
        <v>-1.2311286168434208</v>
      </c>
      <c r="J159" s="2">
        <f t="shared" si="32"/>
        <v>-2.4368296242790932</v>
      </c>
      <c r="K159" s="2">
        <f t="shared" si="33"/>
        <v>-1.2311297908364289</v>
      </c>
      <c r="L159" s="2">
        <f t="shared" si="34"/>
        <v>-1.0378210966283348</v>
      </c>
      <c r="M159" s="2"/>
      <c r="O159" s="4">
        <f t="shared" ca="1" si="35"/>
        <v>0.45644238983230812</v>
      </c>
      <c r="P159" s="4">
        <f t="shared" ca="1" si="36"/>
        <v>-0.10940057252656631</v>
      </c>
      <c r="Q159" s="4">
        <f t="shared" ca="1" si="37"/>
        <v>1926.578569651334</v>
      </c>
      <c r="R159" s="4">
        <f t="shared" ca="1" si="38"/>
        <v>2.9085256513340028</v>
      </c>
      <c r="S159" s="4">
        <f t="shared" ca="1" si="39"/>
        <v>1.4757677842916292</v>
      </c>
    </row>
    <row r="160" spans="3:19" x14ac:dyDescent="0.2">
      <c r="C160" s="1">
        <v>42151</v>
      </c>
      <c r="D160" s="2">
        <v>2123.4799800000001</v>
      </c>
      <c r="E160" s="3">
        <f t="shared" si="27"/>
        <v>9.1626411220271011E-3</v>
      </c>
      <c r="F160" s="3">
        <f t="shared" si="28"/>
        <v>9.1209187900458677E-3</v>
      </c>
      <c r="G160" s="2">
        <f t="shared" si="29"/>
        <v>1941.2959422503661</v>
      </c>
      <c r="H160" s="2">
        <f t="shared" si="30"/>
        <v>179.12892501118858</v>
      </c>
      <c r="I160" s="2">
        <f t="shared" si="31"/>
        <v>9.0484097436791444</v>
      </c>
      <c r="J160" s="2">
        <f t="shared" si="32"/>
        <v>17.625898250366081</v>
      </c>
      <c r="K160" s="2">
        <f t="shared" si="33"/>
        <v>9.0488674665354409</v>
      </c>
      <c r="L160" s="2">
        <f t="shared" si="34"/>
        <v>10.236192237400644</v>
      </c>
      <c r="M160" s="2"/>
      <c r="O160" s="4">
        <f t="shared" ca="1" si="35"/>
        <v>0.42678264165642754</v>
      </c>
      <c r="P160" s="4">
        <f t="shared" ca="1" si="36"/>
        <v>-0.18457131926321679</v>
      </c>
      <c r="Q160" s="4">
        <f t="shared" ca="1" si="37"/>
        <v>1928.8558640862148</v>
      </c>
      <c r="R160" s="4">
        <f t="shared" ca="1" si="38"/>
        <v>5.1858200862147896</v>
      </c>
      <c r="S160" s="4">
        <f t="shared" ca="1" si="39"/>
        <v>2.6360601250246618</v>
      </c>
    </row>
    <row r="161" spans="3:19" x14ac:dyDescent="0.2">
      <c r="C161" s="1">
        <v>42150</v>
      </c>
      <c r="D161" s="2">
        <v>2104.1999510000001</v>
      </c>
      <c r="E161" s="3">
        <f t="shared" si="27"/>
        <v>-1.0281980467796303E-2</v>
      </c>
      <c r="F161" s="3">
        <f t="shared" si="28"/>
        <v>-1.0335205180265266E-2</v>
      </c>
      <c r="G161" s="2">
        <f t="shared" si="29"/>
        <v>1903.8909061811071</v>
      </c>
      <c r="H161" s="2">
        <f t="shared" si="30"/>
        <v>160.22798416156456</v>
      </c>
      <c r="I161" s="2">
        <f t="shared" si="31"/>
        <v>-9.8525311059448768</v>
      </c>
      <c r="J161" s="2">
        <f t="shared" si="32"/>
        <v>-19.779137818892856</v>
      </c>
      <c r="K161" s="2">
        <f t="shared" si="33"/>
        <v>-9.8531419994193357</v>
      </c>
      <c r="L161" s="2">
        <f t="shared" si="34"/>
        <v>-8.4237347974788008</v>
      </c>
      <c r="M161" s="2"/>
      <c r="O161" s="4">
        <f t="shared" ca="1" si="35"/>
        <v>0.65777821780478529</v>
      </c>
      <c r="P161" s="4">
        <f t="shared" ca="1" si="36"/>
        <v>0.40640701744545638</v>
      </c>
      <c r="Q161" s="4">
        <f t="shared" ca="1" si="37"/>
        <v>1910.9522016144706</v>
      </c>
      <c r="R161" s="4">
        <f t="shared" ca="1" si="38"/>
        <v>-12.717842385529366</v>
      </c>
      <c r="S161" s="4">
        <f t="shared" ca="1" si="39"/>
        <v>-6.3720555782236854</v>
      </c>
    </row>
    <row r="162" spans="3:19" x14ac:dyDescent="0.2">
      <c r="C162" s="1">
        <v>42146</v>
      </c>
      <c r="D162" s="2">
        <v>2126.0600589999999</v>
      </c>
      <c r="E162" s="3">
        <f t="shared" si="27"/>
        <v>-2.2338859444231973E-3</v>
      </c>
      <c r="F162" s="3">
        <f t="shared" si="28"/>
        <v>-2.2363847897467698E-3</v>
      </c>
      <c r="G162" s="2">
        <f t="shared" si="29"/>
        <v>1919.3727845270005</v>
      </c>
      <c r="H162" s="2">
        <f t="shared" si="30"/>
        <v>167.9127239698696</v>
      </c>
      <c r="I162" s="2">
        <f t="shared" si="31"/>
        <v>-2.1677912976398375</v>
      </c>
      <c r="J162" s="2">
        <f t="shared" si="32"/>
        <v>-4.2972594729995537</v>
      </c>
      <c r="K162" s="2">
        <f t="shared" si="33"/>
        <v>-2.1677977174657057</v>
      </c>
      <c r="L162" s="2">
        <f t="shared" si="34"/>
        <v>-1.8301593571952708</v>
      </c>
      <c r="M162" s="2"/>
      <c r="O162" s="4">
        <f t="shared" ca="1" si="35"/>
        <v>0.25844371394556875</v>
      </c>
      <c r="P162" s="4">
        <f t="shared" ca="1" si="36"/>
        <v>-0.64815078789746294</v>
      </c>
      <c r="Q162" s="4">
        <f t="shared" ca="1" si="37"/>
        <v>1942.8999835060267</v>
      </c>
      <c r="R162" s="4">
        <f t="shared" ca="1" si="38"/>
        <v>19.229939506026767</v>
      </c>
      <c r="S162" s="4">
        <f t="shared" ca="1" si="39"/>
        <v>9.8849140957889752</v>
      </c>
    </row>
    <row r="163" spans="3:19" x14ac:dyDescent="0.2">
      <c r="C163" s="1">
        <v>42145</v>
      </c>
      <c r="D163" s="2">
        <v>2130.820068</v>
      </c>
      <c r="E163" s="3">
        <f t="shared" si="27"/>
        <v>2.3378741542857849E-3</v>
      </c>
      <c r="F163" s="3">
        <f t="shared" si="28"/>
        <v>2.3351455783891246E-3</v>
      </c>
      <c r="G163" s="2">
        <f t="shared" si="29"/>
        <v>1928.1673424772416</v>
      </c>
      <c r="H163" s="2">
        <f t="shared" si="30"/>
        <v>172.36531760691344</v>
      </c>
      <c r="I163" s="2">
        <f t="shared" si="31"/>
        <v>2.2848023394039956</v>
      </c>
      <c r="J163" s="2">
        <f t="shared" si="32"/>
        <v>4.4972984772413982</v>
      </c>
      <c r="K163" s="2">
        <f t="shared" si="33"/>
        <v>2.2848097972239123</v>
      </c>
      <c r="L163" s="2">
        <f t="shared" si="34"/>
        <v>2.6117937995618377</v>
      </c>
      <c r="M163" s="2"/>
      <c r="O163" s="4">
        <f t="shared" ca="1" si="35"/>
        <v>0.97949018287048839</v>
      </c>
      <c r="P163" s="4">
        <f t="shared" ca="1" si="36"/>
        <v>2.043331491001291</v>
      </c>
      <c r="Q163" s="4">
        <f t="shared" ca="1" si="37"/>
        <v>1861.3616473658994</v>
      </c>
      <c r="R163" s="4">
        <f t="shared" ca="1" si="38"/>
        <v>-62.308396634100518</v>
      </c>
      <c r="S163" s="4">
        <f t="shared" ca="1" si="39"/>
        <v>-29.960741052983479</v>
      </c>
    </row>
    <row r="164" spans="3:19" x14ac:dyDescent="0.2">
      <c r="C164" s="1">
        <v>42144</v>
      </c>
      <c r="D164" s="2">
        <v>2125.8500979999999</v>
      </c>
      <c r="E164" s="3">
        <f t="shared" si="27"/>
        <v>-9.3051603155318719E-4</v>
      </c>
      <c r="F164" s="3">
        <f t="shared" si="28"/>
        <v>-9.3094923034876148E-4</v>
      </c>
      <c r="G164" s="2">
        <f t="shared" si="29"/>
        <v>1921.8800381846395</v>
      </c>
      <c r="H164" s="2">
        <f t="shared" si="30"/>
        <v>169.17570155559986</v>
      </c>
      <c r="I164" s="2">
        <f t="shared" si="31"/>
        <v>-0.90481371190958271</v>
      </c>
      <c r="J164" s="2">
        <f t="shared" si="32"/>
        <v>-1.7900058153606249</v>
      </c>
      <c r="K164" s="2">
        <f t="shared" si="33"/>
        <v>-0.90481417769231687</v>
      </c>
      <c r="L164" s="2">
        <f t="shared" si="34"/>
        <v>-0.76234537686164572</v>
      </c>
      <c r="M164" s="2"/>
      <c r="O164" s="4">
        <f t="shared" ca="1" si="35"/>
        <v>0.73029588803048118</v>
      </c>
      <c r="P164" s="4">
        <f t="shared" ca="1" si="36"/>
        <v>0.61370811650130541</v>
      </c>
      <c r="Q164" s="4">
        <f t="shared" ca="1" si="37"/>
        <v>1904.6720240225343</v>
      </c>
      <c r="R164" s="4">
        <f t="shared" ca="1" si="38"/>
        <v>-18.998019977465674</v>
      </c>
      <c r="S164" s="4">
        <f t="shared" ca="1" si="39"/>
        <v>-9.4700624325547373</v>
      </c>
    </row>
    <row r="165" spans="3:19" x14ac:dyDescent="0.2">
      <c r="C165" s="1">
        <v>42143</v>
      </c>
      <c r="D165" s="2">
        <v>2127.830078</v>
      </c>
      <c r="E165" s="3">
        <f t="shared" si="27"/>
        <v>-6.4337452166327697E-4</v>
      </c>
      <c r="F165" s="3">
        <f t="shared" si="28"/>
        <v>-6.4358157586455564E-4</v>
      </c>
      <c r="G165" s="2">
        <f t="shared" si="29"/>
        <v>1922.4324037056035</v>
      </c>
      <c r="H165" s="2">
        <f t="shared" si="30"/>
        <v>169.45463331171516</v>
      </c>
      <c r="I165" s="2">
        <f t="shared" si="31"/>
        <v>-0.62588195579428429</v>
      </c>
      <c r="J165" s="2">
        <f t="shared" si="32"/>
        <v>-1.237640294396475</v>
      </c>
      <c r="K165" s="2">
        <f t="shared" si="33"/>
        <v>-0.62588210988259207</v>
      </c>
      <c r="L165" s="2">
        <f t="shared" si="34"/>
        <v>-0.52709848680621008</v>
      </c>
      <c r="M165" s="2"/>
      <c r="O165" s="4">
        <f t="shared" ca="1" si="35"/>
        <v>0.27009971562116653</v>
      </c>
      <c r="P165" s="4">
        <f t="shared" ca="1" si="36"/>
        <v>-0.61251144025149995</v>
      </c>
      <c r="Q165" s="4">
        <f t="shared" ca="1" si="37"/>
        <v>1941.8202910514431</v>
      </c>
      <c r="R165" s="4">
        <f t="shared" ca="1" si="38"/>
        <v>18.150247051443102</v>
      </c>
      <c r="S165" s="4">
        <f t="shared" ca="1" si="39"/>
        <v>9.3219342500161755</v>
      </c>
    </row>
    <row r="166" spans="3:19" x14ac:dyDescent="0.2">
      <c r="C166" s="1">
        <v>42142</v>
      </c>
      <c r="D166" s="2">
        <v>2129.1999510000001</v>
      </c>
      <c r="E166" s="3">
        <f t="shared" si="27"/>
        <v>3.0479481898116815E-3</v>
      </c>
      <c r="F166" s="3">
        <f t="shared" si="28"/>
        <v>3.0433126126717365E-3</v>
      </c>
      <c r="G166" s="2">
        <f t="shared" si="29"/>
        <v>1929.5332906284045</v>
      </c>
      <c r="H166" s="2">
        <f t="shared" si="30"/>
        <v>173.06252566863225</v>
      </c>
      <c r="I166" s="2">
        <f t="shared" si="31"/>
        <v>2.9820104011228068</v>
      </c>
      <c r="J166" s="2">
        <f t="shared" si="32"/>
        <v>5.8632466284047577</v>
      </c>
      <c r="K166" s="2">
        <f t="shared" si="33"/>
        <v>2.9820269611009587</v>
      </c>
      <c r="L166" s="2">
        <f t="shared" si="34"/>
        <v>3.4050644552196445</v>
      </c>
      <c r="M166" s="2"/>
      <c r="O166" s="4">
        <f t="shared" ca="1" si="35"/>
        <v>0.17742781417938969</v>
      </c>
      <c r="P166" s="4">
        <f t="shared" ca="1" si="36"/>
        <v>-0.925212027553313</v>
      </c>
      <c r="Q166" s="4">
        <f t="shared" ca="1" si="37"/>
        <v>1951.2935414601595</v>
      </c>
      <c r="R166" s="4">
        <f t="shared" ca="1" si="38"/>
        <v>27.62349746015957</v>
      </c>
      <c r="S166" s="4">
        <f t="shared" ca="1" si="39"/>
        <v>14.293902255156022</v>
      </c>
    </row>
    <row r="167" spans="3:19" x14ac:dyDescent="0.2">
      <c r="C167" s="1">
        <v>42139</v>
      </c>
      <c r="D167" s="2">
        <v>2122.7299800000001</v>
      </c>
      <c r="E167" s="3">
        <f t="shared" si="27"/>
        <v>7.6841352349990783E-4</v>
      </c>
      <c r="F167" s="3">
        <f t="shared" si="28"/>
        <v>7.6811844498031457E-4</v>
      </c>
      <c r="G167" s="2">
        <f t="shared" si="29"/>
        <v>1925.1482180765613</v>
      </c>
      <c r="H167" s="2">
        <f t="shared" si="30"/>
        <v>170.82967064572154</v>
      </c>
      <c r="I167" s="2">
        <f t="shared" si="31"/>
        <v>0.74915537821209455</v>
      </c>
      <c r="J167" s="2">
        <f t="shared" si="32"/>
        <v>1.4781740765612628</v>
      </c>
      <c r="K167" s="2">
        <f t="shared" si="33"/>
        <v>0.74915564181920946</v>
      </c>
      <c r="L167" s="2">
        <f t="shared" si="34"/>
        <v>0.85844555512002785</v>
      </c>
      <c r="M167" s="2"/>
      <c r="O167" s="4">
        <f t="shared" ca="1" si="35"/>
        <v>0.72855632647523993</v>
      </c>
      <c r="P167" s="4">
        <f t="shared" ca="1" si="36"/>
        <v>0.60845258073754449</v>
      </c>
      <c r="Q167" s="4">
        <f t="shared" ca="1" si="37"/>
        <v>1904.831240245157</v>
      </c>
      <c r="R167" s="4">
        <f t="shared" ca="1" si="38"/>
        <v>-18.838803754842957</v>
      </c>
      <c r="S167" s="4">
        <f t="shared" ca="1" si="39"/>
        <v>-9.3919179023007597</v>
      </c>
    </row>
    <row r="168" spans="3:19" x14ac:dyDescent="0.2">
      <c r="C168" s="1">
        <v>42138</v>
      </c>
      <c r="D168" s="2">
        <v>2121.1000979999999</v>
      </c>
      <c r="E168" s="3">
        <f t="shared" si="27"/>
        <v>1.0779287015166006E-2</v>
      </c>
      <c r="F168" s="3">
        <f t="shared" si="28"/>
        <v>1.0721604647198088E-2</v>
      </c>
      <c r="G168" s="2">
        <f t="shared" si="29"/>
        <v>1944.405835526753</v>
      </c>
      <c r="H168" s="2">
        <f t="shared" si="30"/>
        <v>180.75145623787478</v>
      </c>
      <c r="I168" s="2">
        <f t="shared" si="31"/>
        <v>10.670940970365336</v>
      </c>
      <c r="J168" s="2">
        <f t="shared" si="32"/>
        <v>20.735791526753019</v>
      </c>
      <c r="K168" s="2">
        <f t="shared" si="33"/>
        <v>10.671689572606802</v>
      </c>
      <c r="L168" s="2">
        <f t="shared" si="34"/>
        <v>12.042254258338119</v>
      </c>
      <c r="M168" s="2"/>
      <c r="O168" s="4">
        <f t="shared" ca="1" si="35"/>
        <v>0.20781228568669752</v>
      </c>
      <c r="P168" s="4">
        <f t="shared" ca="1" si="36"/>
        <v>-0.8140355748102831</v>
      </c>
      <c r="Q168" s="4">
        <f t="shared" ca="1" si="37"/>
        <v>1947.9254557604324</v>
      </c>
      <c r="R168" s="4">
        <f t="shared" ca="1" si="38"/>
        <v>24.25541176043248</v>
      </c>
      <c r="S168" s="4">
        <f t="shared" ca="1" si="39"/>
        <v>12.517816014689133</v>
      </c>
    </row>
    <row r="169" spans="3:19" x14ac:dyDescent="0.2">
      <c r="C169" s="1">
        <v>42137</v>
      </c>
      <c r="D169" s="2">
        <v>2098.4799800000001</v>
      </c>
      <c r="E169" s="3">
        <f t="shared" si="27"/>
        <v>-3.0495491649841012E-4</v>
      </c>
      <c r="F169" s="3">
        <f t="shared" si="28"/>
        <v>-3.0500142470446046E-4</v>
      </c>
      <c r="G169" s="2">
        <f t="shared" si="29"/>
        <v>1923.0834113623614</v>
      </c>
      <c r="H169" s="2">
        <f t="shared" si="30"/>
        <v>169.7836961846798</v>
      </c>
      <c r="I169" s="2">
        <f t="shared" si="31"/>
        <v>-0.29681908282964287</v>
      </c>
      <c r="J169" s="2">
        <f t="shared" si="32"/>
        <v>-0.58663263763851292</v>
      </c>
      <c r="K169" s="2">
        <f t="shared" si="33"/>
        <v>-0.29681909925506322</v>
      </c>
      <c r="L169" s="2">
        <f t="shared" si="34"/>
        <v>-0.24984090855019758</v>
      </c>
      <c r="M169" s="2"/>
      <c r="O169" s="4">
        <f t="shared" ca="1" si="35"/>
        <v>0.13250114331321194</v>
      </c>
      <c r="P169" s="4">
        <f t="shared" ca="1" si="36"/>
        <v>-1.1146456809969301</v>
      </c>
      <c r="Q169" s="4">
        <f t="shared" ca="1" si="37"/>
        <v>1957.0324255805699</v>
      </c>
      <c r="R169" s="4">
        <f t="shared" ca="1" si="38"/>
        <v>33.362381580569945</v>
      </c>
      <c r="S169" s="4">
        <f t="shared" ca="1" si="39"/>
        <v>17.341452130478665</v>
      </c>
    </row>
    <row r="170" spans="3:19" x14ac:dyDescent="0.2">
      <c r="C170" s="1">
        <v>42136</v>
      </c>
      <c r="D170" s="2">
        <v>2099.1201169999999</v>
      </c>
      <c r="E170" s="3">
        <f t="shared" si="27"/>
        <v>-2.9496377147184903E-3</v>
      </c>
      <c r="F170" s="3">
        <f t="shared" si="28"/>
        <v>-2.9539964693172764E-3</v>
      </c>
      <c r="G170" s="2">
        <f t="shared" si="29"/>
        <v>1917.9959142875434</v>
      </c>
      <c r="H170" s="2">
        <f t="shared" si="30"/>
        <v>167.22133587536473</v>
      </c>
      <c r="I170" s="2">
        <f t="shared" si="31"/>
        <v>-2.8591793921447106</v>
      </c>
      <c r="J170" s="2">
        <f t="shared" si="32"/>
        <v>-5.6741297124565779</v>
      </c>
      <c r="K170" s="2">
        <f t="shared" si="33"/>
        <v>-2.8591941398018994</v>
      </c>
      <c r="L170" s="2">
        <f t="shared" si="34"/>
        <v>-2.4165544697592054</v>
      </c>
      <c r="M170" s="2"/>
      <c r="O170" s="4">
        <f t="shared" ca="1" si="35"/>
        <v>0.155581441901399</v>
      </c>
      <c r="P170" s="4">
        <f t="shared" ca="1" si="36"/>
        <v>-1.0127849647949629</v>
      </c>
      <c r="Q170" s="4">
        <f t="shared" ca="1" si="37"/>
        <v>1953.9465597057451</v>
      </c>
      <c r="R170" s="4">
        <f t="shared" ca="1" si="38"/>
        <v>30.276515705745169</v>
      </c>
      <c r="S170" s="4">
        <f t="shared" ca="1" si="39"/>
        <v>15.699415895963442</v>
      </c>
    </row>
    <row r="171" spans="3:19" x14ac:dyDescent="0.2">
      <c r="C171" s="1">
        <v>42135</v>
      </c>
      <c r="D171" s="2">
        <v>2105.330078</v>
      </c>
      <c r="E171" s="3">
        <f t="shared" si="27"/>
        <v>-5.0895607491247951E-3</v>
      </c>
      <c r="F171" s="3">
        <f t="shared" si="28"/>
        <v>-5.1025566779002406E-3</v>
      </c>
      <c r="G171" s="2">
        <f t="shared" si="29"/>
        <v>1913.8794084497904</v>
      </c>
      <c r="H171" s="2">
        <f t="shared" si="30"/>
        <v>165.16349518213201</v>
      </c>
      <c r="I171" s="2">
        <f t="shared" si="31"/>
        <v>-4.9170200853774304</v>
      </c>
      <c r="J171" s="2">
        <f t="shared" si="32"/>
        <v>-9.7906355502095668</v>
      </c>
      <c r="K171" s="2">
        <f t="shared" si="33"/>
        <v>-4.9170953645240543</v>
      </c>
      <c r="L171" s="2">
        <f t="shared" si="34"/>
        <v>-4.1697326814193048</v>
      </c>
      <c r="M171" s="2"/>
      <c r="O171" s="4">
        <f t="shared" ca="1" si="35"/>
        <v>0.14320326050474053</v>
      </c>
      <c r="P171" s="4">
        <f t="shared" ca="1" si="36"/>
        <v>-1.0660378749256449</v>
      </c>
      <c r="Q171" s="4">
        <f t="shared" ca="1" si="37"/>
        <v>1955.5598542537784</v>
      </c>
      <c r="R171" s="4">
        <f t="shared" ca="1" si="38"/>
        <v>31.889810253778478</v>
      </c>
      <c r="S171" s="4">
        <f t="shared" ca="1" si="39"/>
        <v>16.556907427133588</v>
      </c>
    </row>
    <row r="172" spans="3:19" x14ac:dyDescent="0.2">
      <c r="C172" s="1">
        <v>42132</v>
      </c>
      <c r="D172" s="2">
        <v>2116.1000979999999</v>
      </c>
      <c r="E172" s="3">
        <f t="shared" si="27"/>
        <v>1.3457901340996115E-2</v>
      </c>
      <c r="F172" s="3">
        <f t="shared" si="28"/>
        <v>1.3368148149806192E-2</v>
      </c>
      <c r="G172" s="2">
        <f t="shared" si="29"/>
        <v>1949.5586056647817</v>
      </c>
      <c r="H172" s="2">
        <f t="shared" si="30"/>
        <v>183.45691619074341</v>
      </c>
      <c r="I172" s="2">
        <f t="shared" si="31"/>
        <v>13.376400923233973</v>
      </c>
      <c r="J172" s="2">
        <f t="shared" si="32"/>
        <v>25.888561664781655</v>
      </c>
      <c r="K172" s="2">
        <f t="shared" si="33"/>
        <v>13.377868460435529</v>
      </c>
      <c r="L172" s="2">
        <f t="shared" si="34"/>
        <v>15.034711433501002</v>
      </c>
      <c r="M172" s="2"/>
      <c r="O172" s="4">
        <f t="shared" ca="1" si="35"/>
        <v>0.75278493982550565</v>
      </c>
      <c r="P172" s="4">
        <f t="shared" ca="1" si="36"/>
        <v>0.68327969796501986</v>
      </c>
      <c r="Q172" s="4">
        <f t="shared" ca="1" si="37"/>
        <v>1902.5643560509993</v>
      </c>
      <c r="R172" s="4">
        <f t="shared" ca="1" si="38"/>
        <v>-21.105687949000639</v>
      </c>
      <c r="S172" s="4">
        <f t="shared" ca="1" si="39"/>
        <v>-10.50257695542876</v>
      </c>
    </row>
    <row r="173" spans="3:19" x14ac:dyDescent="0.2">
      <c r="C173" s="1">
        <v>42131</v>
      </c>
      <c r="D173" s="2">
        <v>2088</v>
      </c>
      <c r="E173" s="3">
        <f t="shared" si="27"/>
        <v>3.7738136047081325E-3</v>
      </c>
      <c r="F173" s="3">
        <f t="shared" si="28"/>
        <v>3.7667106347277534E-3</v>
      </c>
      <c r="G173" s="2">
        <f t="shared" si="29"/>
        <v>1930.9296161830166</v>
      </c>
      <c r="H173" s="2">
        <f t="shared" si="30"/>
        <v>173.77680342870497</v>
      </c>
      <c r="I173" s="2">
        <f t="shared" si="31"/>
        <v>3.6962881611955254</v>
      </c>
      <c r="J173" s="2">
        <f t="shared" si="32"/>
        <v>7.2595721830166919</v>
      </c>
      <c r="K173" s="2">
        <f t="shared" si="33"/>
        <v>3.6963196591884842</v>
      </c>
      <c r="L173" s="2">
        <f t="shared" si="34"/>
        <v>4.2159767049092238</v>
      </c>
      <c r="M173" s="2"/>
      <c r="O173" s="4">
        <f t="shared" ca="1" si="35"/>
        <v>0.23847831364706518</v>
      </c>
      <c r="P173" s="4">
        <f t="shared" ca="1" si="36"/>
        <v>-0.71120594149713279</v>
      </c>
      <c r="Q173" s="4">
        <f t="shared" ca="1" si="37"/>
        <v>1944.8102365847428</v>
      </c>
      <c r="R173" s="4">
        <f t="shared" ca="1" si="38"/>
        <v>21.140192584742863</v>
      </c>
      <c r="S173" s="4">
        <f t="shared" ca="1" si="39"/>
        <v>10.883294941305422</v>
      </c>
    </row>
    <row r="174" spans="3:19" x14ac:dyDescent="0.2">
      <c r="C174" s="1">
        <v>42130</v>
      </c>
      <c r="D174" s="2">
        <v>2080.1499020000001</v>
      </c>
      <c r="E174" s="3">
        <f t="shared" si="27"/>
        <v>-4.4557250073096327E-3</v>
      </c>
      <c r="F174" s="3">
        <f t="shared" si="28"/>
        <v>-4.46568133609649E-3</v>
      </c>
      <c r="G174" s="2">
        <f t="shared" si="29"/>
        <v>1915.0986992791368</v>
      </c>
      <c r="H174" s="2">
        <f t="shared" si="30"/>
        <v>165.77157376368552</v>
      </c>
      <c r="I174" s="2">
        <f t="shared" si="31"/>
        <v>-4.3089415038239167</v>
      </c>
      <c r="J174" s="2">
        <f t="shared" si="32"/>
        <v>-8.5713447208632214</v>
      </c>
      <c r="K174" s="2">
        <f t="shared" si="33"/>
        <v>-4.308992111557683</v>
      </c>
      <c r="L174" s="2">
        <f t="shared" si="34"/>
        <v>-3.6504490462347121</v>
      </c>
      <c r="M174" s="2"/>
      <c r="O174" s="4">
        <f t="shared" ca="1" si="35"/>
        <v>0.32393346185982141</v>
      </c>
      <c r="P174" s="4">
        <f t="shared" ca="1" si="36"/>
        <v>-0.45672749779118943</v>
      </c>
      <c r="Q174" s="4">
        <f t="shared" ca="1" si="37"/>
        <v>1937.100823431259</v>
      </c>
      <c r="R174" s="4">
        <f t="shared" ca="1" si="38"/>
        <v>13.430779431258998</v>
      </c>
      <c r="S174" s="4">
        <f t="shared" ca="1" si="39"/>
        <v>6.8722216239647835</v>
      </c>
    </row>
    <row r="175" spans="3:19" x14ac:dyDescent="0.2">
      <c r="C175" s="1">
        <v>42129</v>
      </c>
      <c r="D175" s="2">
        <v>2089.459961</v>
      </c>
      <c r="E175" s="3">
        <f t="shared" si="27"/>
        <v>-1.1837383538524111E-2</v>
      </c>
      <c r="F175" s="3">
        <f t="shared" si="28"/>
        <v>-1.1908003217775753E-2</v>
      </c>
      <c r="G175" s="2">
        <f t="shared" si="29"/>
        <v>1900.8988238876022</v>
      </c>
      <c r="H175" s="2">
        <f t="shared" si="30"/>
        <v>158.76550525862126</v>
      </c>
      <c r="I175" s="2">
        <f t="shared" si="31"/>
        <v>-11.31501000888818</v>
      </c>
      <c r="J175" s="2">
        <f t="shared" si="32"/>
        <v>-22.77122011239755</v>
      </c>
      <c r="K175" s="2">
        <f t="shared" si="33"/>
        <v>-11.315937681910626</v>
      </c>
      <c r="L175" s="2">
        <f t="shared" si="34"/>
        <v>-9.6980323914134772</v>
      </c>
      <c r="M175" s="2"/>
      <c r="O175" s="4">
        <f t="shared" ca="1" si="35"/>
        <v>0.71783834615435937</v>
      </c>
      <c r="P175" s="4">
        <f t="shared" ca="1" si="36"/>
        <v>0.57643187043562094</v>
      </c>
      <c r="Q175" s="4">
        <f t="shared" ca="1" si="37"/>
        <v>1905.8013062420664</v>
      </c>
      <c r="R175" s="4">
        <f t="shared" ca="1" si="38"/>
        <v>-17.868737757933559</v>
      </c>
      <c r="S175" s="4">
        <f t="shared" ca="1" si="39"/>
        <v>-8.9153562143070584</v>
      </c>
    </row>
    <row r="176" spans="3:19" x14ac:dyDescent="0.2">
      <c r="C176" s="1">
        <v>42128</v>
      </c>
      <c r="D176" s="2">
        <v>2114.48999</v>
      </c>
      <c r="E176" s="3">
        <f t="shared" si="27"/>
        <v>2.9407486092097672E-3</v>
      </c>
      <c r="F176" s="3">
        <f t="shared" si="28"/>
        <v>2.9364330665656102E-3</v>
      </c>
      <c r="G176" s="2">
        <f t="shared" si="29"/>
        <v>1929.3270740064713</v>
      </c>
      <c r="H176" s="2">
        <f t="shared" si="30"/>
        <v>172.95717142270701</v>
      </c>
      <c r="I176" s="2">
        <f t="shared" si="31"/>
        <v>2.8766561551975656</v>
      </c>
      <c r="J176" s="2">
        <f t="shared" si="32"/>
        <v>5.6570300064714916</v>
      </c>
      <c r="K176" s="2">
        <f t="shared" si="33"/>
        <v>2.8766710240280844</v>
      </c>
      <c r="L176" s="2">
        <f t="shared" si="34"/>
        <v>3.2853047156210096</v>
      </c>
      <c r="M176" s="2"/>
      <c r="O176" s="4">
        <f t="shared" ca="1" si="35"/>
        <v>0.36324276655267407</v>
      </c>
      <c r="P176" s="4">
        <f t="shared" ca="1" si="36"/>
        <v>-0.34980435148916883</v>
      </c>
      <c r="Q176" s="4">
        <f t="shared" ca="1" si="37"/>
        <v>1933.8615914613197</v>
      </c>
      <c r="R176" s="4">
        <f t="shared" ca="1" si="38"/>
        <v>10.191547461319715</v>
      </c>
      <c r="S176" s="4">
        <f t="shared" ca="1" si="39"/>
        <v>5.2013424698172788</v>
      </c>
    </row>
    <row r="177" spans="3:19" x14ac:dyDescent="0.2">
      <c r="C177" s="1">
        <v>42125</v>
      </c>
      <c r="D177" s="2">
        <v>2108.290039</v>
      </c>
      <c r="E177" s="3">
        <f t="shared" si="27"/>
        <v>1.0923001515586115E-2</v>
      </c>
      <c r="F177" s="3">
        <f t="shared" si="28"/>
        <v>1.0863776421427699E-2</v>
      </c>
      <c r="G177" s="2">
        <f t="shared" si="29"/>
        <v>1944.6822948060997</v>
      </c>
      <c r="H177" s="2">
        <f t="shared" si="30"/>
        <v>180.89607022583675</v>
      </c>
      <c r="I177" s="2">
        <f t="shared" si="31"/>
        <v>10.815554958327311</v>
      </c>
      <c r="J177" s="2">
        <f t="shared" si="32"/>
        <v>21.012250806099608</v>
      </c>
      <c r="K177" s="2">
        <f t="shared" si="33"/>
        <v>10.816334211597452</v>
      </c>
      <c r="L177" s="2">
        <f t="shared" si="34"/>
        <v>12.202807229256734</v>
      </c>
      <c r="M177" s="2"/>
      <c r="O177" s="4">
        <f t="shared" ca="1" si="35"/>
        <v>0.98114135634690214</v>
      </c>
      <c r="P177" s="4">
        <f t="shared" ca="1" si="36"/>
        <v>2.0779139296558298</v>
      </c>
      <c r="Q177" s="4">
        <f t="shared" ca="1" si="37"/>
        <v>1860.3139739222859</v>
      </c>
      <c r="R177" s="4">
        <f t="shared" ca="1" si="38"/>
        <v>-63.356070077714094</v>
      </c>
      <c r="S177" s="4">
        <f t="shared" ca="1" si="39"/>
        <v>-30.437490780962865</v>
      </c>
    </row>
    <row r="178" spans="3:19" x14ac:dyDescent="0.2">
      <c r="C178" s="1">
        <v>42124</v>
      </c>
      <c r="D178" s="2">
        <v>2085.51001</v>
      </c>
      <c r="E178" s="3">
        <f t="shared" si="27"/>
        <v>-1.0128906665100539E-2</v>
      </c>
      <c r="F178" s="3">
        <f t="shared" si="28"/>
        <v>-1.0180553084023857E-2</v>
      </c>
      <c r="G178" s="2">
        <f t="shared" si="29"/>
        <v>1904.185369669874</v>
      </c>
      <c r="H178" s="2">
        <f t="shared" si="30"/>
        <v>160.37231142507142</v>
      </c>
      <c r="I178" s="2">
        <f t="shared" si="31"/>
        <v>-9.7082038424380244</v>
      </c>
      <c r="J178" s="2">
        <f t="shared" si="32"/>
        <v>-19.484674330125845</v>
      </c>
      <c r="K178" s="2">
        <f t="shared" si="33"/>
        <v>-9.7087881334915043</v>
      </c>
      <c r="L178" s="2">
        <f t="shared" si="34"/>
        <v>-8.2983257751228052</v>
      </c>
      <c r="M178" s="2"/>
      <c r="O178" s="4">
        <f t="shared" ca="1" si="35"/>
        <v>0.6542951937688587</v>
      </c>
      <c r="P178" s="4">
        <f t="shared" ca="1" si="36"/>
        <v>0.39694283949357517</v>
      </c>
      <c r="Q178" s="4">
        <f t="shared" ca="1" si="37"/>
        <v>1911.2389184653227</v>
      </c>
      <c r="R178" s="4">
        <f t="shared" ca="1" si="38"/>
        <v>-12.431125534677221</v>
      </c>
      <c r="S178" s="4">
        <f t="shared" ca="1" si="39"/>
        <v>-6.2298519267031152</v>
      </c>
    </row>
    <row r="179" spans="3:19" x14ac:dyDescent="0.2">
      <c r="C179" s="1">
        <v>42123</v>
      </c>
      <c r="D179" s="2">
        <v>2106.8500979999999</v>
      </c>
      <c r="E179" s="3">
        <f t="shared" si="27"/>
        <v>-3.7403355286636411E-3</v>
      </c>
      <c r="F179" s="3">
        <f t="shared" si="28"/>
        <v>-3.7473480752430819E-3</v>
      </c>
      <c r="G179" s="2">
        <f t="shared" si="29"/>
        <v>1916.4748725890008</v>
      </c>
      <c r="H179" s="2">
        <f t="shared" si="30"/>
        <v>166.4593531973934</v>
      </c>
      <c r="I179" s="2">
        <f t="shared" si="31"/>
        <v>-3.6211620701160427</v>
      </c>
      <c r="J179" s="2">
        <f t="shared" si="32"/>
        <v>-7.1951714109991496</v>
      </c>
      <c r="K179" s="2">
        <f t="shared" si="33"/>
        <v>-3.6211920703263987</v>
      </c>
      <c r="L179" s="2">
        <f t="shared" si="34"/>
        <v>-3.0643507489372723</v>
      </c>
      <c r="M179" s="2"/>
      <c r="O179" s="4">
        <f t="shared" ca="1" si="35"/>
        <v>0.78539849077422652</v>
      </c>
      <c r="P179" s="4">
        <f t="shared" ca="1" si="36"/>
        <v>0.79055619356129248</v>
      </c>
      <c r="Q179" s="4">
        <f t="shared" ca="1" si="37"/>
        <v>1899.3144193798789</v>
      </c>
      <c r="R179" s="4">
        <f t="shared" ca="1" si="38"/>
        <v>-24.355624620121034</v>
      </c>
      <c r="S179" s="4">
        <f t="shared" ca="1" si="39"/>
        <v>-12.087583723878517</v>
      </c>
    </row>
    <row r="180" spans="3:19" x14ac:dyDescent="0.2">
      <c r="C180" s="1">
        <v>42122</v>
      </c>
      <c r="D180" s="2">
        <v>2114.76001</v>
      </c>
      <c r="E180" s="3">
        <f t="shared" si="27"/>
        <v>2.7692317470553647E-3</v>
      </c>
      <c r="F180" s="3">
        <f t="shared" si="28"/>
        <v>2.7654044889026041E-3</v>
      </c>
      <c r="G180" s="2">
        <f t="shared" si="29"/>
        <v>1928.9971321567041</v>
      </c>
      <c r="H180" s="2">
        <f t="shared" si="30"/>
        <v>172.78867881775409</v>
      </c>
      <c r="I180" s="2">
        <f t="shared" si="31"/>
        <v>2.7081635502446488</v>
      </c>
      <c r="J180" s="2">
        <f t="shared" si="32"/>
        <v>5.3270881567041899</v>
      </c>
      <c r="K180" s="2">
        <f t="shared" si="33"/>
        <v>2.708175960096495</v>
      </c>
      <c r="L180" s="2">
        <f t="shared" si="34"/>
        <v>3.0936918880983058</v>
      </c>
      <c r="M180" s="2"/>
      <c r="O180" s="4">
        <f t="shared" ca="1" si="35"/>
        <v>0.50045395616232446</v>
      </c>
      <c r="P180" s="4">
        <f t="shared" ca="1" si="36"/>
        <v>1.1378995974871075E-3</v>
      </c>
      <c r="Q180" s="4">
        <f t="shared" ca="1" si="37"/>
        <v>1923.2298115461329</v>
      </c>
      <c r="R180" s="4">
        <f t="shared" ca="1" si="38"/>
        <v>-0.44023245386711096</v>
      </c>
      <c r="S180" s="4">
        <f t="shared" ca="1" si="39"/>
        <v>-0.2227710882888585</v>
      </c>
    </row>
    <row r="181" spans="3:19" x14ac:dyDescent="0.2">
      <c r="C181" s="1">
        <v>42121</v>
      </c>
      <c r="D181" s="2">
        <v>2108.919922</v>
      </c>
      <c r="E181" s="3">
        <f t="shared" si="27"/>
        <v>-4.141313999847746E-3</v>
      </c>
      <c r="F181" s="3">
        <f t="shared" si="28"/>
        <v>-4.1499129896262112E-3</v>
      </c>
      <c r="G181" s="2">
        <f t="shared" si="29"/>
        <v>1915.703522315695</v>
      </c>
      <c r="H181" s="2">
        <f t="shared" si="30"/>
        <v>166.07365946949426</v>
      </c>
      <c r="I181" s="2">
        <f t="shared" si="31"/>
        <v>-4.0068557980151809</v>
      </c>
      <c r="J181" s="2">
        <f t="shared" si="32"/>
        <v>-7.9665216843049294</v>
      </c>
      <c r="K181" s="2">
        <f t="shared" si="33"/>
        <v>-4.0068964691055795</v>
      </c>
      <c r="L181" s="2">
        <f t="shared" si="34"/>
        <v>-3.3928610307193878</v>
      </c>
      <c r="M181" s="2"/>
      <c r="O181" s="4">
        <f t="shared" ca="1" si="35"/>
        <v>0.1666733505595126</v>
      </c>
      <c r="P181" s="4">
        <f t="shared" ca="1" si="36"/>
        <v>-0.96739481492621004</v>
      </c>
      <c r="Q181" s="4">
        <f t="shared" ca="1" si="37"/>
        <v>1952.5714671307483</v>
      </c>
      <c r="R181" s="4">
        <f t="shared" ca="1" si="38"/>
        <v>28.901423130748299</v>
      </c>
      <c r="S181" s="4">
        <f t="shared" ca="1" si="39"/>
        <v>14.97020524861523</v>
      </c>
    </row>
    <row r="182" spans="3:19" x14ac:dyDescent="0.2">
      <c r="C182" s="1">
        <v>42118</v>
      </c>
      <c r="D182" s="2">
        <v>2117.6899410000001</v>
      </c>
      <c r="E182" s="3">
        <f t="shared" si="27"/>
        <v>2.2528002125912815E-3</v>
      </c>
      <c r="F182" s="3">
        <f t="shared" si="28"/>
        <v>2.2502664628334234E-3</v>
      </c>
      <c r="G182" s="2">
        <f t="shared" si="29"/>
        <v>1928.0036882840786</v>
      </c>
      <c r="H182" s="2">
        <f t="shared" si="30"/>
        <v>172.28188673296916</v>
      </c>
      <c r="I182" s="2">
        <f t="shared" si="31"/>
        <v>2.2013714654597152</v>
      </c>
      <c r="J182" s="2">
        <f t="shared" si="32"/>
        <v>4.3336442840786802</v>
      </c>
      <c r="K182" s="2">
        <f t="shared" si="33"/>
        <v>2.2013781367504524</v>
      </c>
      <c r="L182" s="2">
        <f t="shared" si="34"/>
        <v>2.5167520741485703</v>
      </c>
      <c r="M182" s="2"/>
      <c r="O182" s="4">
        <f t="shared" ca="1" si="35"/>
        <v>0.72774814408167199</v>
      </c>
      <c r="P182" s="4">
        <f t="shared" ca="1" si="36"/>
        <v>0.60601662760484654</v>
      </c>
      <c r="Q182" s="4">
        <f t="shared" ca="1" si="37"/>
        <v>1904.9050373371581</v>
      </c>
      <c r="R182" s="4">
        <f t="shared" ca="1" si="38"/>
        <v>-18.76500666284187</v>
      </c>
      <c r="S182" s="4">
        <f t="shared" ca="1" si="39"/>
        <v>-9.35569072970506</v>
      </c>
    </row>
    <row r="183" spans="3:19" x14ac:dyDescent="0.2">
      <c r="C183" s="1">
        <v>42117</v>
      </c>
      <c r="D183" s="2">
        <v>2112.929932</v>
      </c>
      <c r="E183" s="3">
        <f t="shared" si="27"/>
        <v>2.3577160344365701E-3</v>
      </c>
      <c r="F183" s="3">
        <f t="shared" si="28"/>
        <v>2.3549409829866624E-3</v>
      </c>
      <c r="G183" s="2">
        <f t="shared" si="29"/>
        <v>1928.2055117077041</v>
      </c>
      <c r="H183" s="2">
        <f t="shared" si="30"/>
        <v>172.3847794000734</v>
      </c>
      <c r="I183" s="2">
        <f t="shared" si="31"/>
        <v>2.3042641325639579</v>
      </c>
      <c r="J183" s="2">
        <f t="shared" si="32"/>
        <v>4.5354677077041021</v>
      </c>
      <c r="K183" s="2">
        <f t="shared" si="33"/>
        <v>2.304271782325181</v>
      </c>
      <c r="L183" s="2">
        <f t="shared" si="34"/>
        <v>2.6339604758366022</v>
      </c>
      <c r="M183" s="2"/>
      <c r="O183" s="4">
        <f t="shared" ca="1" si="35"/>
        <v>6.2197552289458891E-2</v>
      </c>
      <c r="P183" s="4">
        <f t="shared" ca="1" si="36"/>
        <v>-1.5365844431089581</v>
      </c>
      <c r="Q183" s="4">
        <f t="shared" ca="1" si="37"/>
        <v>1969.8150416450967</v>
      </c>
      <c r="R183" s="4">
        <f t="shared" ca="1" si="38"/>
        <v>46.144997645096737</v>
      </c>
      <c r="S183" s="4">
        <f t="shared" ca="1" si="39"/>
        <v>24.22584704911635</v>
      </c>
    </row>
    <row r="184" spans="3:19" x14ac:dyDescent="0.2">
      <c r="C184" s="1">
        <v>42116</v>
      </c>
      <c r="D184" s="2">
        <v>2107.959961</v>
      </c>
      <c r="E184" s="3">
        <f t="shared" si="27"/>
        <v>5.0874804159597893E-3</v>
      </c>
      <c r="F184" s="3">
        <f t="shared" si="28"/>
        <v>5.0745829128360466E-3</v>
      </c>
      <c r="G184" s="2">
        <f t="shared" si="29"/>
        <v>1933.4566776756185</v>
      </c>
      <c r="H184" s="2">
        <f t="shared" si="30"/>
        <v>175.07351599048525</v>
      </c>
      <c r="I184" s="2">
        <f t="shared" si="31"/>
        <v>4.9930007229758075</v>
      </c>
      <c r="J184" s="2">
        <f t="shared" si="32"/>
        <v>9.7866336756185053</v>
      </c>
      <c r="K184" s="2">
        <f t="shared" si="33"/>
        <v>4.9930781829366904</v>
      </c>
      <c r="L184" s="2">
        <f t="shared" si="34"/>
        <v>5.6835607602902201</v>
      </c>
      <c r="M184" s="2"/>
      <c r="O184" s="4">
        <f t="shared" ca="1" si="35"/>
        <v>0.39751723672198436</v>
      </c>
      <c r="P184" s="4">
        <f t="shared" ca="1" si="36"/>
        <v>-0.25977871104648764</v>
      </c>
      <c r="Q184" s="4">
        <f t="shared" ca="1" si="37"/>
        <v>1931.1342686811565</v>
      </c>
      <c r="R184" s="4">
        <f t="shared" ca="1" si="38"/>
        <v>7.4642246811565656</v>
      </c>
      <c r="S184" s="4">
        <f t="shared" ca="1" si="39"/>
        <v>3.8011433644508257</v>
      </c>
    </row>
    <row r="185" spans="3:19" x14ac:dyDescent="0.2">
      <c r="C185" s="1">
        <v>42115</v>
      </c>
      <c r="D185" s="2">
        <v>2097.290039</v>
      </c>
      <c r="E185" s="3">
        <f t="shared" si="27"/>
        <v>-1.4806051919155593E-3</v>
      </c>
      <c r="F185" s="3">
        <f t="shared" si="28"/>
        <v>-1.4817023709090096E-3</v>
      </c>
      <c r="G185" s="2">
        <f t="shared" si="29"/>
        <v>1920.8218481453212</v>
      </c>
      <c r="H185" s="2">
        <f t="shared" si="30"/>
        <v>168.64203473640305</v>
      </c>
      <c r="I185" s="2">
        <f t="shared" si="31"/>
        <v>-1.4384805311063928</v>
      </c>
      <c r="J185" s="2">
        <f t="shared" si="32"/>
        <v>-2.8481958546788322</v>
      </c>
      <c r="K185" s="2">
        <f t="shared" si="33"/>
        <v>-1.4384824044851614</v>
      </c>
      <c r="L185" s="2">
        <f t="shared" si="34"/>
        <v>-1.2130178145669674</v>
      </c>
      <c r="M185" s="2"/>
      <c r="O185" s="4">
        <f t="shared" ca="1" si="35"/>
        <v>4.0119746935085132E-2</v>
      </c>
      <c r="P185" s="4">
        <f t="shared" ca="1" si="36"/>
        <v>-1.7492981599832771</v>
      </c>
      <c r="Q185" s="4">
        <f t="shared" ca="1" si="37"/>
        <v>1976.2591942535287</v>
      </c>
      <c r="R185" s="4">
        <f t="shared" ca="1" si="38"/>
        <v>52.589150253528715</v>
      </c>
      <c r="S185" s="4">
        <f t="shared" ca="1" si="39"/>
        <v>27.746941236895729</v>
      </c>
    </row>
    <row r="186" spans="3:19" x14ac:dyDescent="0.2">
      <c r="C186" s="1">
        <v>42114</v>
      </c>
      <c r="D186" s="2">
        <v>2100.3999020000001</v>
      </c>
      <c r="E186" s="3">
        <f t="shared" si="27"/>
        <v>9.235131333180711E-3</v>
      </c>
      <c r="F186" s="3">
        <f t="shared" si="28"/>
        <v>9.1927482501988188E-3</v>
      </c>
      <c r="G186" s="2">
        <f t="shared" si="29"/>
        <v>1941.4353894980454</v>
      </c>
      <c r="H186" s="2">
        <f t="shared" si="30"/>
        <v>179.20151250225877</v>
      </c>
      <c r="I186" s="2">
        <f t="shared" si="31"/>
        <v>9.1209972347493249</v>
      </c>
      <c r="J186" s="2">
        <f t="shared" si="32"/>
        <v>17.765345498045516</v>
      </c>
      <c r="K186" s="2">
        <f t="shared" si="33"/>
        <v>9.1214660019207994</v>
      </c>
      <c r="L186" s="2">
        <f t="shared" si="34"/>
        <v>10.317175845381655</v>
      </c>
      <c r="M186" s="2"/>
      <c r="O186" s="4">
        <f t="shared" ca="1" si="35"/>
        <v>0.96385049513451082</v>
      </c>
      <c r="P186" s="4">
        <f t="shared" ca="1" si="36"/>
        <v>1.7972306555150237</v>
      </c>
      <c r="Q186" s="4">
        <f t="shared" ca="1" si="37"/>
        <v>1868.8172612503261</v>
      </c>
      <c r="R186" s="4">
        <f t="shared" ca="1" si="38"/>
        <v>-54.852782749673906</v>
      </c>
      <c r="S186" s="4">
        <f t="shared" ca="1" si="39"/>
        <v>-26.542214712821433</v>
      </c>
    </row>
    <row r="187" spans="3:19" x14ac:dyDescent="0.2">
      <c r="C187" s="1">
        <v>42111</v>
      </c>
      <c r="D187" s="2">
        <v>2081.179932</v>
      </c>
      <c r="E187" s="3">
        <f t="shared" si="27"/>
        <v>-1.1311245237798032E-2</v>
      </c>
      <c r="F187" s="3">
        <f t="shared" si="28"/>
        <v>-1.1375703905032222E-2</v>
      </c>
      <c r="G187" s="2">
        <f t="shared" si="29"/>
        <v>1901.9109403757102</v>
      </c>
      <c r="H187" s="2">
        <f t="shared" si="30"/>
        <v>159.25938503224927</v>
      </c>
      <c r="I187" s="2">
        <f t="shared" si="31"/>
        <v>-10.821130235260171</v>
      </c>
      <c r="J187" s="2">
        <f t="shared" si="32"/>
        <v>-21.759103624289732</v>
      </c>
      <c r="K187" s="2">
        <f t="shared" si="33"/>
        <v>-10.821940961114191</v>
      </c>
      <c r="L187" s="2">
        <f t="shared" si="34"/>
        <v>-9.2669822132892818</v>
      </c>
      <c r="M187" s="2"/>
      <c r="O187" s="4">
        <f t="shared" ca="1" si="35"/>
        <v>0.51073617000965377</v>
      </c>
      <c r="P187" s="4">
        <f t="shared" ca="1" si="36"/>
        <v>2.6914836510091189E-2</v>
      </c>
      <c r="Q187" s="4">
        <f t="shared" ca="1" si="37"/>
        <v>1922.4489003868357</v>
      </c>
      <c r="R187" s="4">
        <f t="shared" ca="1" si="38"/>
        <v>-1.2211436131642586</v>
      </c>
      <c r="S187" s="4">
        <f t="shared" ca="1" si="39"/>
        <v>-0.6175478397094869</v>
      </c>
    </row>
    <row r="188" spans="3:19" x14ac:dyDescent="0.2">
      <c r="C188" s="1">
        <v>42110</v>
      </c>
      <c r="D188" s="2">
        <v>2104.98999</v>
      </c>
      <c r="E188" s="3">
        <f t="shared" si="27"/>
        <v>-7.7844381361603856E-4</v>
      </c>
      <c r="F188" s="3">
        <f t="shared" si="28"/>
        <v>-7.7874695833246642E-4</v>
      </c>
      <c r="G188" s="2">
        <f t="shared" si="29"/>
        <v>1922.1725749548098</v>
      </c>
      <c r="H188" s="2">
        <f t="shared" si="30"/>
        <v>169.32339485963757</v>
      </c>
      <c r="I188" s="2">
        <f t="shared" si="31"/>
        <v>-0.75712040787186652</v>
      </c>
      <c r="J188" s="2">
        <f t="shared" si="32"/>
        <v>-1.4974690451902926</v>
      </c>
      <c r="K188" s="2">
        <f t="shared" si="33"/>
        <v>-0.75712068069901228</v>
      </c>
      <c r="L188" s="2">
        <f t="shared" si="34"/>
        <v>-0.63775692447359233</v>
      </c>
      <c r="M188" s="2"/>
      <c r="O188" s="4">
        <f t="shared" ca="1" si="35"/>
        <v>7.5871716589137606E-3</v>
      </c>
      <c r="P188" s="4">
        <f t="shared" ca="1" si="36"/>
        <v>-2.4281911486927146</v>
      </c>
      <c r="Q188" s="4">
        <f t="shared" ca="1" si="37"/>
        <v>1996.8262272043137</v>
      </c>
      <c r="R188" s="4">
        <f t="shared" ca="1" si="38"/>
        <v>73.15618320431372</v>
      </c>
      <c r="S188" s="4">
        <f t="shared" ca="1" si="39"/>
        <v>39.210940626465877</v>
      </c>
    </row>
    <row r="189" spans="3:19" x14ac:dyDescent="0.2">
      <c r="C189" s="1">
        <v>42109</v>
      </c>
      <c r="D189" s="2">
        <v>2106.6298830000001</v>
      </c>
      <c r="E189" s="3">
        <f t="shared" si="27"/>
        <v>5.1481957339104684E-3</v>
      </c>
      <c r="F189" s="3">
        <f t="shared" si="28"/>
        <v>5.134989081813774E-3</v>
      </c>
      <c r="G189" s="2">
        <f t="shared" si="29"/>
        <v>1933.5734739139723</v>
      </c>
      <c r="H189" s="2">
        <f t="shared" si="30"/>
        <v>175.13357271741052</v>
      </c>
      <c r="I189" s="2">
        <f t="shared" si="31"/>
        <v>5.0530574499010754</v>
      </c>
      <c r="J189" s="2">
        <f t="shared" si="32"/>
        <v>9.9034299139721629</v>
      </c>
      <c r="K189" s="2">
        <f t="shared" si="33"/>
        <v>5.0531377302211986</v>
      </c>
      <c r="L189" s="2">
        <f t="shared" si="34"/>
        <v>5.7513898565106558</v>
      </c>
      <c r="M189" s="2"/>
      <c r="O189" s="4">
        <f t="shared" ca="1" si="35"/>
        <v>0.52670782631012103</v>
      </c>
      <c r="P189" s="4">
        <f t="shared" ca="1" si="36"/>
        <v>6.6996678568227275E-2</v>
      </c>
      <c r="Q189" s="4">
        <f t="shared" ca="1" si="37"/>
        <v>1921.2346227612779</v>
      </c>
      <c r="R189" s="4">
        <f t="shared" ca="1" si="38"/>
        <v>-2.4354212387220286</v>
      </c>
      <c r="S189" s="4">
        <f t="shared" ca="1" si="39"/>
        <v>-1.2304196455846195</v>
      </c>
    </row>
    <row r="190" spans="3:19" x14ac:dyDescent="0.2">
      <c r="C190" s="1">
        <v>42108</v>
      </c>
      <c r="D190" s="2">
        <v>2095.8400879999999</v>
      </c>
      <c r="E190" s="3">
        <f t="shared" si="27"/>
        <v>1.6297587545693335E-3</v>
      </c>
      <c r="F190" s="3">
        <f t="shared" si="28"/>
        <v>1.6284321389502543E-3</v>
      </c>
      <c r="G190" s="2">
        <f t="shared" si="29"/>
        <v>1926.8051620951117</v>
      </c>
      <c r="H190" s="2">
        <f t="shared" si="30"/>
        <v>171.6715413034791</v>
      </c>
      <c r="I190" s="2">
        <f t="shared" si="31"/>
        <v>1.5910260359696622</v>
      </c>
      <c r="J190" s="2">
        <f t="shared" si="32"/>
        <v>3.1351180951117747</v>
      </c>
      <c r="K190" s="2">
        <f t="shared" si="33"/>
        <v>1.5910285572946357</v>
      </c>
      <c r="L190" s="2">
        <f t="shared" si="34"/>
        <v>1.8207112654726245</v>
      </c>
      <c r="M190" s="2"/>
      <c r="O190" s="4">
        <f t="shared" ca="1" si="35"/>
        <v>0.43461226031923894</v>
      </c>
      <c r="P190" s="4">
        <f t="shared" ca="1" si="36"/>
        <v>-0.16464358858143249</v>
      </c>
      <c r="Q190" s="4">
        <f t="shared" ca="1" si="37"/>
        <v>1928.2521543699816</v>
      </c>
      <c r="R190" s="4">
        <f t="shared" ca="1" si="38"/>
        <v>4.5821103699815922</v>
      </c>
      <c r="S190" s="4">
        <f t="shared" ca="1" si="39"/>
        <v>2.3280558683928421</v>
      </c>
    </row>
    <row r="191" spans="3:19" x14ac:dyDescent="0.2">
      <c r="C191" s="1">
        <v>42107</v>
      </c>
      <c r="D191" s="2">
        <v>2092.429932</v>
      </c>
      <c r="E191" s="3">
        <f t="shared" si="27"/>
        <v>-4.5812806150653867E-3</v>
      </c>
      <c r="F191" s="3">
        <f t="shared" si="28"/>
        <v>-4.5918068424737933E-3</v>
      </c>
      <c r="G191" s="2">
        <f t="shared" si="29"/>
        <v>1914.8571717176408</v>
      </c>
      <c r="H191" s="2">
        <f t="shared" si="30"/>
        <v>165.65102371446221</v>
      </c>
      <c r="I191" s="2">
        <f t="shared" si="31"/>
        <v>-4.4294915530472281</v>
      </c>
      <c r="J191" s="2">
        <f t="shared" si="32"/>
        <v>-8.8128722823591801</v>
      </c>
      <c r="K191" s="2">
        <f t="shared" si="33"/>
        <v>-4.4295465398745018</v>
      </c>
      <c r="L191" s="2">
        <f t="shared" si="34"/>
        <v>-3.7533131924352574</v>
      </c>
      <c r="M191" s="2"/>
      <c r="O191" s="4">
        <f t="shared" ca="1" si="35"/>
        <v>0.60283723494516916</v>
      </c>
      <c r="P191" s="4">
        <f t="shared" ca="1" si="36"/>
        <v>0.26069784232891779</v>
      </c>
      <c r="Q191" s="4">
        <f t="shared" ca="1" si="37"/>
        <v>1915.3664546052851</v>
      </c>
      <c r="R191" s="4">
        <f t="shared" ca="1" si="38"/>
        <v>-8.3035893947148907</v>
      </c>
      <c r="S191" s="4">
        <f t="shared" ca="1" si="39"/>
        <v>-4.175291025479174</v>
      </c>
    </row>
    <row r="192" spans="3:19" x14ac:dyDescent="0.2">
      <c r="C192" s="1">
        <v>42104</v>
      </c>
      <c r="D192" s="2">
        <v>2102.0600589999999</v>
      </c>
      <c r="E192" s="3">
        <f t="shared" si="27"/>
        <v>5.2028650588637638E-3</v>
      </c>
      <c r="F192" s="3">
        <f t="shared" si="28"/>
        <v>5.1893769208662789E-3</v>
      </c>
      <c r="G192" s="2">
        <f t="shared" si="29"/>
        <v>1933.6786396567106</v>
      </c>
      <c r="H192" s="2">
        <f t="shared" si="30"/>
        <v>175.18765847741679</v>
      </c>
      <c r="I192" s="2">
        <f t="shared" si="31"/>
        <v>5.107143209907349</v>
      </c>
      <c r="J192" s="2">
        <f t="shared" si="32"/>
        <v>10.008595656710519</v>
      </c>
      <c r="K192" s="2">
        <f t="shared" si="33"/>
        <v>5.1072260878710365</v>
      </c>
      <c r="L192" s="2">
        <f t="shared" si="34"/>
        <v>5.8124645741883967</v>
      </c>
      <c r="M192" s="2"/>
      <c r="O192" s="4">
        <f t="shared" ca="1" si="35"/>
        <v>6.3935857163264553E-2</v>
      </c>
      <c r="P192" s="4">
        <f t="shared" ca="1" si="36"/>
        <v>-1.522548453394325</v>
      </c>
      <c r="Q192" s="4">
        <f t="shared" ca="1" si="37"/>
        <v>1969.3898219598757</v>
      </c>
      <c r="R192" s="4">
        <f t="shared" ca="1" si="38"/>
        <v>45.719777959875728</v>
      </c>
      <c r="S192" s="4">
        <f t="shared" ca="1" si="39"/>
        <v>23.994695451963107</v>
      </c>
    </row>
    <row r="193" spans="3:19" x14ac:dyDescent="0.2">
      <c r="C193" s="1">
        <v>42103</v>
      </c>
      <c r="D193" s="2">
        <v>2091.179932</v>
      </c>
      <c r="E193" s="3">
        <f t="shared" si="27"/>
        <v>4.4574813568533881E-3</v>
      </c>
      <c r="F193" s="3">
        <f t="shared" si="28"/>
        <v>4.4475762105921478E-3</v>
      </c>
      <c r="G193" s="2">
        <f t="shared" si="29"/>
        <v>1932.2447673578674</v>
      </c>
      <c r="H193" s="2">
        <f t="shared" si="30"/>
        <v>174.45100233655569</v>
      </c>
      <c r="I193" s="2">
        <f t="shared" si="31"/>
        <v>4.3704870690462485</v>
      </c>
      <c r="J193" s="2">
        <f t="shared" si="32"/>
        <v>8.5747233578673363</v>
      </c>
      <c r="K193" s="2">
        <f t="shared" si="33"/>
        <v>4.3705390756701039</v>
      </c>
      <c r="L193" s="2">
        <f t="shared" si="34"/>
        <v>4.9797471554016397</v>
      </c>
      <c r="M193" s="2"/>
      <c r="O193" s="4">
        <f t="shared" ca="1" si="35"/>
        <v>0.66862919173358992</v>
      </c>
      <c r="P193" s="4">
        <f t="shared" ca="1" si="36"/>
        <v>0.43613109653899057</v>
      </c>
      <c r="Q193" s="4">
        <f t="shared" ca="1" si="37"/>
        <v>1910.0517119580511</v>
      </c>
      <c r="R193" s="4">
        <f t="shared" ca="1" si="38"/>
        <v>-13.618332041948861</v>
      </c>
      <c r="S193" s="4">
        <f t="shared" ca="1" si="39"/>
        <v>-6.8182384315614497</v>
      </c>
    </row>
    <row r="194" spans="3:19" x14ac:dyDescent="0.2">
      <c r="C194" s="1">
        <v>42102</v>
      </c>
      <c r="D194" s="2">
        <v>2081.8999020000001</v>
      </c>
      <c r="E194" s="3">
        <f t="shared" si="27"/>
        <v>2.6825330225747246E-3</v>
      </c>
      <c r="F194" s="3">
        <f t="shared" si="28"/>
        <v>2.6789414524361062E-3</v>
      </c>
      <c r="G194" s="2">
        <f t="shared" si="29"/>
        <v>1928.8303524175678</v>
      </c>
      <c r="H194" s="2">
        <f t="shared" si="30"/>
        <v>172.70354241371069</v>
      </c>
      <c r="I194" s="2">
        <f t="shared" si="31"/>
        <v>2.6230271462012524</v>
      </c>
      <c r="J194" s="2">
        <f t="shared" si="32"/>
        <v>5.1603084175677738</v>
      </c>
      <c r="K194" s="2">
        <f t="shared" si="33"/>
        <v>2.6230384237693531</v>
      </c>
      <c r="L194" s="2">
        <f t="shared" si="34"/>
        <v>2.9968350104032311</v>
      </c>
      <c r="M194" s="2"/>
      <c r="O194" s="4">
        <f t="shared" ca="1" si="35"/>
        <v>0.44187471433628489</v>
      </c>
      <c r="P194" s="4">
        <f t="shared" ca="1" si="36"/>
        <v>-0.14621783234932631</v>
      </c>
      <c r="Q194" s="4">
        <f t="shared" ca="1" si="37"/>
        <v>1927.6939469030151</v>
      </c>
      <c r="R194" s="4">
        <f t="shared" ca="1" si="38"/>
        <v>4.0239029030151414</v>
      </c>
      <c r="S194" s="4">
        <f t="shared" ca="1" si="39"/>
        <v>2.0435302445347352</v>
      </c>
    </row>
    <row r="195" spans="3:19" x14ac:dyDescent="0.2">
      <c r="C195" s="1">
        <v>42101</v>
      </c>
      <c r="D195" s="2">
        <v>2076.330078</v>
      </c>
      <c r="E195" s="3">
        <f t="shared" ref="E195:E252" si="40">(D195-D196)/D196</f>
        <v>-2.0619040280095394E-3</v>
      </c>
      <c r="F195" s="3">
        <f t="shared" ref="F195:F252" si="41">LN(D195/D196)</f>
        <v>-2.0640326786721432E-3</v>
      </c>
      <c r="G195" s="2">
        <f t="shared" ref="G195:G252" si="42">$D$2*(1+E195)</f>
        <v>1919.7036209877151</v>
      </c>
      <c r="H195" s="2">
        <f t="shared" ref="H195:H252" si="43">G195*EXP(-$B$9*$B$7)*_xlfn.NORM.S.DIST((LN(G195/$B$5)+($B$8-$B$9+0.5*$B$6^2)*$B$7)/($B$6*SQRT($B$7)),TRUE)-$B$5*EXP(-$B$8*$B$7)*_xlfn.NORM.S.DIST((LN(G195/$B$5)+($B$8-$B$9-0.5*$B$6^2)*$B$7)/($B$6*SQRT($B$7)),TRUE)</f>
        <v>168.07908236011053</v>
      </c>
      <c r="I195" s="2">
        <f t="shared" ref="I195:I252" si="44">H195-$B$10</f>
        <v>-2.0014329073989074</v>
      </c>
      <c r="J195" s="2">
        <f t="shared" ref="J195:J252" si="45">E195*$B$4</f>
        <v>-3.9664230122848876</v>
      </c>
      <c r="K195" s="2">
        <f t="shared" ref="K195:K252" si="46">$B$12*J195+0.5*$B$13*J195^2</f>
        <v>-2.0014379582768393</v>
      </c>
      <c r="L195" s="2">
        <f t="shared" ref="L195:L252" si="47">linearinterp(A$22:A$28,B$22:B$28,7,1+E195)-$B$10</f>
        <v>-1.689259453877213</v>
      </c>
      <c r="M195" s="2"/>
      <c r="O195" s="4">
        <f t="shared" ref="O195:O258" ca="1" si="48">RAND()</f>
        <v>0.71146700243869909</v>
      </c>
      <c r="P195" s="4">
        <f t="shared" ref="P195:P258" ca="1" si="49">NORMSINV(O195)</f>
        <v>0.55767549329150135</v>
      </c>
      <c r="Q195" s="4">
        <f t="shared" ref="Q195:Q258" ca="1" si="50">$B$4*(1+$B$17-$B$6/SQRT(252)*P195)</f>
        <v>1906.369529854883</v>
      </c>
      <c r="R195" s="4">
        <f t="shared" ref="R195:R258" ca="1" si="51">Q195-$B$4</f>
        <v>-17.300514145116949</v>
      </c>
      <c r="S195" s="4">
        <f t="shared" ref="S195:S258" ca="1" si="52">R195*$B$12+0.5*$B$13*R195^2</f>
        <v>-8.6358507269558995</v>
      </c>
    </row>
    <row r="196" spans="3:19" x14ac:dyDescent="0.2">
      <c r="C196" s="1">
        <v>42100</v>
      </c>
      <c r="D196" s="2">
        <v>2080.6201169999999</v>
      </c>
      <c r="E196" s="3">
        <f t="shared" si="40"/>
        <v>6.6088150025852945E-3</v>
      </c>
      <c r="F196" s="3">
        <f t="shared" si="41"/>
        <v>6.5870725268106249E-3</v>
      </c>
      <c r="G196" s="2">
        <f t="shared" si="42"/>
        <v>1936.3832234468111</v>
      </c>
      <c r="H196" s="2">
        <f t="shared" si="43"/>
        <v>176.58167323030671</v>
      </c>
      <c r="I196" s="2">
        <f t="shared" si="44"/>
        <v>6.5011579627972651</v>
      </c>
      <c r="J196" s="2">
        <f t="shared" si="45"/>
        <v>12.713179446811113</v>
      </c>
      <c r="K196" s="2">
        <f t="shared" si="46"/>
        <v>6.5013284961508155</v>
      </c>
      <c r="L196" s="2">
        <f t="shared" si="47"/>
        <v>7.3831442186742038</v>
      </c>
      <c r="M196" s="2"/>
      <c r="O196" s="4">
        <f t="shared" ca="1" si="48"/>
        <v>0.14072440641422423</v>
      </c>
      <c r="P196" s="4">
        <f t="shared" ca="1" si="49"/>
        <v>-1.0770704063750427</v>
      </c>
      <c r="Q196" s="4">
        <f t="shared" ca="1" si="50"/>
        <v>1955.8940843042042</v>
      </c>
      <c r="R196" s="4">
        <f t="shared" ca="1" si="51"/>
        <v>32.224040304204209</v>
      </c>
      <c r="S196" s="4">
        <f t="shared" ca="1" si="52"/>
        <v>16.734820947464019</v>
      </c>
    </row>
    <row r="197" spans="3:19" x14ac:dyDescent="0.2">
      <c r="C197" s="1">
        <v>42096</v>
      </c>
      <c r="D197" s="2">
        <v>2066.959961</v>
      </c>
      <c r="E197" s="3">
        <f t="shared" si="40"/>
        <v>3.5296671869311865E-3</v>
      </c>
      <c r="F197" s="3">
        <f t="shared" si="41"/>
        <v>3.5234525311901902E-3</v>
      </c>
      <c r="G197" s="2">
        <f t="shared" si="42"/>
        <v>1930.4599590327891</v>
      </c>
      <c r="H197" s="2">
        <f t="shared" si="43"/>
        <v>173.53637810061491</v>
      </c>
      <c r="I197" s="2">
        <f t="shared" si="44"/>
        <v>3.4558628331054706</v>
      </c>
      <c r="J197" s="2">
        <f t="shared" si="45"/>
        <v>6.7899150327892714</v>
      </c>
      <c r="K197" s="2">
        <f t="shared" si="46"/>
        <v>3.4558885867679319</v>
      </c>
      <c r="L197" s="2">
        <f t="shared" si="47"/>
        <v>3.9432245984855285</v>
      </c>
      <c r="M197" s="2"/>
      <c r="O197" s="4">
        <f t="shared" ca="1" si="48"/>
        <v>1.0838681924696281E-2</v>
      </c>
      <c r="P197" s="4">
        <f t="shared" ca="1" si="49"/>
        <v>-2.2959740730873213</v>
      </c>
      <c r="Q197" s="4">
        <f t="shared" ca="1" si="50"/>
        <v>1992.8207167691539</v>
      </c>
      <c r="R197" s="4">
        <f t="shared" ca="1" si="51"/>
        <v>69.150672769153971</v>
      </c>
      <c r="S197" s="4">
        <f t="shared" ca="1" si="52"/>
        <v>36.951277831307557</v>
      </c>
    </row>
    <row r="198" spans="3:19" x14ac:dyDescent="0.2">
      <c r="C198" s="1">
        <v>42095</v>
      </c>
      <c r="D198" s="2">
        <v>2059.6899410000001</v>
      </c>
      <c r="E198" s="3">
        <f t="shared" si="40"/>
        <v>-3.9653716707826374E-3</v>
      </c>
      <c r="F198" s="3">
        <f t="shared" si="41"/>
        <v>-3.9732546030981607E-3</v>
      </c>
      <c r="G198" s="2">
        <f t="shared" si="42"/>
        <v>1916.0419773035892</v>
      </c>
      <c r="H198" s="2">
        <f t="shared" si="43"/>
        <v>166.24283521340817</v>
      </c>
      <c r="I198" s="2">
        <f t="shared" si="44"/>
        <v>-3.8376800541012699</v>
      </c>
      <c r="J198" s="2">
        <f t="shared" si="45"/>
        <v>-7.628066696410789</v>
      </c>
      <c r="K198" s="2">
        <f t="shared" si="46"/>
        <v>-3.8377157774291493</v>
      </c>
      <c r="L198" s="2">
        <f t="shared" si="47"/>
        <v>-3.2487164737113403</v>
      </c>
      <c r="M198" s="2"/>
      <c r="O198" s="4">
        <f t="shared" ca="1" si="48"/>
        <v>0.74800675963256968</v>
      </c>
      <c r="P198" s="4">
        <f t="shared" ca="1" si="49"/>
        <v>0.66823048202682878</v>
      </c>
      <c r="Q198" s="4">
        <f t="shared" ca="1" si="50"/>
        <v>1903.0202713796768</v>
      </c>
      <c r="R198" s="4">
        <f t="shared" ca="1" si="51"/>
        <v>-20.64977262032312</v>
      </c>
      <c r="S198" s="4">
        <f t="shared" ca="1" si="52"/>
        <v>-10.279537508745285</v>
      </c>
    </row>
    <row r="199" spans="3:19" x14ac:dyDescent="0.2">
      <c r="C199" s="1">
        <v>42094</v>
      </c>
      <c r="D199" s="2">
        <v>2067.889893</v>
      </c>
      <c r="E199" s="3">
        <f t="shared" si="40"/>
        <v>-8.795774737306231E-3</v>
      </c>
      <c r="F199" s="3">
        <f t="shared" si="41"/>
        <v>-8.834685901175145E-3</v>
      </c>
      <c r="G199" s="2">
        <f t="shared" si="42"/>
        <v>1906.749875624072</v>
      </c>
      <c r="H199" s="2">
        <f t="shared" si="43"/>
        <v>161.6322852032115</v>
      </c>
      <c r="I199" s="2">
        <f t="shared" si="44"/>
        <v>-8.4482300642979453</v>
      </c>
      <c r="J199" s="2">
        <f t="shared" si="45"/>
        <v>-16.920168375927965</v>
      </c>
      <c r="K199" s="2">
        <f t="shared" si="46"/>
        <v>-8.4486142607313379</v>
      </c>
      <c r="L199" s="2">
        <f t="shared" si="47"/>
        <v>-7.2061286205994577</v>
      </c>
      <c r="M199" s="2"/>
      <c r="O199" s="4">
        <f t="shared" ca="1" si="48"/>
        <v>0.67156777266238743</v>
      </c>
      <c r="P199" s="4">
        <f t="shared" ca="1" si="49"/>
        <v>0.44424639190947307</v>
      </c>
      <c r="Q199" s="4">
        <f t="shared" ca="1" si="50"/>
        <v>1909.8058594451134</v>
      </c>
      <c r="R199" s="4">
        <f t="shared" ca="1" si="51"/>
        <v>-13.864184554886606</v>
      </c>
      <c r="S199" s="4">
        <f t="shared" ca="1" si="52"/>
        <v>-6.9399409591516656</v>
      </c>
    </row>
    <row r="200" spans="3:19" x14ac:dyDescent="0.2">
      <c r="C200" s="1">
        <v>42093</v>
      </c>
      <c r="D200" s="2">
        <v>2086.23999</v>
      </c>
      <c r="E200" s="3">
        <f t="shared" si="40"/>
        <v>1.2236644843459649E-2</v>
      </c>
      <c r="F200" s="3">
        <f t="shared" si="41"/>
        <v>1.2162382307370311E-2</v>
      </c>
      <c r="G200" s="2">
        <f t="shared" si="42"/>
        <v>1947.2093111244303</v>
      </c>
      <c r="H200" s="2">
        <f t="shared" si="43"/>
        <v>182.22077920957599</v>
      </c>
      <c r="I200" s="2">
        <f t="shared" si="44"/>
        <v>12.140263942066554</v>
      </c>
      <c r="J200" s="2">
        <f t="shared" si="45"/>
        <v>23.539267124430395</v>
      </c>
      <c r="K200" s="2">
        <f t="shared" si="46"/>
        <v>12.141363459438741</v>
      </c>
      <c r="L200" s="2">
        <f t="shared" si="47"/>
        <v>13.670365049803308</v>
      </c>
      <c r="M200" s="2"/>
      <c r="O200" s="4">
        <f t="shared" ca="1" si="48"/>
        <v>0.66727586110389714</v>
      </c>
      <c r="P200" s="4">
        <f t="shared" ca="1" si="49"/>
        <v>0.43240335821394776</v>
      </c>
      <c r="Q200" s="4">
        <f t="shared" ca="1" si="50"/>
        <v>1910.1646436251006</v>
      </c>
      <c r="R200" s="4">
        <f t="shared" ca="1" si="51"/>
        <v>-13.505400374899409</v>
      </c>
      <c r="S200" s="4">
        <f t="shared" ca="1" si="52"/>
        <v>-6.7623182208189183</v>
      </c>
    </row>
    <row r="201" spans="3:19" x14ac:dyDescent="0.2">
      <c r="C201" s="1">
        <v>42090</v>
      </c>
      <c r="D201" s="2">
        <v>2061.0200199999999</v>
      </c>
      <c r="E201" s="3">
        <f t="shared" si="40"/>
        <v>2.3685617450666884E-3</v>
      </c>
      <c r="F201" s="3">
        <f t="shared" si="41"/>
        <v>2.3657611241204987E-3</v>
      </c>
      <c r="G201" s="2">
        <f t="shared" si="42"/>
        <v>1928.226375276349</v>
      </c>
      <c r="H201" s="2">
        <f t="shared" si="43"/>
        <v>172.39541785247195</v>
      </c>
      <c r="I201" s="2">
        <f t="shared" si="44"/>
        <v>2.3149025849625104</v>
      </c>
      <c r="J201" s="2">
        <f t="shared" si="45"/>
        <v>4.5563312763491535</v>
      </c>
      <c r="K201" s="2">
        <f t="shared" si="46"/>
        <v>2.3149103410217253</v>
      </c>
      <c r="L201" s="2">
        <f t="shared" si="47"/>
        <v>2.6460769363070824</v>
      </c>
      <c r="M201" s="2"/>
      <c r="O201" s="4">
        <f t="shared" ca="1" si="48"/>
        <v>0.14196458379163068</v>
      </c>
      <c r="P201" s="4">
        <f t="shared" ca="1" si="49"/>
        <v>-1.0715344981984742</v>
      </c>
      <c r="Q201" s="4">
        <f t="shared" ca="1" si="50"/>
        <v>1955.7263742117839</v>
      </c>
      <c r="R201" s="4">
        <f t="shared" ca="1" si="51"/>
        <v>32.056330211783916</v>
      </c>
      <c r="S201" s="4">
        <f t="shared" ca="1" si="52"/>
        <v>16.645536059670491</v>
      </c>
    </row>
    <row r="202" spans="3:19" x14ac:dyDescent="0.2">
      <c r="C202" s="1">
        <v>42089</v>
      </c>
      <c r="D202" s="2">
        <v>2056.1499020000001</v>
      </c>
      <c r="E202" s="3">
        <f t="shared" si="40"/>
        <v>-2.3775002467200318E-3</v>
      </c>
      <c r="F202" s="3">
        <f t="shared" si="41"/>
        <v>-2.3803309880471176E-3</v>
      </c>
      <c r="G202" s="2">
        <f t="shared" si="42"/>
        <v>1919.0965179957821</v>
      </c>
      <c r="H202" s="2">
        <f t="shared" si="43"/>
        <v>167.77387406695914</v>
      </c>
      <c r="I202" s="2">
        <f t="shared" si="44"/>
        <v>-2.3066412005503025</v>
      </c>
      <c r="J202" s="2">
        <f t="shared" si="45"/>
        <v>-4.5735260042179346</v>
      </c>
      <c r="K202" s="2">
        <f t="shared" si="46"/>
        <v>-2.306648936560304</v>
      </c>
      <c r="L202" s="2">
        <f t="shared" si="47"/>
        <v>-1.9478184793325397</v>
      </c>
      <c r="M202" s="2"/>
      <c r="O202" s="4">
        <f t="shared" ca="1" si="48"/>
        <v>0.82681191450768521</v>
      </c>
      <c r="P202" s="4">
        <f t="shared" ca="1" si="49"/>
        <v>0.94164158606890846</v>
      </c>
      <c r="Q202" s="4">
        <f t="shared" ca="1" si="50"/>
        <v>1894.7372941219005</v>
      </c>
      <c r="R202" s="4">
        <f t="shared" ca="1" si="51"/>
        <v>-28.932749878099457</v>
      </c>
      <c r="S202" s="4">
        <f t="shared" ca="1" si="52"/>
        <v>-14.305282098393686</v>
      </c>
    </row>
    <row r="203" spans="3:19" x14ac:dyDescent="0.2">
      <c r="C203" s="1">
        <v>42088</v>
      </c>
      <c r="D203" s="2">
        <v>2061.0500489999999</v>
      </c>
      <c r="E203" s="3">
        <f t="shared" si="40"/>
        <v>-1.455890557016498E-2</v>
      </c>
      <c r="F203" s="3">
        <f t="shared" si="41"/>
        <v>-1.4665926443847035E-2</v>
      </c>
      <c r="G203" s="2">
        <f t="shared" si="42"/>
        <v>1895.6635134812489</v>
      </c>
      <c r="H203" s="2">
        <f t="shared" si="43"/>
        <v>156.22433747586592</v>
      </c>
      <c r="I203" s="2">
        <f t="shared" si="44"/>
        <v>-13.856177791643518</v>
      </c>
      <c r="J203" s="2">
        <f t="shared" si="45"/>
        <v>-28.006530518751113</v>
      </c>
      <c r="K203" s="2">
        <f t="shared" si="46"/>
        <v>-13.857888910676435</v>
      </c>
      <c r="L203" s="2">
        <f t="shared" si="47"/>
        <v>-11.927698155887668</v>
      </c>
      <c r="M203" s="2"/>
      <c r="O203" s="4">
        <f t="shared" ca="1" si="48"/>
        <v>0.95765697592207488</v>
      </c>
      <c r="P203" s="4">
        <f t="shared" ca="1" si="49"/>
        <v>1.7241207430026468</v>
      </c>
      <c r="Q203" s="4">
        <f t="shared" ca="1" si="50"/>
        <v>1871.032122803882</v>
      </c>
      <c r="R203" s="4">
        <f t="shared" ca="1" si="51"/>
        <v>-52.637921196117986</v>
      </c>
      <c r="S203" s="4">
        <f t="shared" ca="1" si="52"/>
        <v>-25.517943931314701</v>
      </c>
    </row>
    <row r="204" spans="3:19" x14ac:dyDescent="0.2">
      <c r="C204" s="1">
        <v>42087</v>
      </c>
      <c r="D204" s="2">
        <v>2091.5</v>
      </c>
      <c r="E204" s="3">
        <f t="shared" si="40"/>
        <v>-6.1394220159830069E-3</v>
      </c>
      <c r="F204" s="3">
        <f t="shared" si="41"/>
        <v>-6.1583457609898215E-3</v>
      </c>
      <c r="G204" s="2">
        <f t="shared" si="42"/>
        <v>1911.8598217803792</v>
      </c>
      <c r="H204" s="2">
        <f t="shared" si="43"/>
        <v>164.15897538049353</v>
      </c>
      <c r="I204" s="2">
        <f t="shared" si="44"/>
        <v>-5.9215398870159106</v>
      </c>
      <c r="J204" s="2">
        <f t="shared" si="45"/>
        <v>-11.810222219620599</v>
      </c>
      <c r="K204" s="2">
        <f t="shared" si="46"/>
        <v>-5.9216716028906884</v>
      </c>
      <c r="L204" s="2">
        <f t="shared" si="47"/>
        <v>-5.0298542225813492</v>
      </c>
      <c r="M204" s="2"/>
      <c r="O204" s="4">
        <f t="shared" ca="1" si="48"/>
        <v>0.75109948593917186</v>
      </c>
      <c r="P204" s="4">
        <f t="shared" ca="1" si="49"/>
        <v>0.67795373453474617</v>
      </c>
      <c r="Q204" s="4">
        <f t="shared" ca="1" si="50"/>
        <v>1902.725705876652</v>
      </c>
      <c r="R204" s="4">
        <f t="shared" ca="1" si="51"/>
        <v>-20.944338123347961</v>
      </c>
      <c r="S204" s="4">
        <f t="shared" ca="1" si="52"/>
        <v>-10.423661962058176</v>
      </c>
    </row>
    <row r="205" spans="3:19" x14ac:dyDescent="0.2">
      <c r="C205" s="1">
        <v>42086</v>
      </c>
      <c r="D205" s="2">
        <v>2104.419922</v>
      </c>
      <c r="E205" s="3">
        <f t="shared" si="40"/>
        <v>-1.7457311460168847E-3</v>
      </c>
      <c r="F205" s="3">
        <f t="shared" si="41"/>
        <v>-1.7472567103759362E-3</v>
      </c>
      <c r="G205" s="2">
        <f t="shared" si="42"/>
        <v>1920.3118332895297</v>
      </c>
      <c r="H205" s="2">
        <f t="shared" si="43"/>
        <v>168.38514993625029</v>
      </c>
      <c r="I205" s="2">
        <f t="shared" si="44"/>
        <v>-1.6953653312591541</v>
      </c>
      <c r="J205" s="2">
        <f t="shared" si="45"/>
        <v>-3.358210710470471</v>
      </c>
      <c r="K205" s="2">
        <f t="shared" si="46"/>
        <v>-1.6953683995732816</v>
      </c>
      <c r="L205" s="2">
        <f t="shared" si="47"/>
        <v>-1.4302279845603039</v>
      </c>
      <c r="M205" s="2"/>
      <c r="O205" s="4">
        <f t="shared" ca="1" si="48"/>
        <v>0.37626591768663087</v>
      </c>
      <c r="P205" s="4">
        <f t="shared" ca="1" si="49"/>
        <v>-0.31530269974517344</v>
      </c>
      <c r="Q205" s="4">
        <f t="shared" ca="1" si="50"/>
        <v>1932.8163654535736</v>
      </c>
      <c r="R205" s="4">
        <f t="shared" ca="1" si="51"/>
        <v>9.1463214535735915</v>
      </c>
      <c r="S205" s="4">
        <f t="shared" ca="1" si="52"/>
        <v>4.6640109630707212</v>
      </c>
    </row>
    <row r="206" spans="3:19" x14ac:dyDescent="0.2">
      <c r="C206" s="1">
        <v>42083</v>
      </c>
      <c r="D206" s="2">
        <v>2108.1000979999999</v>
      </c>
      <c r="E206" s="3">
        <f t="shared" si="40"/>
        <v>9.0127546079467307E-3</v>
      </c>
      <c r="F206" s="3">
        <f t="shared" si="41"/>
        <v>8.9723821319605199E-3</v>
      </c>
      <c r="G206" s="2">
        <f t="shared" si="42"/>
        <v>1941.0076100532301</v>
      </c>
      <c r="H206" s="2">
        <f t="shared" si="43"/>
        <v>178.97888700507292</v>
      </c>
      <c r="I206" s="2">
        <f t="shared" si="44"/>
        <v>8.8983717375634797</v>
      </c>
      <c r="J206" s="2">
        <f t="shared" si="45"/>
        <v>17.337566053230091</v>
      </c>
      <c r="K206" s="2">
        <f t="shared" si="46"/>
        <v>8.8988071816473617</v>
      </c>
      <c r="L206" s="2">
        <f t="shared" si="47"/>
        <v>10.068744101924551</v>
      </c>
      <c r="M206" s="2"/>
      <c r="O206" s="4">
        <f t="shared" ca="1" si="48"/>
        <v>0.79767846406351817</v>
      </c>
      <c r="P206" s="4">
        <f t="shared" ca="1" si="49"/>
        <v>0.83335761431264221</v>
      </c>
      <c r="Q206" s="4">
        <f t="shared" ca="1" si="50"/>
        <v>1898.0177522385568</v>
      </c>
      <c r="R206" s="4">
        <f t="shared" ca="1" si="51"/>
        <v>-25.652291761443166</v>
      </c>
      <c r="S206" s="4">
        <f t="shared" ca="1" si="52"/>
        <v>-12.717573488555642</v>
      </c>
    </row>
    <row r="207" spans="3:19" x14ac:dyDescent="0.2">
      <c r="C207" s="1">
        <v>42082</v>
      </c>
      <c r="D207" s="2">
        <v>2089.2700199999999</v>
      </c>
      <c r="E207" s="3">
        <f t="shared" si="40"/>
        <v>-4.8725791855203943E-3</v>
      </c>
      <c r="F207" s="3">
        <f t="shared" si="41"/>
        <v>-4.8844889025895554E-3</v>
      </c>
      <c r="G207" s="2">
        <f t="shared" si="42"/>
        <v>1914.2968093837965</v>
      </c>
      <c r="H207" s="2">
        <f t="shared" si="43"/>
        <v>165.37152228930745</v>
      </c>
      <c r="I207" s="2">
        <f t="shared" si="44"/>
        <v>-4.7089929782019908</v>
      </c>
      <c r="J207" s="2">
        <f t="shared" si="45"/>
        <v>-9.3732346162035007</v>
      </c>
      <c r="K207" s="2">
        <f t="shared" si="46"/>
        <v>-4.7090590771091225</v>
      </c>
      <c r="L207" s="2">
        <f t="shared" si="47"/>
        <v>-3.9919658442355228</v>
      </c>
      <c r="M207" s="2"/>
      <c r="O207" s="4">
        <f t="shared" ca="1" si="48"/>
        <v>0.93996085864192036</v>
      </c>
      <c r="P207" s="4">
        <f t="shared" ca="1" si="49"/>
        <v>1.5544450990450795</v>
      </c>
      <c r="Q207" s="4">
        <f t="shared" ca="1" si="50"/>
        <v>1876.1724389041481</v>
      </c>
      <c r="R207" s="4">
        <f t="shared" ca="1" si="51"/>
        <v>-47.497605095851895</v>
      </c>
      <c r="S207" s="4">
        <f t="shared" ca="1" si="52"/>
        <v>-23.125395605898895</v>
      </c>
    </row>
    <row r="208" spans="3:19" x14ac:dyDescent="0.2">
      <c r="C208" s="1">
        <v>42081</v>
      </c>
      <c r="D208" s="2">
        <v>2099.5</v>
      </c>
      <c r="E208" s="3">
        <f t="shared" si="40"/>
        <v>1.2158421547431283E-2</v>
      </c>
      <c r="F208" s="3">
        <f t="shared" si="41"/>
        <v>1.2085101644750693E-2</v>
      </c>
      <c r="G208" s="2">
        <f t="shared" si="42"/>
        <v>1947.0588353131177</v>
      </c>
      <c r="H208" s="2">
        <f t="shared" si="43"/>
        <v>182.14175352717223</v>
      </c>
      <c r="I208" s="2">
        <f t="shared" si="44"/>
        <v>12.061238259662787</v>
      </c>
      <c r="J208" s="2">
        <f t="shared" si="45"/>
        <v>23.388791313117686</v>
      </c>
      <c r="K208" s="2">
        <f t="shared" si="46"/>
        <v>12.062316595185436</v>
      </c>
      <c r="L208" s="2">
        <f t="shared" si="47"/>
        <v>13.582976633633166</v>
      </c>
      <c r="M208" s="2"/>
      <c r="O208" s="4">
        <f t="shared" ca="1" si="48"/>
        <v>0.22253271143453945</v>
      </c>
      <c r="P208" s="4">
        <f t="shared" ca="1" si="49"/>
        <v>-0.76366748352126168</v>
      </c>
      <c r="Q208" s="4">
        <f t="shared" ca="1" si="50"/>
        <v>1946.3995566711244</v>
      </c>
      <c r="R208" s="4">
        <f t="shared" ca="1" si="51"/>
        <v>22.729512671124439</v>
      </c>
      <c r="S208" s="4">
        <f t="shared" ca="1" si="52"/>
        <v>11.716206425422628</v>
      </c>
    </row>
    <row r="209" spans="3:19" x14ac:dyDescent="0.2">
      <c r="C209" s="1">
        <v>42080</v>
      </c>
      <c r="D209" s="2">
        <v>2074.280029</v>
      </c>
      <c r="E209" s="3">
        <f t="shared" si="40"/>
        <v>-3.3201736486771134E-3</v>
      </c>
      <c r="F209" s="3">
        <f t="shared" si="41"/>
        <v>-3.3256976557031678E-3</v>
      </c>
      <c r="G209" s="2">
        <f t="shared" si="42"/>
        <v>1917.2831254111616</v>
      </c>
      <c r="H209" s="2">
        <f t="shared" si="43"/>
        <v>166.86402099291377</v>
      </c>
      <c r="I209" s="2">
        <f t="shared" si="44"/>
        <v>-3.2164942745956751</v>
      </c>
      <c r="J209" s="2">
        <f t="shared" si="45"/>
        <v>-6.3869185888383431</v>
      </c>
      <c r="K209" s="2">
        <f t="shared" si="46"/>
        <v>-3.2165152842995646</v>
      </c>
      <c r="L209" s="2">
        <f t="shared" si="47"/>
        <v>-2.7201240447432724</v>
      </c>
      <c r="M209" s="2"/>
      <c r="O209" s="4">
        <f t="shared" ca="1" si="48"/>
        <v>0.37544940453108078</v>
      </c>
      <c r="P209" s="4">
        <f t="shared" ca="1" si="49"/>
        <v>-0.31745443400835449</v>
      </c>
      <c r="Q209" s="4">
        <f t="shared" ca="1" si="50"/>
        <v>1932.8815521475422</v>
      </c>
      <c r="R209" s="4">
        <f t="shared" ca="1" si="51"/>
        <v>9.2115081475421903</v>
      </c>
      <c r="S209" s="4">
        <f t="shared" ca="1" si="52"/>
        <v>4.6974962401882028</v>
      </c>
    </row>
    <row r="210" spans="3:19" x14ac:dyDescent="0.2">
      <c r="C210" s="1">
        <v>42079</v>
      </c>
      <c r="D210" s="2">
        <v>2081.1899410000001</v>
      </c>
      <c r="E210" s="3">
        <f t="shared" si="40"/>
        <v>1.3533671143615344E-2</v>
      </c>
      <c r="F210" s="3">
        <f t="shared" si="41"/>
        <v>1.3442908996060394E-2</v>
      </c>
      <c r="G210" s="2">
        <f t="shared" si="42"/>
        <v>1949.7043617643201</v>
      </c>
      <c r="H210" s="2">
        <f t="shared" si="43"/>
        <v>183.53375485350978</v>
      </c>
      <c r="I210" s="2">
        <f t="shared" si="44"/>
        <v>13.453239586000336</v>
      </c>
      <c r="J210" s="2">
        <f t="shared" si="45"/>
        <v>26.034317764320058</v>
      </c>
      <c r="K210" s="2">
        <f t="shared" si="46"/>
        <v>13.454732356682337</v>
      </c>
      <c r="L210" s="2">
        <f t="shared" si="47"/>
        <v>15.119358889957226</v>
      </c>
      <c r="M210" s="2"/>
      <c r="O210" s="4">
        <f t="shared" ca="1" si="48"/>
        <v>0.59239170698282861</v>
      </c>
      <c r="P210" s="4">
        <f t="shared" ca="1" si="49"/>
        <v>0.23370167662897443</v>
      </c>
      <c r="Q210" s="4">
        <f t="shared" ca="1" si="50"/>
        <v>1916.1843022465621</v>
      </c>
      <c r="R210" s="4">
        <f t="shared" ca="1" si="51"/>
        <v>-7.4857417534378783</v>
      </c>
      <c r="S210" s="4">
        <f t="shared" ca="1" si="52"/>
        <v>-3.7665451324202013</v>
      </c>
    </row>
    <row r="211" spans="3:19" x14ac:dyDescent="0.2">
      <c r="C211" s="1">
        <v>42076</v>
      </c>
      <c r="D211" s="2">
        <v>2053.3999020000001</v>
      </c>
      <c r="E211" s="3">
        <f t="shared" si="40"/>
        <v>-6.0747110518941825E-3</v>
      </c>
      <c r="F211" s="3">
        <f t="shared" si="41"/>
        <v>-6.0932371744078879E-3</v>
      </c>
      <c r="G211" s="2">
        <f t="shared" si="42"/>
        <v>1911.9843043235155</v>
      </c>
      <c r="H211" s="2">
        <f t="shared" si="43"/>
        <v>164.22079495577998</v>
      </c>
      <c r="I211" s="2">
        <f t="shared" si="44"/>
        <v>-5.8597203117294612</v>
      </c>
      <c r="J211" s="2">
        <f t="shared" si="45"/>
        <v>-11.685739676484568</v>
      </c>
      <c r="K211" s="2">
        <f t="shared" si="46"/>
        <v>-5.8598479314302097</v>
      </c>
      <c r="L211" s="2">
        <f t="shared" si="47"/>
        <v>-4.9768383661827329</v>
      </c>
      <c r="M211" s="2"/>
      <c r="O211" s="4">
        <f t="shared" ca="1" si="48"/>
        <v>0.31899431851500293</v>
      </c>
      <c r="P211" s="4">
        <f t="shared" ca="1" si="49"/>
        <v>-0.47051287616724102</v>
      </c>
      <c r="Q211" s="4">
        <f t="shared" ca="1" si="50"/>
        <v>1937.5184508571047</v>
      </c>
      <c r="R211" s="4">
        <f t="shared" ca="1" si="51"/>
        <v>13.848406857104692</v>
      </c>
      <c r="S211" s="4">
        <f t="shared" ca="1" si="52"/>
        <v>7.0882662684996367</v>
      </c>
    </row>
    <row r="212" spans="3:19" x14ac:dyDescent="0.2">
      <c r="C212" s="1">
        <v>42075</v>
      </c>
      <c r="D212" s="2">
        <v>2065.9499510000001</v>
      </c>
      <c r="E212" s="3">
        <f t="shared" si="40"/>
        <v>1.2601439598289622E-2</v>
      </c>
      <c r="F212" s="3">
        <f t="shared" si="41"/>
        <v>1.2522702237719055E-2</v>
      </c>
      <c r="G212" s="2">
        <f t="shared" si="42"/>
        <v>1947.9110558665052</v>
      </c>
      <c r="H212" s="2">
        <f t="shared" si="43"/>
        <v>182.58955563287122</v>
      </c>
      <c r="I212" s="2">
        <f t="shared" si="44"/>
        <v>12.509040365361784</v>
      </c>
      <c r="J212" s="2">
        <f t="shared" si="45"/>
        <v>24.24101186650514</v>
      </c>
      <c r="K212" s="2">
        <f t="shared" si="46"/>
        <v>12.510242373248259</v>
      </c>
      <c r="L212" s="2">
        <f t="shared" si="47"/>
        <v>14.077901390898035</v>
      </c>
      <c r="M212" s="2"/>
      <c r="O212" s="4">
        <f t="shared" ca="1" si="48"/>
        <v>0.98871557284426193</v>
      </c>
      <c r="P212" s="4">
        <f t="shared" ca="1" si="49"/>
        <v>2.2806552643546958</v>
      </c>
      <c r="Q212" s="4">
        <f t="shared" ca="1" si="50"/>
        <v>1854.1719341890955</v>
      </c>
      <c r="R212" s="4">
        <f t="shared" ca="1" si="51"/>
        <v>-69.498109810904452</v>
      </c>
      <c r="S212" s="4">
        <f t="shared" ca="1" si="52"/>
        <v>-33.21448473650679</v>
      </c>
    </row>
    <row r="213" spans="3:19" x14ac:dyDescent="0.2">
      <c r="C213" s="1">
        <v>42074</v>
      </c>
      <c r="D213" s="2">
        <v>2040.23999</v>
      </c>
      <c r="E213" s="3">
        <f t="shared" si="40"/>
        <v>-1.9176796017918633E-3</v>
      </c>
      <c r="F213" s="3">
        <f t="shared" si="41"/>
        <v>-1.9195207034580692E-3</v>
      </c>
      <c r="G213" s="2">
        <f t="shared" si="42"/>
        <v>1919.9810611960431</v>
      </c>
      <c r="H213" s="2">
        <f t="shared" si="43"/>
        <v>168.21865974391949</v>
      </c>
      <c r="I213" s="2">
        <f t="shared" si="44"/>
        <v>-1.8618555235899521</v>
      </c>
      <c r="J213" s="2">
        <f t="shared" si="45"/>
        <v>-3.688982803956856</v>
      </c>
      <c r="K213" s="2">
        <f t="shared" si="46"/>
        <v>-1.861859588725804</v>
      </c>
      <c r="L213" s="2">
        <f t="shared" si="47"/>
        <v>-1.5711004745267587</v>
      </c>
      <c r="M213" s="2"/>
      <c r="O213" s="4">
        <f t="shared" ca="1" si="48"/>
        <v>9.6191924339129042E-2</v>
      </c>
      <c r="P213" s="4">
        <f t="shared" ca="1" si="49"/>
        <v>-1.3035594071552437</v>
      </c>
      <c r="Q213" s="4">
        <f t="shared" ca="1" si="50"/>
        <v>1962.7555585269565</v>
      </c>
      <c r="R213" s="4">
        <f t="shared" ca="1" si="51"/>
        <v>39.085514526956558</v>
      </c>
      <c r="S213" s="4">
        <f t="shared" ca="1" si="52"/>
        <v>20.407340767508892</v>
      </c>
    </row>
    <row r="214" spans="3:19" x14ac:dyDescent="0.2">
      <c r="C214" s="1">
        <v>42073</v>
      </c>
      <c r="D214" s="2">
        <v>2044.160034</v>
      </c>
      <c r="E214" s="3">
        <f t="shared" si="40"/>
        <v>-1.6961330342146873E-2</v>
      </c>
      <c r="F214" s="3">
        <f t="shared" si="41"/>
        <v>-1.7106821197868119E-2</v>
      </c>
      <c r="G214" s="2">
        <f t="shared" si="42"/>
        <v>1891.0420409144238</v>
      </c>
      <c r="H214" s="2">
        <f t="shared" si="43"/>
        <v>153.99994585348531</v>
      </c>
      <c r="I214" s="2">
        <f t="shared" si="44"/>
        <v>-16.080569414024126</v>
      </c>
      <c r="J214" s="2">
        <f t="shared" si="45"/>
        <v>-32.628003085576211</v>
      </c>
      <c r="K214" s="2">
        <f t="shared" si="46"/>
        <v>-16.083254313100536</v>
      </c>
      <c r="L214" s="2">
        <f t="shared" si="47"/>
        <v>-13.895936591416103</v>
      </c>
      <c r="M214" s="2"/>
      <c r="O214" s="4">
        <f t="shared" ca="1" si="48"/>
        <v>0.50710470661576579</v>
      </c>
      <c r="P214" s="4">
        <f t="shared" ca="1" si="49"/>
        <v>1.7809799953272729E-2</v>
      </c>
      <c r="Q214" s="4">
        <f t="shared" ca="1" si="50"/>
        <v>1922.72473706507</v>
      </c>
      <c r="R214" s="4">
        <f t="shared" ca="1" si="51"/>
        <v>-0.94530693492993123</v>
      </c>
      <c r="S214" s="4">
        <f t="shared" ca="1" si="52"/>
        <v>-0.4781598704762085</v>
      </c>
    </row>
    <row r="215" spans="3:19" x14ac:dyDescent="0.2">
      <c r="C215" s="1">
        <v>42072</v>
      </c>
      <c r="D215" s="2">
        <v>2079.429932</v>
      </c>
      <c r="E215" s="3">
        <f t="shared" si="40"/>
        <v>3.9444212511011798E-3</v>
      </c>
      <c r="F215" s="3">
        <f t="shared" si="41"/>
        <v>3.9366624176442495E-3</v>
      </c>
      <c r="G215" s="2">
        <f t="shared" si="42"/>
        <v>1931.2578090016605</v>
      </c>
      <c r="H215" s="2">
        <f t="shared" si="43"/>
        <v>173.94491692523206</v>
      </c>
      <c r="I215" s="2">
        <f t="shared" si="44"/>
        <v>3.8644016577226239</v>
      </c>
      <c r="J215" s="2">
        <f t="shared" si="45"/>
        <v>7.5877650016603413</v>
      </c>
      <c r="K215" s="2">
        <f t="shared" si="46"/>
        <v>3.8644376412280175</v>
      </c>
      <c r="L215" s="2">
        <f t="shared" si="47"/>
        <v>4.4065737873872308</v>
      </c>
      <c r="M215" s="2"/>
      <c r="O215" s="4">
        <f t="shared" ca="1" si="48"/>
        <v>0.30359572297026338</v>
      </c>
      <c r="P215" s="4">
        <f t="shared" ca="1" si="49"/>
        <v>-0.51408659949454738</v>
      </c>
      <c r="Q215" s="4">
        <f t="shared" ca="1" si="50"/>
        <v>1938.8385148706757</v>
      </c>
      <c r="R215" s="4">
        <f t="shared" ca="1" si="51"/>
        <v>15.168470870675719</v>
      </c>
      <c r="S215" s="4">
        <f t="shared" ca="1" si="52"/>
        <v>7.7720880370857044</v>
      </c>
    </row>
    <row r="216" spans="3:19" x14ac:dyDescent="0.2">
      <c r="C216" s="1">
        <v>42069</v>
      </c>
      <c r="D216" s="2">
        <v>2071.26001</v>
      </c>
      <c r="E216" s="3">
        <f t="shared" si="40"/>
        <v>-1.4173946449004351E-2</v>
      </c>
      <c r="F216" s="3">
        <f t="shared" si="41"/>
        <v>-1.4275356219564148E-2</v>
      </c>
      <c r="G216" s="2">
        <f t="shared" si="42"/>
        <v>1896.40404781079</v>
      </c>
      <c r="H216" s="2">
        <f t="shared" si="43"/>
        <v>156.58241113184829</v>
      </c>
      <c r="I216" s="2">
        <f t="shared" si="44"/>
        <v>-13.498104135661151</v>
      </c>
      <c r="J216" s="2">
        <f t="shared" si="45"/>
        <v>-27.265996189209844</v>
      </c>
      <c r="K216" s="2">
        <f t="shared" si="46"/>
        <v>-13.49968501291905</v>
      </c>
      <c r="L216" s="2">
        <f t="shared" si="47"/>
        <v>-11.612312072955149</v>
      </c>
      <c r="M216" s="2"/>
      <c r="O216" s="4">
        <f t="shared" ca="1" si="48"/>
        <v>0.38664902841617144</v>
      </c>
      <c r="P216" s="4">
        <f t="shared" ca="1" si="49"/>
        <v>-0.28806359777396973</v>
      </c>
      <c r="Q216" s="4">
        <f t="shared" ca="1" si="50"/>
        <v>1931.9911580687449</v>
      </c>
      <c r="R216" s="4">
        <f t="shared" ca="1" si="51"/>
        <v>8.3211140687449188</v>
      </c>
      <c r="S216" s="4">
        <f t="shared" ca="1" si="52"/>
        <v>4.2404153016923427</v>
      </c>
    </row>
    <row r="217" spans="3:19" x14ac:dyDescent="0.2">
      <c r="C217" s="1">
        <v>42068</v>
      </c>
      <c r="D217" s="2">
        <v>2101.040039</v>
      </c>
      <c r="E217" s="3">
        <f t="shared" si="40"/>
        <v>1.1960800966932296E-3</v>
      </c>
      <c r="F217" s="3">
        <f t="shared" si="41"/>
        <v>1.1953653627569873E-3</v>
      </c>
      <c r="G217" s="2">
        <f t="shared" si="42"/>
        <v>1925.9709074522334</v>
      </c>
      <c r="H217" s="2">
        <f t="shared" si="43"/>
        <v>171.24738890171852</v>
      </c>
      <c r="I217" s="2">
        <f t="shared" si="44"/>
        <v>1.1668736342090824</v>
      </c>
      <c r="J217" s="2">
        <f t="shared" si="45"/>
        <v>2.3008634522333891</v>
      </c>
      <c r="K217" s="2">
        <f t="shared" si="46"/>
        <v>1.1668746295983499</v>
      </c>
      <c r="L217" s="2">
        <f t="shared" si="47"/>
        <v>1.3362201616352252</v>
      </c>
      <c r="M217" s="2"/>
      <c r="O217" s="4">
        <f t="shared" ca="1" si="48"/>
        <v>0.70155082909517308</v>
      </c>
      <c r="P217" s="4">
        <f t="shared" ca="1" si="49"/>
        <v>0.52886609733242163</v>
      </c>
      <c r="Q217" s="4">
        <f t="shared" ca="1" si="50"/>
        <v>1907.2423092263552</v>
      </c>
      <c r="R217" s="4">
        <f t="shared" ca="1" si="51"/>
        <v>-16.427734773644715</v>
      </c>
      <c r="S217" s="4">
        <f t="shared" ca="1" si="52"/>
        <v>-8.2060242873413483</v>
      </c>
    </row>
    <row r="218" spans="3:19" x14ac:dyDescent="0.2">
      <c r="C218" s="1">
        <v>42067</v>
      </c>
      <c r="D218" s="2">
        <v>2098.530029</v>
      </c>
      <c r="E218" s="3">
        <f t="shared" si="40"/>
        <v>-4.3885034836336802E-3</v>
      </c>
      <c r="F218" s="3">
        <f t="shared" si="41"/>
        <v>-4.3981612307754693E-3</v>
      </c>
      <c r="G218" s="2">
        <f t="shared" si="42"/>
        <v>1915.2280113105442</v>
      </c>
      <c r="H218" s="2">
        <f t="shared" si="43"/>
        <v>165.83613496793623</v>
      </c>
      <c r="I218" s="2">
        <f t="shared" si="44"/>
        <v>-4.2443802995732085</v>
      </c>
      <c r="J218" s="2">
        <f t="shared" si="45"/>
        <v>-8.442032689455754</v>
      </c>
      <c r="K218" s="2">
        <f t="shared" si="46"/>
        <v>-4.2444286609574631</v>
      </c>
      <c r="L218" s="2">
        <f t="shared" si="47"/>
        <v>-3.5953763596154431</v>
      </c>
      <c r="M218" s="2"/>
      <c r="O218" s="4">
        <f t="shared" ca="1" si="48"/>
        <v>5.1774708971262906E-2</v>
      </c>
      <c r="P218" s="4">
        <f t="shared" ca="1" si="49"/>
        <v>-1.6278843145819972</v>
      </c>
      <c r="Q218" s="4">
        <f t="shared" ca="1" si="50"/>
        <v>1972.5809671977497</v>
      </c>
      <c r="R218" s="4">
        <f t="shared" ca="1" si="51"/>
        <v>48.910923197749753</v>
      </c>
      <c r="S218" s="4">
        <f t="shared" ca="1" si="52"/>
        <v>25.733011319870574</v>
      </c>
    </row>
    <row r="219" spans="3:19" x14ac:dyDescent="0.2">
      <c r="C219" s="1">
        <v>42066</v>
      </c>
      <c r="D219" s="2">
        <v>2107.780029</v>
      </c>
      <c r="E219" s="3">
        <f t="shared" si="40"/>
        <v>-4.5385424912859993E-3</v>
      </c>
      <c r="F219" s="3">
        <f t="shared" si="41"/>
        <v>-4.5488729439078276E-3</v>
      </c>
      <c r="G219" s="2">
        <f t="shared" si="42"/>
        <v>1914.9393857660918</v>
      </c>
      <c r="H219" s="2">
        <f t="shared" si="43"/>
        <v>165.69205262736409</v>
      </c>
      <c r="I219" s="2">
        <f t="shared" si="44"/>
        <v>-4.3884626401453488</v>
      </c>
      <c r="J219" s="2">
        <f t="shared" si="45"/>
        <v>-8.7306582339080077</v>
      </c>
      <c r="K219" s="2">
        <f t="shared" si="46"/>
        <v>-4.3885161092554892</v>
      </c>
      <c r="L219" s="2">
        <f t="shared" si="47"/>
        <v>-3.7182990605190867</v>
      </c>
      <c r="M219" s="2"/>
      <c r="O219" s="4">
        <f t="shared" ca="1" si="48"/>
        <v>0.50610911968991146</v>
      </c>
      <c r="P219" s="4">
        <f t="shared" ca="1" si="49"/>
        <v>1.5313890683593597E-2</v>
      </c>
      <c r="Q219" s="4">
        <f t="shared" ca="1" si="50"/>
        <v>1922.800350525579</v>
      </c>
      <c r="R219" s="4">
        <f t="shared" ca="1" si="51"/>
        <v>-0.86969347442095568</v>
      </c>
      <c r="S219" s="4">
        <f t="shared" ca="1" si="52"/>
        <v>-0.43993946169424436</v>
      </c>
    </row>
    <row r="220" spans="3:19" x14ac:dyDescent="0.2">
      <c r="C220" s="1">
        <v>42065</v>
      </c>
      <c r="D220" s="2">
        <v>2117.389893</v>
      </c>
      <c r="E220" s="3">
        <f t="shared" si="40"/>
        <v>6.1249194583036489E-3</v>
      </c>
      <c r="F220" s="3">
        <f t="shared" si="41"/>
        <v>6.1062383803760925E-3</v>
      </c>
      <c r="G220" s="2">
        <f t="shared" si="42"/>
        <v>1935.4523680838515</v>
      </c>
      <c r="H220" s="2">
        <f t="shared" si="43"/>
        <v>176.10121819733229</v>
      </c>
      <c r="I220" s="2">
        <f t="shared" si="44"/>
        <v>6.0207029298228463</v>
      </c>
      <c r="J220" s="2">
        <f t="shared" si="45"/>
        <v>11.782324083851437</v>
      </c>
      <c r="K220" s="2">
        <f t="shared" si="46"/>
        <v>6.0208384945833204</v>
      </c>
      <c r="L220" s="2">
        <f t="shared" si="47"/>
        <v>6.8425525106588339</v>
      </c>
      <c r="M220" s="2"/>
      <c r="O220" s="4">
        <f t="shared" ca="1" si="48"/>
        <v>0.57645697092831705</v>
      </c>
      <c r="P220" s="4">
        <f t="shared" ca="1" si="49"/>
        <v>0.19283772440035538</v>
      </c>
      <c r="Q220" s="4">
        <f t="shared" ca="1" si="50"/>
        <v>1917.4222738650096</v>
      </c>
      <c r="R220" s="4">
        <f t="shared" ca="1" si="51"/>
        <v>-6.2477701349903327</v>
      </c>
      <c r="S220" s="4">
        <f t="shared" ca="1" si="52"/>
        <v>-3.1467926413634451</v>
      </c>
    </row>
    <row r="221" spans="3:19" x14ac:dyDescent="0.2">
      <c r="C221" s="1">
        <v>42062</v>
      </c>
      <c r="D221" s="2">
        <v>2104.5</v>
      </c>
      <c r="E221" s="3">
        <f t="shared" si="40"/>
        <v>-2.9563044380468834E-3</v>
      </c>
      <c r="F221" s="3">
        <f t="shared" si="41"/>
        <v>-2.9606829375931087E-3</v>
      </c>
      <c r="G221" s="2">
        <f t="shared" si="42"/>
        <v>1917.9830897115851</v>
      </c>
      <c r="H221" s="2">
        <f t="shared" si="43"/>
        <v>167.21490335975568</v>
      </c>
      <c r="I221" s="2">
        <f t="shared" si="44"/>
        <v>-2.8656119077537596</v>
      </c>
      <c r="J221" s="2">
        <f t="shared" si="45"/>
        <v>-5.686954288415043</v>
      </c>
      <c r="K221" s="2">
        <f t="shared" si="46"/>
        <v>-2.8656267553398305</v>
      </c>
      <c r="L221" s="2">
        <f t="shared" si="47"/>
        <v>-2.4220163269823445</v>
      </c>
      <c r="M221" s="2"/>
      <c r="O221" s="4">
        <f t="shared" ca="1" si="48"/>
        <v>0.27375984279156507</v>
      </c>
      <c r="P221" s="4">
        <f t="shared" ca="1" si="49"/>
        <v>-0.60148096606336321</v>
      </c>
      <c r="Q221" s="4">
        <f t="shared" ca="1" si="50"/>
        <v>1941.4861233256556</v>
      </c>
      <c r="R221" s="4">
        <f t="shared" ca="1" si="51"/>
        <v>17.816079325655664</v>
      </c>
      <c r="S221" s="4">
        <f t="shared" ca="1" si="52"/>
        <v>9.1478827963775018</v>
      </c>
    </row>
    <row r="222" spans="3:19" x14ac:dyDescent="0.2">
      <c r="C222" s="1">
        <v>42061</v>
      </c>
      <c r="D222" s="2">
        <v>2110.73999</v>
      </c>
      <c r="E222" s="3">
        <f t="shared" si="40"/>
        <v>-1.4760281390749272E-3</v>
      </c>
      <c r="F222" s="3">
        <f t="shared" si="41"/>
        <v>-1.4771185417172892E-3</v>
      </c>
      <c r="G222" s="2">
        <f t="shared" si="42"/>
        <v>1920.8306528847606</v>
      </c>
      <c r="H222" s="2">
        <f t="shared" si="43"/>
        <v>168.64647137935492</v>
      </c>
      <c r="I222" s="2">
        <f t="shared" si="44"/>
        <v>-1.4340438881545197</v>
      </c>
      <c r="J222" s="2">
        <f t="shared" si="45"/>
        <v>-2.8393911152395033</v>
      </c>
      <c r="K222" s="2">
        <f t="shared" si="46"/>
        <v>-1.4340457442386223</v>
      </c>
      <c r="L222" s="2">
        <f t="shared" si="47"/>
        <v>-1.2092679650701541</v>
      </c>
      <c r="M222" s="2"/>
      <c r="O222" s="4">
        <f t="shared" ca="1" si="48"/>
        <v>0.67766048973082993</v>
      </c>
      <c r="P222" s="4">
        <f t="shared" ca="1" si="49"/>
        <v>0.46116668637432556</v>
      </c>
      <c r="Q222" s="4">
        <f t="shared" ca="1" si="50"/>
        <v>1909.2932598755447</v>
      </c>
      <c r="R222" s="4">
        <f t="shared" ca="1" si="51"/>
        <v>-14.376784124455298</v>
      </c>
      <c r="S222" s="4">
        <f t="shared" ca="1" si="52"/>
        <v>-7.1935310224842013</v>
      </c>
    </row>
    <row r="223" spans="3:19" x14ac:dyDescent="0.2">
      <c r="C223" s="1">
        <v>42060</v>
      </c>
      <c r="D223" s="2">
        <v>2113.860107</v>
      </c>
      <c r="E223" s="3">
        <f t="shared" si="40"/>
        <v>-7.657236255197734E-4</v>
      </c>
      <c r="F223" s="3">
        <f t="shared" si="41"/>
        <v>-7.6601694159734123E-4</v>
      </c>
      <c r="G223" s="2">
        <f t="shared" si="42"/>
        <v>1922.1970443996045</v>
      </c>
      <c r="H223" s="2">
        <f t="shared" si="43"/>
        <v>169.33575193100216</v>
      </c>
      <c r="I223" s="2">
        <f t="shared" si="44"/>
        <v>-0.74476333650727611</v>
      </c>
      <c r="J223" s="2">
        <f t="shared" si="45"/>
        <v>-1.472999600395462</v>
      </c>
      <c r="K223" s="2">
        <f t="shared" si="46"/>
        <v>-0.74476359618713761</v>
      </c>
      <c r="L223" s="2">
        <f t="shared" si="47"/>
        <v>-0.62733563536176007</v>
      </c>
      <c r="M223" s="2"/>
      <c r="O223" s="4">
        <f t="shared" ca="1" si="48"/>
        <v>0.32160827570549588</v>
      </c>
      <c r="P223" s="4">
        <f t="shared" ca="1" si="49"/>
        <v>-0.46320622953166357</v>
      </c>
      <c r="Q223" s="4">
        <f t="shared" ca="1" si="50"/>
        <v>1937.2970963216871</v>
      </c>
      <c r="R223" s="4">
        <f t="shared" ca="1" si="51"/>
        <v>13.627052321687188</v>
      </c>
      <c r="S223" s="4">
        <f t="shared" ca="1" si="52"/>
        <v>6.9737387137830105</v>
      </c>
    </row>
    <row r="224" spans="3:19" x14ac:dyDescent="0.2">
      <c r="C224" s="1">
        <v>42059</v>
      </c>
      <c r="D224" s="2">
        <v>2115.4799800000001</v>
      </c>
      <c r="E224" s="3">
        <f t="shared" si="40"/>
        <v>2.7587707226623321E-3</v>
      </c>
      <c r="F224" s="3">
        <f t="shared" si="41"/>
        <v>2.7549722990950704E-3</v>
      </c>
      <c r="G224" s="2">
        <f t="shared" si="42"/>
        <v>1928.9770085974499</v>
      </c>
      <c r="H224" s="2">
        <f t="shared" si="43"/>
        <v>172.77840510465296</v>
      </c>
      <c r="I224" s="2">
        <f t="shared" si="44"/>
        <v>2.6978898371435207</v>
      </c>
      <c r="J224" s="2">
        <f t="shared" si="45"/>
        <v>5.3069645974497597</v>
      </c>
      <c r="K224" s="2">
        <f t="shared" si="46"/>
        <v>2.6979021065183626</v>
      </c>
      <c r="L224" s="2">
        <f t="shared" si="47"/>
        <v>3.0820051860589786</v>
      </c>
      <c r="M224" s="2"/>
      <c r="O224" s="4">
        <f t="shared" ca="1" si="48"/>
        <v>0.68610118139034071</v>
      </c>
      <c r="P224" s="4">
        <f t="shared" ca="1" si="49"/>
        <v>0.48482901756575353</v>
      </c>
      <c r="Q224" s="4">
        <f t="shared" ca="1" si="50"/>
        <v>1908.5764106026841</v>
      </c>
      <c r="R224" s="4">
        <f t="shared" ca="1" si="51"/>
        <v>-15.093633397315898</v>
      </c>
      <c r="S224" s="4">
        <f t="shared" ca="1" si="52"/>
        <v>-7.5478074635447001</v>
      </c>
    </row>
    <row r="225" spans="3:19" x14ac:dyDescent="0.2">
      <c r="C225" s="1">
        <v>42058</v>
      </c>
      <c r="D225" s="2">
        <v>2109.6599120000001</v>
      </c>
      <c r="E225" s="3">
        <f t="shared" si="40"/>
        <v>-3.0333932859604834E-4</v>
      </c>
      <c r="F225" s="3">
        <f t="shared" si="41"/>
        <v>-3.0338534527620388E-4</v>
      </c>
      <c r="G225" s="2">
        <f t="shared" si="42"/>
        <v>1923.0865192204126</v>
      </c>
      <c r="H225" s="2">
        <f t="shared" si="43"/>
        <v>169.78526793222488</v>
      </c>
      <c r="I225" s="2">
        <f t="shared" si="44"/>
        <v>-0.29524733528455727</v>
      </c>
      <c r="J225" s="2">
        <f t="shared" si="45"/>
        <v>-0.58352477958729077</v>
      </c>
      <c r="K225" s="2">
        <f t="shared" si="46"/>
        <v>-0.29524735145015302</v>
      </c>
      <c r="L225" s="2">
        <f t="shared" si="47"/>
        <v>-0.2485173032317789</v>
      </c>
      <c r="M225" s="2"/>
      <c r="O225" s="4">
        <f t="shared" ca="1" si="48"/>
        <v>0.32311244442884546</v>
      </c>
      <c r="P225" s="4">
        <f t="shared" ca="1" si="49"/>
        <v>-0.45901291897004842</v>
      </c>
      <c r="Q225" s="4">
        <f t="shared" ca="1" si="50"/>
        <v>1937.170060164402</v>
      </c>
      <c r="R225" s="4">
        <f t="shared" ca="1" si="51"/>
        <v>13.500016164402041</v>
      </c>
      <c r="S225" s="4">
        <f t="shared" ca="1" si="52"/>
        <v>6.9080289578527179</v>
      </c>
    </row>
    <row r="226" spans="3:19" x14ac:dyDescent="0.2">
      <c r="C226" s="1">
        <v>42055</v>
      </c>
      <c r="D226" s="2">
        <v>2110.3000489999999</v>
      </c>
      <c r="E226" s="3">
        <f t="shared" si="40"/>
        <v>6.1265337911273424E-3</v>
      </c>
      <c r="F226" s="3">
        <f t="shared" si="41"/>
        <v>6.1078428844464306E-3</v>
      </c>
      <c r="G226" s="2">
        <f t="shared" si="42"/>
        <v>1935.4554735275453</v>
      </c>
      <c r="H226" s="2">
        <f t="shared" si="43"/>
        <v>176.10281988822658</v>
      </c>
      <c r="I226" s="2">
        <f t="shared" si="44"/>
        <v>6.0223046207171365</v>
      </c>
      <c r="J226" s="2">
        <f t="shared" si="45"/>
        <v>11.785429527545421</v>
      </c>
      <c r="K226" s="2">
        <f t="shared" si="46"/>
        <v>6.0224402933163148</v>
      </c>
      <c r="L226" s="2">
        <f t="shared" si="47"/>
        <v>6.8443559885969023</v>
      </c>
      <c r="M226" s="2"/>
      <c r="O226" s="4">
        <f t="shared" ca="1" si="48"/>
        <v>1.3659890656547824E-2</v>
      </c>
      <c r="P226" s="4">
        <f t="shared" ca="1" si="49"/>
        <v>-2.2069181049310869</v>
      </c>
      <c r="Q226" s="4">
        <f t="shared" ca="1" si="50"/>
        <v>1990.1227701678565</v>
      </c>
      <c r="R226" s="4">
        <f t="shared" ca="1" si="51"/>
        <v>66.452726167856554</v>
      </c>
      <c r="S226" s="4">
        <f t="shared" ca="1" si="52"/>
        <v>35.436624262495016</v>
      </c>
    </row>
    <row r="227" spans="3:19" x14ac:dyDescent="0.2">
      <c r="C227" s="1">
        <v>42054</v>
      </c>
      <c r="D227" s="2">
        <v>2097.4499510000001</v>
      </c>
      <c r="E227" s="3">
        <f t="shared" si="40"/>
        <v>-1.0620575860225694E-3</v>
      </c>
      <c r="F227" s="3">
        <f t="shared" si="41"/>
        <v>-1.0626219688207137E-3</v>
      </c>
      <c r="G227" s="2">
        <f t="shared" si="42"/>
        <v>1921.6269956367653</v>
      </c>
      <c r="H227" s="2">
        <f t="shared" si="43"/>
        <v>169.04800399278736</v>
      </c>
      <c r="I227" s="2">
        <f t="shared" si="44"/>
        <v>-1.0325112747220828</v>
      </c>
      <c r="J227" s="2">
        <f t="shared" si="45"/>
        <v>-2.0430483632345697</v>
      </c>
      <c r="K227" s="2">
        <f t="shared" si="46"/>
        <v>-1.0325119670113518</v>
      </c>
      <c r="L227" s="2">
        <f t="shared" si="47"/>
        <v>-0.87011363932523977</v>
      </c>
      <c r="M227" s="2"/>
      <c r="O227" s="4">
        <f t="shared" ca="1" si="48"/>
        <v>0.56791175620657175</v>
      </c>
      <c r="P227" s="4">
        <f t="shared" ca="1" si="49"/>
        <v>0.17106012719534858</v>
      </c>
      <c r="Q227" s="4">
        <f t="shared" ca="1" si="50"/>
        <v>1918.082025205432</v>
      </c>
      <c r="R227" s="4">
        <f t="shared" ca="1" si="51"/>
        <v>-5.5880187945679154</v>
      </c>
      <c r="S227" s="4">
        <f t="shared" ca="1" si="52"/>
        <v>-2.8159987229888075</v>
      </c>
    </row>
    <row r="228" spans="3:19" x14ac:dyDescent="0.2">
      <c r="C228" s="1">
        <v>42053</v>
      </c>
      <c r="D228" s="2">
        <v>2099.679932</v>
      </c>
      <c r="E228" s="3">
        <f t="shared" si="40"/>
        <v>-3.1430909868912401E-4</v>
      </c>
      <c r="F228" s="3">
        <f t="shared" si="41"/>
        <v>-3.1435850414654552E-4</v>
      </c>
      <c r="G228" s="2">
        <f t="shared" si="42"/>
        <v>1923.0654170022951</v>
      </c>
      <c r="H228" s="2">
        <f t="shared" si="43"/>
        <v>169.77459599083659</v>
      </c>
      <c r="I228" s="2">
        <f t="shared" si="44"/>
        <v>-0.3059192766728529</v>
      </c>
      <c r="J228" s="2">
        <f t="shared" si="45"/>
        <v>-0.60462699770490758</v>
      </c>
      <c r="K228" s="2">
        <f t="shared" si="46"/>
        <v>-0.30591929465620005</v>
      </c>
      <c r="L228" s="2">
        <f t="shared" si="47"/>
        <v>-0.25750452454994388</v>
      </c>
      <c r="M228" s="2"/>
      <c r="O228" s="4">
        <f t="shared" ca="1" si="48"/>
        <v>0.72926393753879992</v>
      </c>
      <c r="P228" s="4">
        <f t="shared" ca="1" si="49"/>
        <v>0.61058836854625975</v>
      </c>
      <c r="Q228" s="4">
        <f t="shared" ca="1" si="50"/>
        <v>1904.7665366483186</v>
      </c>
      <c r="R228" s="4">
        <f t="shared" ca="1" si="51"/>
        <v>-18.903507351681355</v>
      </c>
      <c r="S228" s="4">
        <f t="shared" ca="1" si="52"/>
        <v>-9.4236774079767471</v>
      </c>
    </row>
    <row r="229" spans="3:19" x14ac:dyDescent="0.2">
      <c r="C229" s="1">
        <v>42052</v>
      </c>
      <c r="D229" s="2">
        <v>2100.3400879999999</v>
      </c>
      <c r="E229" s="3">
        <f t="shared" si="40"/>
        <v>1.597574626476824E-3</v>
      </c>
      <c r="F229" s="3">
        <f t="shared" si="41"/>
        <v>1.5962998616407095E-3</v>
      </c>
      <c r="G229" s="2">
        <f t="shared" si="42"/>
        <v>1926.7432504520082</v>
      </c>
      <c r="H229" s="2">
        <f t="shared" si="43"/>
        <v>171.6400447057739</v>
      </c>
      <c r="I229" s="2">
        <f t="shared" si="44"/>
        <v>1.5595294382644624</v>
      </c>
      <c r="J229" s="2">
        <f t="shared" si="45"/>
        <v>3.0732064520079554</v>
      </c>
      <c r="K229" s="2">
        <f t="shared" si="46"/>
        <v>1.5595318129261961</v>
      </c>
      <c r="L229" s="2">
        <f t="shared" si="47"/>
        <v>1.7847562479445003</v>
      </c>
      <c r="M229" s="2"/>
      <c r="O229" s="4">
        <f t="shared" ca="1" si="48"/>
        <v>0.2431452329768089</v>
      </c>
      <c r="P229" s="4">
        <f t="shared" ca="1" si="49"/>
        <v>-0.69622095579543908</v>
      </c>
      <c r="Q229" s="4">
        <f t="shared" ca="1" si="50"/>
        <v>1944.3562671082284</v>
      </c>
      <c r="R229" s="4">
        <f t="shared" ca="1" si="51"/>
        <v>20.686223108228432</v>
      </c>
      <c r="S229" s="4">
        <f t="shared" ca="1" si="52"/>
        <v>10.645761749426441</v>
      </c>
    </row>
    <row r="230" spans="3:19" x14ac:dyDescent="0.2">
      <c r="C230" s="1">
        <v>42048</v>
      </c>
      <c r="D230" s="2">
        <v>2096.98999</v>
      </c>
      <c r="E230" s="3">
        <f t="shared" si="40"/>
        <v>4.0747386048680077E-3</v>
      </c>
      <c r="F230" s="3">
        <f t="shared" si="41"/>
        <v>4.0664593404575655E-3</v>
      </c>
      <c r="G230" s="2">
        <f t="shared" si="42"/>
        <v>1931.508496591315</v>
      </c>
      <c r="H230" s="2">
        <f t="shared" si="43"/>
        <v>174.07338794050838</v>
      </c>
      <c r="I230" s="2">
        <f t="shared" si="44"/>
        <v>3.9928726729989421</v>
      </c>
      <c r="J230" s="2">
        <f t="shared" si="45"/>
        <v>7.8384525913149385</v>
      </c>
      <c r="K230" s="2">
        <f t="shared" si="46"/>
        <v>3.9929123569309724</v>
      </c>
      <c r="L230" s="2">
        <f t="shared" si="47"/>
        <v>4.5521599199510376</v>
      </c>
      <c r="M230" s="2"/>
      <c r="O230" s="4">
        <f t="shared" ca="1" si="48"/>
        <v>9.7504446283998236E-2</v>
      </c>
      <c r="P230" s="4">
        <f t="shared" ca="1" si="49"/>
        <v>-1.2959030376986607</v>
      </c>
      <c r="Q230" s="4">
        <f t="shared" ca="1" si="50"/>
        <v>1962.5236091542042</v>
      </c>
      <c r="R230" s="4">
        <f t="shared" ca="1" si="51"/>
        <v>38.853565154204261</v>
      </c>
      <c r="S230" s="4">
        <f t="shared" ca="1" si="52"/>
        <v>20.282566757939737</v>
      </c>
    </row>
    <row r="231" spans="3:19" x14ac:dyDescent="0.2">
      <c r="C231" s="1">
        <v>42047</v>
      </c>
      <c r="D231" s="2">
        <v>2088.4799800000001</v>
      </c>
      <c r="E231" s="3">
        <f t="shared" si="40"/>
        <v>9.6445063500695521E-3</v>
      </c>
      <c r="F231" s="3">
        <f t="shared" si="41"/>
        <v>9.598294984990317E-3</v>
      </c>
      <c r="G231" s="2">
        <f t="shared" si="42"/>
        <v>1942.2228919547968</v>
      </c>
      <c r="H231" s="2">
        <f t="shared" si="43"/>
        <v>179.61173066159859</v>
      </c>
      <c r="I231" s="2">
        <f t="shared" si="44"/>
        <v>9.5312153940891449</v>
      </c>
      <c r="J231" s="2">
        <f t="shared" si="45"/>
        <v>18.552847954796576</v>
      </c>
      <c r="K231" s="2">
        <f t="shared" si="46"/>
        <v>9.5317499102358862</v>
      </c>
      <c r="L231" s="2">
        <f t="shared" si="47"/>
        <v>10.774515744899361</v>
      </c>
      <c r="M231" s="2"/>
      <c r="O231" s="4">
        <f t="shared" ca="1" si="48"/>
        <v>0.17349323914655657</v>
      </c>
      <c r="P231" s="4">
        <f t="shared" ca="1" si="49"/>
        <v>-0.94045059883776039</v>
      </c>
      <c r="Q231" s="4">
        <f t="shared" ca="1" si="50"/>
        <v>1951.7551933006448</v>
      </c>
      <c r="R231" s="4">
        <f t="shared" ca="1" si="51"/>
        <v>28.085149300644844</v>
      </c>
      <c r="S231" s="4">
        <f t="shared" ca="1" si="52"/>
        <v>14.538063944711492</v>
      </c>
    </row>
    <row r="232" spans="3:19" x14ac:dyDescent="0.2">
      <c r="C232" s="1">
        <v>42046</v>
      </c>
      <c r="D232" s="2">
        <v>2068.530029</v>
      </c>
      <c r="E232" s="3">
        <f t="shared" si="40"/>
        <v>-2.903378506370865E-5</v>
      </c>
      <c r="F232" s="3">
        <f t="shared" si="41"/>
        <v>-2.9034206552188216E-5</v>
      </c>
      <c r="G232" s="2">
        <f t="shared" si="42"/>
        <v>1923.6141925774091</v>
      </c>
      <c r="H232" s="2">
        <f t="shared" si="43"/>
        <v>170.05224400015288</v>
      </c>
      <c r="I232" s="2">
        <f t="shared" si="44"/>
        <v>-2.8271267356558383E-2</v>
      </c>
      <c r="J232" s="2">
        <f t="shared" si="45"/>
        <v>-5.5851422590990962E-2</v>
      </c>
      <c r="K232" s="2">
        <f t="shared" si="46"/>
        <v>-2.8271267370789756E-2</v>
      </c>
      <c r="L232" s="2">
        <f t="shared" si="47"/>
        <v>-2.3786556131824454E-2</v>
      </c>
      <c r="M232" s="2"/>
      <c r="O232" s="4">
        <f t="shared" ca="1" si="48"/>
        <v>0.80785565243236435</v>
      </c>
      <c r="P232" s="4">
        <f t="shared" ca="1" si="49"/>
        <v>0.87002142620293799</v>
      </c>
      <c r="Q232" s="4">
        <f t="shared" ca="1" si="50"/>
        <v>1896.9070236851769</v>
      </c>
      <c r="R232" s="4">
        <f t="shared" ca="1" si="51"/>
        <v>-26.763020314823052</v>
      </c>
      <c r="S232" s="4">
        <f t="shared" ca="1" si="52"/>
        <v>-13.256135923702853</v>
      </c>
    </row>
    <row r="233" spans="3:19" x14ac:dyDescent="0.2">
      <c r="C233" s="1">
        <v>42045</v>
      </c>
      <c r="D233" s="2">
        <v>2068.5900879999999</v>
      </c>
      <c r="E233" s="3">
        <f t="shared" si="40"/>
        <v>1.0675561188404731E-2</v>
      </c>
      <c r="F233" s="3">
        <f t="shared" si="41"/>
        <v>1.0618979721447666E-2</v>
      </c>
      <c r="G233" s="2">
        <f t="shared" si="42"/>
        <v>1944.2063012610229</v>
      </c>
      <c r="H233" s="2">
        <f t="shared" si="43"/>
        <v>180.64711935753735</v>
      </c>
      <c r="I233" s="2">
        <f t="shared" si="44"/>
        <v>10.566604090027909</v>
      </c>
      <c r="J233" s="2">
        <f t="shared" si="45"/>
        <v>20.53625726102322</v>
      </c>
      <c r="K233" s="2">
        <f t="shared" si="46"/>
        <v>10.567331081292537</v>
      </c>
      <c r="L233" s="2">
        <f t="shared" si="47"/>
        <v>11.926375278841704</v>
      </c>
      <c r="M233" s="2"/>
      <c r="O233" s="4">
        <f t="shared" ca="1" si="48"/>
        <v>0.30924589012540638</v>
      </c>
      <c r="P233" s="4">
        <f t="shared" ca="1" si="49"/>
        <v>-0.49798902146072488</v>
      </c>
      <c r="Q233" s="4">
        <f t="shared" ca="1" si="50"/>
        <v>1938.3508394588571</v>
      </c>
      <c r="R233" s="4">
        <f t="shared" ca="1" si="51"/>
        <v>14.680795458857119</v>
      </c>
      <c r="S233" s="4">
        <f t="shared" ca="1" si="52"/>
        <v>7.519296360614045</v>
      </c>
    </row>
    <row r="234" spans="3:19" x14ac:dyDescent="0.2">
      <c r="C234" s="1">
        <v>42044</v>
      </c>
      <c r="D234" s="2">
        <v>2046.73999</v>
      </c>
      <c r="E234" s="3">
        <f t="shared" si="40"/>
        <v>-4.2471946188310196E-3</v>
      </c>
      <c r="F234" s="3">
        <f t="shared" si="41"/>
        <v>-4.2562395694247922E-3</v>
      </c>
      <c r="G234" s="2">
        <f t="shared" si="42"/>
        <v>1915.4998429407167</v>
      </c>
      <c r="H234" s="2">
        <f t="shared" si="43"/>
        <v>165.97189608246572</v>
      </c>
      <c r="I234" s="2">
        <f t="shared" si="44"/>
        <v>-4.1086191850437217</v>
      </c>
      <c r="J234" s="2">
        <f t="shared" si="45"/>
        <v>-8.1702010592832313</v>
      </c>
      <c r="K234" s="2">
        <f t="shared" si="46"/>
        <v>-4.1086630421501233</v>
      </c>
      <c r="L234" s="2">
        <f t="shared" si="47"/>
        <v>-3.4796060169894361</v>
      </c>
      <c r="M234" s="2"/>
      <c r="O234" s="4">
        <f t="shared" ca="1" si="48"/>
        <v>0.9741213005505569</v>
      </c>
      <c r="P234" s="4">
        <f t="shared" ca="1" si="49"/>
        <v>1.945146082903501</v>
      </c>
      <c r="Q234" s="4">
        <f t="shared" ca="1" si="50"/>
        <v>1864.3361699448888</v>
      </c>
      <c r="R234" s="4">
        <f t="shared" ca="1" si="51"/>
        <v>-59.33387405511121</v>
      </c>
      <c r="S234" s="4">
        <f t="shared" ca="1" si="52"/>
        <v>-28.602297502172416</v>
      </c>
    </row>
    <row r="235" spans="3:19" x14ac:dyDescent="0.2">
      <c r="C235" s="1">
        <v>42041</v>
      </c>
      <c r="D235" s="2">
        <v>2055.469971</v>
      </c>
      <c r="E235" s="3">
        <f t="shared" si="40"/>
        <v>-3.4181723966974849E-3</v>
      </c>
      <c r="F235" s="3">
        <f t="shared" si="41"/>
        <v>-3.4240276947173063E-3</v>
      </c>
      <c r="G235" s="2">
        <f t="shared" si="42"/>
        <v>1917.0946081552454</v>
      </c>
      <c r="H235" s="2">
        <f t="shared" si="43"/>
        <v>166.76958834613583</v>
      </c>
      <c r="I235" s="2">
        <f t="shared" si="44"/>
        <v>-3.310926921373607</v>
      </c>
      <c r="J235" s="2">
        <f t="shared" si="45"/>
        <v>-6.5754358447546357</v>
      </c>
      <c r="K235" s="2">
        <f t="shared" si="46"/>
        <v>-3.3109498402035591</v>
      </c>
      <c r="L235" s="2">
        <f t="shared" si="47"/>
        <v>-2.8004116378187973</v>
      </c>
      <c r="M235" s="2"/>
      <c r="O235" s="4">
        <f t="shared" ca="1" si="48"/>
        <v>0.65290549498673633</v>
      </c>
      <c r="P235" s="4">
        <f t="shared" ca="1" si="49"/>
        <v>0.39317665599440976</v>
      </c>
      <c r="Q235" s="4">
        <f t="shared" ca="1" si="50"/>
        <v>1911.3530148272152</v>
      </c>
      <c r="R235" s="4">
        <f t="shared" ca="1" si="51"/>
        <v>-12.317029172784714</v>
      </c>
      <c r="S235" s="4">
        <f t="shared" ca="1" si="52"/>
        <v>-6.1732446617081571</v>
      </c>
    </row>
    <row r="236" spans="3:19" x14ac:dyDescent="0.2">
      <c r="C236" s="1">
        <v>42040</v>
      </c>
      <c r="D236" s="2">
        <v>2062.5200199999999</v>
      </c>
      <c r="E236" s="3">
        <f t="shared" si="40"/>
        <v>1.0291406800400634E-2</v>
      </c>
      <c r="F236" s="3">
        <f t="shared" si="41"/>
        <v>1.0238810823374916E-2</v>
      </c>
      <c r="G236" s="2">
        <f t="shared" si="42"/>
        <v>1943.4673149725484</v>
      </c>
      <c r="H236" s="2">
        <f t="shared" si="43"/>
        <v>180.26098056553644</v>
      </c>
      <c r="I236" s="2">
        <f t="shared" si="44"/>
        <v>10.180465298027002</v>
      </c>
      <c r="J236" s="2">
        <f t="shared" si="45"/>
        <v>19.797270972548585</v>
      </c>
      <c r="K236" s="2">
        <f t="shared" si="46"/>
        <v>10.181115909226461</v>
      </c>
      <c r="L236" s="2">
        <f t="shared" si="47"/>
        <v>11.497211011456216</v>
      </c>
      <c r="M236" s="2"/>
      <c r="O236" s="4">
        <f t="shared" ca="1" si="48"/>
        <v>0.27128063949242709</v>
      </c>
      <c r="P236" s="4">
        <f t="shared" ca="1" si="49"/>
        <v>-0.60894442121860271</v>
      </c>
      <c r="Q236" s="4">
        <f t="shared" ca="1" si="50"/>
        <v>1941.7122283682136</v>
      </c>
      <c r="R236" s="4">
        <f t="shared" ca="1" si="51"/>
        <v>18.042184368213611</v>
      </c>
      <c r="S236" s="4">
        <f t="shared" ca="1" si="52"/>
        <v>9.2656397926967724</v>
      </c>
    </row>
    <row r="237" spans="3:19" x14ac:dyDescent="0.2">
      <c r="C237" s="1">
        <v>42039</v>
      </c>
      <c r="D237" s="2">
        <v>2041.51001</v>
      </c>
      <c r="E237" s="3">
        <f t="shared" si="40"/>
        <v>-4.1560459502908327E-3</v>
      </c>
      <c r="F237" s="3">
        <f t="shared" si="41"/>
        <v>-4.1647063128333371E-3</v>
      </c>
      <c r="G237" s="2">
        <f t="shared" si="42"/>
        <v>1915.6751829039379</v>
      </c>
      <c r="H237" s="2">
        <f t="shared" si="43"/>
        <v>166.05949834759758</v>
      </c>
      <c r="I237" s="2">
        <f t="shared" si="44"/>
        <v>-4.0210169199118582</v>
      </c>
      <c r="J237" s="2">
        <f t="shared" si="45"/>
        <v>-7.9948610960619879</v>
      </c>
      <c r="K237" s="2">
        <f t="shared" si="46"/>
        <v>-4.0210580247726355</v>
      </c>
      <c r="L237" s="2">
        <f t="shared" si="47"/>
        <v>-3.4049304996287049</v>
      </c>
      <c r="M237" s="2"/>
      <c r="O237" s="4">
        <f t="shared" ca="1" si="48"/>
        <v>0.85064453662808936</v>
      </c>
      <c r="P237" s="4">
        <f t="shared" ca="1" si="49"/>
        <v>1.0392017285594723</v>
      </c>
      <c r="Q237" s="4">
        <f t="shared" ca="1" si="50"/>
        <v>1891.7817139367212</v>
      </c>
      <c r="R237" s="4">
        <f t="shared" ca="1" si="51"/>
        <v>-31.888330063278772</v>
      </c>
      <c r="S237" s="4">
        <f t="shared" ca="1" si="52"/>
        <v>-15.72825033109577</v>
      </c>
    </row>
    <row r="238" spans="3:19" x14ac:dyDescent="0.2">
      <c r="C238" s="1">
        <v>42038</v>
      </c>
      <c r="D238" s="2">
        <v>2050.030029</v>
      </c>
      <c r="E238" s="3">
        <f t="shared" si="40"/>
        <v>1.4439494938539686E-2</v>
      </c>
      <c r="F238" s="3">
        <f t="shared" si="41"/>
        <v>1.4336238227742741E-2</v>
      </c>
      <c r="G238" s="2">
        <f t="shared" si="42"/>
        <v>1951.4468678637581</v>
      </c>
      <c r="H238" s="2">
        <f t="shared" si="43"/>
        <v>184.45367317076693</v>
      </c>
      <c r="I238" s="2">
        <f t="shared" si="44"/>
        <v>14.373157903257493</v>
      </c>
      <c r="J238" s="2">
        <f t="shared" si="45"/>
        <v>27.776823863758413</v>
      </c>
      <c r="K238" s="2">
        <f t="shared" si="46"/>
        <v>14.374975363636644</v>
      </c>
      <c r="L238" s="2">
        <f t="shared" si="47"/>
        <v>16.131314544944672</v>
      </c>
      <c r="M238" s="2"/>
      <c r="O238" s="4">
        <f t="shared" ca="1" si="48"/>
        <v>0.52798718864959093</v>
      </c>
      <c r="P238" s="4">
        <f t="shared" ca="1" si="49"/>
        <v>7.0211121241859423E-2</v>
      </c>
      <c r="Q238" s="4">
        <f t="shared" ca="1" si="50"/>
        <v>1921.1372413631982</v>
      </c>
      <c r="R238" s="4">
        <f t="shared" ca="1" si="51"/>
        <v>-2.5328026368017618</v>
      </c>
      <c r="S238" s="4">
        <f t="shared" ca="1" si="52"/>
        <v>-1.2795181179189896</v>
      </c>
    </row>
    <row r="239" spans="3:19" x14ac:dyDescent="0.2">
      <c r="C239" s="1">
        <v>42037</v>
      </c>
      <c r="D239" s="2">
        <v>2020.849976</v>
      </c>
      <c r="E239" s="3">
        <f t="shared" si="40"/>
        <v>1.2962464037225537E-2</v>
      </c>
      <c r="F239" s="3">
        <f t="shared" si="41"/>
        <v>1.2879170322592387E-2</v>
      </c>
      <c r="G239" s="2">
        <f t="shared" si="42"/>
        <v>1948.6055477648379</v>
      </c>
      <c r="H239" s="2">
        <f t="shared" si="43"/>
        <v>182.9549091600353</v>
      </c>
      <c r="I239" s="2">
        <f t="shared" si="44"/>
        <v>12.874393892525859</v>
      </c>
      <c r="J239" s="2">
        <f t="shared" si="45"/>
        <v>24.935503764838067</v>
      </c>
      <c r="K239" s="2">
        <f t="shared" si="46"/>
        <v>12.875703484431474</v>
      </c>
      <c r="L239" s="2">
        <f t="shared" si="47"/>
        <v>14.481225662811568</v>
      </c>
      <c r="M239" s="2"/>
      <c r="O239" s="4">
        <f t="shared" ca="1" si="48"/>
        <v>0.66963247470500231</v>
      </c>
      <c r="P239" s="4">
        <f t="shared" ca="1" si="49"/>
        <v>0.43889854564291725</v>
      </c>
      <c r="Q239" s="4">
        <f t="shared" ca="1" si="50"/>
        <v>1909.9678722103197</v>
      </c>
      <c r="R239" s="4">
        <f t="shared" ca="1" si="51"/>
        <v>-13.702171789680278</v>
      </c>
      <c r="S239" s="4">
        <f t="shared" ca="1" si="52"/>
        <v>-6.859746523032201</v>
      </c>
    </row>
    <row r="240" spans="3:19" x14ac:dyDescent="0.2">
      <c r="C240" s="1">
        <v>42034</v>
      </c>
      <c r="D240" s="2">
        <v>1994.98999</v>
      </c>
      <c r="E240" s="3">
        <f t="shared" si="40"/>
        <v>-1.299196536796535E-2</v>
      </c>
      <c r="F240" s="3">
        <f t="shared" si="41"/>
        <v>-1.3077099123800286E-2</v>
      </c>
      <c r="G240" s="2">
        <f t="shared" si="42"/>
        <v>1898.6777894089596</v>
      </c>
      <c r="H240" s="2">
        <f t="shared" si="43"/>
        <v>157.6846738536949</v>
      </c>
      <c r="I240" s="2">
        <f t="shared" si="44"/>
        <v>-12.395841413814537</v>
      </c>
      <c r="J240" s="2">
        <f t="shared" si="45"/>
        <v>-24.992254591040382</v>
      </c>
      <c r="K240" s="2">
        <f t="shared" si="46"/>
        <v>-12.39706342613402</v>
      </c>
      <c r="L240" s="2">
        <f t="shared" si="47"/>
        <v>-10.64394851755884</v>
      </c>
      <c r="M240" s="2"/>
      <c r="O240" s="4">
        <f t="shared" ca="1" si="48"/>
        <v>0.11550701198215785</v>
      </c>
      <c r="P240" s="4">
        <f t="shared" ca="1" si="49"/>
        <v>-1.1977508569915096</v>
      </c>
      <c r="Q240" s="4">
        <f t="shared" ca="1" si="50"/>
        <v>1959.5500931975394</v>
      </c>
      <c r="R240" s="4">
        <f t="shared" ca="1" si="51"/>
        <v>35.880049197539392</v>
      </c>
      <c r="S240" s="4">
        <f t="shared" ca="1" si="52"/>
        <v>18.686884282842815</v>
      </c>
    </row>
    <row r="241" spans="3:19" x14ac:dyDescent="0.2">
      <c r="C241" s="1">
        <v>42033</v>
      </c>
      <c r="D241" s="2">
        <v>2021.25</v>
      </c>
      <c r="E241" s="3">
        <f t="shared" si="40"/>
        <v>9.5346853777024312E-3</v>
      </c>
      <c r="F241" s="3">
        <f t="shared" si="41"/>
        <v>9.4895171480104974E-3</v>
      </c>
      <c r="G241" s="2">
        <f t="shared" si="42"/>
        <v>1942.0116326400512</v>
      </c>
      <c r="H241" s="2">
        <f t="shared" si="43"/>
        <v>179.50163451961373</v>
      </c>
      <c r="I241" s="2">
        <f t="shared" si="44"/>
        <v>9.4211192521042904</v>
      </c>
      <c r="J241" s="2">
        <f t="shared" si="45"/>
        <v>18.341588640050993</v>
      </c>
      <c r="K241" s="2">
        <f t="shared" si="46"/>
        <v>9.4216355588700669</v>
      </c>
      <c r="L241" s="2">
        <f t="shared" si="47"/>
        <v>10.651827475231642</v>
      </c>
      <c r="M241" s="2"/>
      <c r="O241" s="4">
        <f t="shared" ca="1" si="48"/>
        <v>0.10576549663687329</v>
      </c>
      <c r="P241" s="4">
        <f t="shared" ca="1" si="49"/>
        <v>-1.2493666698260772</v>
      </c>
      <c r="Q241" s="4">
        <f t="shared" ca="1" si="50"/>
        <v>1961.1137919556725</v>
      </c>
      <c r="R241" s="4">
        <f t="shared" ca="1" si="51"/>
        <v>37.443747955672507</v>
      </c>
      <c r="S241" s="4">
        <f t="shared" ca="1" si="52"/>
        <v>19.525116974193516</v>
      </c>
    </row>
    <row r="242" spans="3:19" x14ac:dyDescent="0.2">
      <c r="C242" s="1">
        <v>42032</v>
      </c>
      <c r="D242" s="2">
        <v>2002.160034</v>
      </c>
      <c r="E242" s="3">
        <f t="shared" si="40"/>
        <v>-1.3495609538427277E-2</v>
      </c>
      <c r="F242" s="3">
        <f t="shared" si="41"/>
        <v>-1.358750298545512E-2</v>
      </c>
      <c r="G242" s="2">
        <f t="shared" si="42"/>
        <v>1897.7089442054066</v>
      </c>
      <c r="H242" s="2">
        <f t="shared" si="43"/>
        <v>157.21447578525078</v>
      </c>
      <c r="I242" s="2">
        <f t="shared" si="44"/>
        <v>-12.866039482258657</v>
      </c>
      <c r="J242" s="2">
        <f t="shared" si="45"/>
        <v>-25.96109979459322</v>
      </c>
      <c r="K242" s="2">
        <f t="shared" si="46"/>
        <v>-12.86740701393661</v>
      </c>
      <c r="L242" s="2">
        <f t="shared" si="47"/>
        <v>-11.056569893134906</v>
      </c>
      <c r="M242" s="2"/>
      <c r="O242" s="4">
        <f t="shared" ca="1" si="48"/>
        <v>0.80078253649474895</v>
      </c>
      <c r="P242" s="4">
        <f t="shared" ca="1" si="49"/>
        <v>0.84441968346903273</v>
      </c>
      <c r="Q242" s="4">
        <f t="shared" ca="1" si="50"/>
        <v>1897.682627344609</v>
      </c>
      <c r="R242" s="4">
        <f t="shared" ca="1" si="51"/>
        <v>-25.987416655390916</v>
      </c>
      <c r="S242" s="4">
        <f t="shared" ca="1" si="52"/>
        <v>-12.880172353399997</v>
      </c>
    </row>
    <row r="243" spans="3:19" x14ac:dyDescent="0.2">
      <c r="C243" s="1">
        <v>42031</v>
      </c>
      <c r="D243" s="2">
        <v>2029.5500489999999</v>
      </c>
      <c r="E243" s="3">
        <f t="shared" si="40"/>
        <v>-1.3387862379316457E-2</v>
      </c>
      <c r="F243" s="3">
        <f t="shared" si="41"/>
        <v>-1.3478287784341066E-2</v>
      </c>
      <c r="G243" s="2">
        <f t="shared" si="42"/>
        <v>1897.9162141877143</v>
      </c>
      <c r="H243" s="2">
        <f t="shared" si="43"/>
        <v>157.31500248613725</v>
      </c>
      <c r="I243" s="2">
        <f t="shared" si="44"/>
        <v>-12.765512781372195</v>
      </c>
      <c r="J243" s="2">
        <f t="shared" si="45"/>
        <v>-25.753829812285634</v>
      </c>
      <c r="K243" s="2">
        <f t="shared" si="46"/>
        <v>-12.766848274415633</v>
      </c>
      <c r="L243" s="2">
        <f t="shared" si="47"/>
        <v>-10.968295703510194</v>
      </c>
      <c r="M243" s="2"/>
      <c r="O243" s="4">
        <f t="shared" ca="1" si="48"/>
        <v>0.55346708707177816</v>
      </c>
      <c r="P243" s="4">
        <f t="shared" ca="1" si="49"/>
        <v>0.13442587015976606</v>
      </c>
      <c r="Q243" s="4">
        <f t="shared" ca="1" si="50"/>
        <v>1919.1918583958006</v>
      </c>
      <c r="R243" s="4">
        <f t="shared" ca="1" si="51"/>
        <v>-4.4781856041993251</v>
      </c>
      <c r="S243" s="4">
        <f t="shared" ca="1" si="52"/>
        <v>-2.2587379904409368</v>
      </c>
    </row>
    <row r="244" spans="3:19" x14ac:dyDescent="0.2">
      <c r="C244" s="1">
        <v>42030</v>
      </c>
      <c r="D244" s="2">
        <v>2057.0900879999999</v>
      </c>
      <c r="E244" s="3">
        <f t="shared" si="40"/>
        <v>2.5684610859356949E-3</v>
      </c>
      <c r="F244" s="3">
        <f t="shared" si="41"/>
        <v>2.5651682269424068E-3</v>
      </c>
      <c r="G244" s="2">
        <f t="shared" si="42"/>
        <v>1928.6109156501943</v>
      </c>
      <c r="H244" s="2">
        <f t="shared" si="43"/>
        <v>172.5915604567906</v>
      </c>
      <c r="I244" s="2">
        <f t="shared" si="44"/>
        <v>2.5110451892811625</v>
      </c>
      <c r="J244" s="2">
        <f t="shared" si="45"/>
        <v>4.9408716501942056</v>
      </c>
      <c r="K244" s="2">
        <f t="shared" si="46"/>
        <v>2.511055085206368</v>
      </c>
      <c r="L244" s="2">
        <f t="shared" si="47"/>
        <v>2.8693977074707107</v>
      </c>
      <c r="M244" s="2"/>
      <c r="O244" s="4">
        <f t="shared" ca="1" si="48"/>
        <v>0.18264248007351747</v>
      </c>
      <c r="P244" s="4">
        <f t="shared" ca="1" si="49"/>
        <v>-0.905340625799813</v>
      </c>
      <c r="Q244" s="4">
        <f t="shared" ca="1" si="50"/>
        <v>1950.6915382263076</v>
      </c>
      <c r="R244" s="4">
        <f t="shared" ca="1" si="51"/>
        <v>27.021494226307595</v>
      </c>
      <c r="S244" s="4">
        <f t="shared" ca="1" si="52"/>
        <v>13.97577118441818</v>
      </c>
    </row>
    <row r="245" spans="3:19" x14ac:dyDescent="0.2">
      <c r="C245" s="1">
        <v>42027</v>
      </c>
      <c r="D245" s="2">
        <v>2051.820068</v>
      </c>
      <c r="E245" s="3">
        <f t="shared" si="40"/>
        <v>-5.4915224477955155E-3</v>
      </c>
      <c r="F245" s="3">
        <f t="shared" si="41"/>
        <v>-5.5066562878371269E-3</v>
      </c>
      <c r="G245" s="2">
        <f t="shared" si="42"/>
        <v>1913.1061667712222</v>
      </c>
      <c r="H245" s="2">
        <f t="shared" si="43"/>
        <v>164.77849868316207</v>
      </c>
      <c r="I245" s="2">
        <f t="shared" si="44"/>
        <v>-5.3020165843473706</v>
      </c>
      <c r="J245" s="2">
        <f t="shared" si="45"/>
        <v>-10.563877228777788</v>
      </c>
      <c r="K245" s="2">
        <f t="shared" si="46"/>
        <v>-5.3021110307491082</v>
      </c>
      <c r="L245" s="2">
        <f t="shared" si="47"/>
        <v>-4.4990484935773907</v>
      </c>
      <c r="M245" s="2"/>
      <c r="O245" s="4">
        <f t="shared" ca="1" si="48"/>
        <v>0.1684299560457575</v>
      </c>
      <c r="P245" s="4">
        <f t="shared" ca="1" si="49"/>
        <v>-0.96038812562493847</v>
      </c>
      <c r="Q245" s="4">
        <f t="shared" ca="1" si="50"/>
        <v>1952.3591997894559</v>
      </c>
      <c r="R245" s="4">
        <f t="shared" ca="1" si="51"/>
        <v>28.689155789455981</v>
      </c>
      <c r="S245" s="4">
        <f t="shared" ca="1" si="52"/>
        <v>14.857777183235861</v>
      </c>
    </row>
    <row r="246" spans="3:19" x14ac:dyDescent="0.2">
      <c r="C246" s="1">
        <v>42026</v>
      </c>
      <c r="D246" s="2">
        <v>2063.1499020000001</v>
      </c>
      <c r="E246" s="3">
        <f t="shared" si="40"/>
        <v>1.5269721805970466E-2</v>
      </c>
      <c r="F246" s="3">
        <f t="shared" si="41"/>
        <v>1.5154312961683942E-2</v>
      </c>
      <c r="G246" s="2">
        <f t="shared" si="42"/>
        <v>1953.0439504183591</v>
      </c>
      <c r="H246" s="2">
        <f t="shared" si="43"/>
        <v>185.29895034865956</v>
      </c>
      <c r="I246" s="2">
        <f t="shared" si="44"/>
        <v>15.218435081150119</v>
      </c>
      <c r="J246" s="2">
        <f t="shared" si="45"/>
        <v>29.373906418358963</v>
      </c>
      <c r="K246" s="2">
        <f t="shared" si="46"/>
        <v>15.22058920935425</v>
      </c>
      <c r="L246" s="2">
        <f t="shared" si="47"/>
        <v>17.05881587370979</v>
      </c>
      <c r="M246" s="2"/>
      <c r="O246" s="4">
        <f t="shared" ca="1" si="48"/>
        <v>0.4188767467673834</v>
      </c>
      <c r="P246" s="4">
        <f t="shared" ca="1" si="49"/>
        <v>-0.20476786688135543</v>
      </c>
      <c r="Q246" s="4">
        <f t="shared" ca="1" si="50"/>
        <v>1929.4677175996003</v>
      </c>
      <c r="R246" s="4">
        <f t="shared" ca="1" si="51"/>
        <v>5.7976735996003299</v>
      </c>
      <c r="S246" s="4">
        <f t="shared" ca="1" si="52"/>
        <v>2.9485219894694432</v>
      </c>
    </row>
    <row r="247" spans="3:19" x14ac:dyDescent="0.2">
      <c r="C247" s="1">
        <v>42025</v>
      </c>
      <c r="D247" s="2">
        <v>2032.119995</v>
      </c>
      <c r="E247" s="3">
        <f t="shared" si="40"/>
        <v>4.7316238254433785E-3</v>
      </c>
      <c r="F247" s="3">
        <f t="shared" si="41"/>
        <v>4.720464879542292E-3</v>
      </c>
      <c r="G247" s="2">
        <f t="shared" si="42"/>
        <v>1932.7721270124821</v>
      </c>
      <c r="H247" s="2">
        <f t="shared" si="43"/>
        <v>174.7217414261919</v>
      </c>
      <c r="I247" s="2">
        <f t="shared" si="44"/>
        <v>4.641226158682457</v>
      </c>
      <c r="J247" s="2">
        <f t="shared" si="45"/>
        <v>9.1020830124821117</v>
      </c>
      <c r="K247" s="2">
        <f t="shared" si="46"/>
        <v>4.6412884116410948</v>
      </c>
      <c r="L247" s="2">
        <f t="shared" si="47"/>
        <v>5.2860098335475811</v>
      </c>
      <c r="M247" s="2"/>
      <c r="O247" s="4">
        <f t="shared" ca="1" si="48"/>
        <v>0.99438031190089116</v>
      </c>
      <c r="P247" s="4">
        <f t="shared" ca="1" si="49"/>
        <v>2.5351669023177137</v>
      </c>
      <c r="Q247" s="4">
        <f t="shared" ca="1" si="50"/>
        <v>1846.4615154170669</v>
      </c>
      <c r="R247" s="4">
        <f t="shared" ca="1" si="51"/>
        <v>-77.208528582933013</v>
      </c>
      <c r="S247" s="4">
        <f t="shared" ca="1" si="52"/>
        <v>-36.657109900894518</v>
      </c>
    </row>
    <row r="248" spans="3:19" x14ac:dyDescent="0.2">
      <c r="C248" s="1">
        <v>42024</v>
      </c>
      <c r="D248" s="2">
        <v>2022.5500489999999</v>
      </c>
      <c r="E248" s="3">
        <f t="shared" si="40"/>
        <v>1.5499524278268393E-3</v>
      </c>
      <c r="F248" s="3">
        <f t="shared" si="41"/>
        <v>1.5487524912989278E-3</v>
      </c>
      <c r="G248" s="2">
        <f t="shared" si="42"/>
        <v>1926.6516410550355</v>
      </c>
      <c r="H248" s="2">
        <f t="shared" si="43"/>
        <v>171.59344554621691</v>
      </c>
      <c r="I248" s="2">
        <f t="shared" si="44"/>
        <v>1.5129302787074721</v>
      </c>
      <c r="J248" s="2">
        <f t="shared" si="45"/>
        <v>2.9815970550355626</v>
      </c>
      <c r="K248" s="2">
        <f t="shared" si="46"/>
        <v>1.5129324469779621</v>
      </c>
      <c r="L248" s="2">
        <f t="shared" si="47"/>
        <v>1.7315543410207681</v>
      </c>
      <c r="M248" s="2"/>
      <c r="O248" s="4">
        <f t="shared" ca="1" si="48"/>
        <v>0.52730143294523268</v>
      </c>
      <c r="P248" s="4">
        <f t="shared" ca="1" si="49"/>
        <v>6.8488047925898451E-2</v>
      </c>
      <c r="Q248" s="4">
        <f t="shared" ca="1" si="50"/>
        <v>1921.1894417928024</v>
      </c>
      <c r="R248" s="4">
        <f t="shared" ca="1" si="51"/>
        <v>-2.4806022071975349</v>
      </c>
      <c r="S248" s="4">
        <f t="shared" ca="1" si="52"/>
        <v>-1.2532002799394231</v>
      </c>
    </row>
    <row r="249" spans="3:19" x14ac:dyDescent="0.2">
      <c r="C249" s="1">
        <v>42020</v>
      </c>
      <c r="D249" s="2">
        <v>2019.420044</v>
      </c>
      <c r="E249" s="3">
        <f t="shared" si="40"/>
        <v>1.3424199395451945E-2</v>
      </c>
      <c r="F249" s="3">
        <f t="shared" si="41"/>
        <v>1.3334893185903807E-2</v>
      </c>
      <c r="G249" s="2">
        <f t="shared" si="42"/>
        <v>1949.4937742417139</v>
      </c>
      <c r="H249" s="2">
        <f t="shared" si="43"/>
        <v>183.42274428728638</v>
      </c>
      <c r="I249" s="2">
        <f t="shared" si="44"/>
        <v>13.342229019776937</v>
      </c>
      <c r="J249" s="2">
        <f t="shared" si="45"/>
        <v>25.823730241713815</v>
      </c>
      <c r="K249" s="2">
        <f t="shared" si="46"/>
        <v>13.343685426315943</v>
      </c>
      <c r="L249" s="2">
        <f t="shared" si="47"/>
        <v>14.997060761738453</v>
      </c>
      <c r="M249" s="2"/>
      <c r="O249" s="4">
        <f t="shared" ca="1" si="48"/>
        <v>0.34802133016146719</v>
      </c>
      <c r="P249" s="4">
        <f t="shared" ca="1" si="49"/>
        <v>-0.39066799295649773</v>
      </c>
      <c r="Q249" s="4">
        <f t="shared" ca="1" si="50"/>
        <v>1935.0995536652676</v>
      </c>
      <c r="R249" s="4">
        <f t="shared" ca="1" si="51"/>
        <v>11.429509665267688</v>
      </c>
      <c r="S249" s="4">
        <f t="shared" ca="1" si="52"/>
        <v>5.838906699051547</v>
      </c>
    </row>
    <row r="250" spans="3:19" x14ac:dyDescent="0.2">
      <c r="C250" s="1">
        <v>42019</v>
      </c>
      <c r="D250" s="2">
        <v>1992.670044</v>
      </c>
      <c r="E250" s="3">
        <f t="shared" si="40"/>
        <v>-9.2478761255537292E-3</v>
      </c>
      <c r="F250" s="3">
        <f t="shared" si="41"/>
        <v>-9.2909032101848917E-3</v>
      </c>
      <c r="G250" s="2">
        <f t="shared" si="42"/>
        <v>1905.8801817266494</v>
      </c>
      <c r="H250" s="2">
        <f t="shared" si="43"/>
        <v>161.20438759214358</v>
      </c>
      <c r="I250" s="2">
        <f t="shared" si="44"/>
        <v>-8.8761276753658649</v>
      </c>
      <c r="J250" s="2">
        <f t="shared" si="45"/>
        <v>-17.78986227335049</v>
      </c>
      <c r="K250" s="2">
        <f t="shared" si="46"/>
        <v>-8.8765735900050604</v>
      </c>
      <c r="L250" s="2">
        <f t="shared" si="47"/>
        <v>-7.5765224574772674</v>
      </c>
      <c r="M250" s="2"/>
      <c r="O250" s="4">
        <f t="shared" ca="1" si="48"/>
        <v>0.85753016398697413</v>
      </c>
      <c r="P250" s="4">
        <f t="shared" ca="1" si="49"/>
        <v>1.0692885419247335</v>
      </c>
      <c r="Q250" s="4">
        <f t="shared" ca="1" si="50"/>
        <v>1890.8702352616451</v>
      </c>
      <c r="R250" s="4">
        <f t="shared" ca="1" si="51"/>
        <v>-32.799808738354841</v>
      </c>
      <c r="S250" s="4">
        <f t="shared" ca="1" si="52"/>
        <v>-16.165648205956341</v>
      </c>
    </row>
    <row r="251" spans="3:19" x14ac:dyDescent="0.2">
      <c r="C251" s="1">
        <v>42018</v>
      </c>
      <c r="D251" s="2">
        <v>2011.2700199999999</v>
      </c>
      <c r="E251" s="3">
        <f t="shared" si="40"/>
        <v>-5.8130669497838093E-3</v>
      </c>
      <c r="F251" s="3">
        <f t="shared" si="41"/>
        <v>-5.8300285881662875E-3</v>
      </c>
      <c r="G251" s="2">
        <f t="shared" si="42"/>
        <v>1912.4876212449344</v>
      </c>
      <c r="H251" s="2">
        <f t="shared" si="43"/>
        <v>164.47087787033695</v>
      </c>
      <c r="I251" s="2">
        <f t="shared" si="44"/>
        <v>-5.6096373971724915</v>
      </c>
      <c r="J251" s="2">
        <f t="shared" si="45"/>
        <v>-11.182422755065566</v>
      </c>
      <c r="K251" s="2">
        <f t="shared" si="46"/>
        <v>-5.6097493154270106</v>
      </c>
      <c r="L251" s="2">
        <f t="shared" si="47"/>
        <v>-4.7624807787115913</v>
      </c>
      <c r="M251" s="2"/>
      <c r="O251" s="4">
        <f t="shared" ca="1" si="48"/>
        <v>0.13413369237473161</v>
      </c>
      <c r="P251" s="4">
        <f t="shared" ca="1" si="49"/>
        <v>-1.1070613955759776</v>
      </c>
      <c r="Q251" s="4">
        <f t="shared" ca="1" si="50"/>
        <v>1956.8026599904772</v>
      </c>
      <c r="R251" s="4">
        <f t="shared" ca="1" si="51"/>
        <v>33.132615990477234</v>
      </c>
      <c r="S251" s="4">
        <f t="shared" ca="1" si="52"/>
        <v>17.218923227814081</v>
      </c>
    </row>
    <row r="252" spans="3:19" x14ac:dyDescent="0.2">
      <c r="C252" s="1">
        <v>42017</v>
      </c>
      <c r="D252" s="2">
        <v>2023.030029</v>
      </c>
      <c r="E252" s="3">
        <f t="shared" si="40"/>
        <v>-2.578555497921567E-3</v>
      </c>
      <c r="F252" s="3">
        <f t="shared" si="41"/>
        <v>-2.5818856981186258E-3</v>
      </c>
      <c r="G252" s="2">
        <f t="shared" si="42"/>
        <v>1918.7097540318568</v>
      </c>
      <c r="H252" s="2">
        <f t="shared" si="43"/>
        <v>167.57959348866632</v>
      </c>
      <c r="I252" s="2">
        <f t="shared" si="44"/>
        <v>-2.5009217788431215</v>
      </c>
      <c r="J252" s="2">
        <f t="shared" si="45"/>
        <v>-4.9602899681432229</v>
      </c>
      <c r="K252" s="2">
        <f t="shared" si="46"/>
        <v>-2.5009316422192609</v>
      </c>
      <c r="L252" s="2">
        <f t="shared" si="47"/>
        <v>-2.1125373407490429</v>
      </c>
      <c r="M252" s="2"/>
      <c r="O252" s="4">
        <f t="shared" ca="1" si="48"/>
        <v>0.32648551116194979</v>
      </c>
      <c r="P252" s="4">
        <f t="shared" ca="1" si="49"/>
        <v>-0.44963863927731845</v>
      </c>
      <c r="Q252" s="4">
        <f t="shared" ca="1" si="50"/>
        <v>1936.8860667773192</v>
      </c>
      <c r="R252" s="4">
        <f t="shared" ca="1" si="51"/>
        <v>13.216022777319267</v>
      </c>
      <c r="S252" s="4">
        <f t="shared" ca="1" si="52"/>
        <v>6.7611802167909518</v>
      </c>
    </row>
    <row r="253" spans="3:19" x14ac:dyDescent="0.2">
      <c r="C253" s="1">
        <v>42016</v>
      </c>
      <c r="D253" s="2">
        <v>2028.26001</v>
      </c>
      <c r="O253" s="4">
        <f t="shared" ca="1" si="48"/>
        <v>0.88125343139771684</v>
      </c>
      <c r="P253" s="4">
        <f t="shared" ca="1" si="49"/>
        <v>1.1812759018862868</v>
      </c>
      <c r="Q253" s="4">
        <f t="shared" ca="1" si="50"/>
        <v>1887.477583163736</v>
      </c>
      <c r="R253" s="4">
        <f t="shared" ca="1" si="51"/>
        <v>-36.19246083626399</v>
      </c>
      <c r="S253" s="4">
        <f t="shared" ca="1" si="52"/>
        <v>-17.787760550559742</v>
      </c>
    </row>
    <row r="254" spans="3:19" x14ac:dyDescent="0.2">
      <c r="C254" s="1"/>
      <c r="D254" s="2"/>
      <c r="O254" s="4">
        <f t="shared" ca="1" si="48"/>
        <v>0.97424780261768418</v>
      </c>
      <c r="P254" s="4">
        <f t="shared" ca="1" si="49"/>
        <v>1.947253130748714</v>
      </c>
      <c r="Q254" s="4">
        <f t="shared" ca="1" si="50"/>
        <v>1864.2723370239687</v>
      </c>
      <c r="R254" s="4">
        <f t="shared" ca="1" si="51"/>
        <v>-59.397706976031259</v>
      </c>
      <c r="S254" s="4">
        <f t="shared" ca="1" si="52"/>
        <v>-28.631525180984458</v>
      </c>
    </row>
    <row r="255" spans="3:19" x14ac:dyDescent="0.2">
      <c r="C255" s="1"/>
      <c r="D255" s="2"/>
      <c r="O255" s="4">
        <f t="shared" ca="1" si="48"/>
        <v>0.28015201461771144</v>
      </c>
      <c r="P255" s="4">
        <f t="shared" ca="1" si="49"/>
        <v>-0.5823899799981217</v>
      </c>
      <c r="Q255" s="4">
        <f t="shared" ca="1" si="50"/>
        <v>1940.9077627504298</v>
      </c>
      <c r="R255" s="4">
        <f t="shared" ca="1" si="51"/>
        <v>17.237718750429849</v>
      </c>
      <c r="S255" s="4">
        <f t="shared" ca="1" si="52"/>
        <v>8.8468581946755336</v>
      </c>
    </row>
    <row r="256" spans="3:19" x14ac:dyDescent="0.2">
      <c r="C256" s="1"/>
      <c r="D256" s="2"/>
      <c r="O256" s="4">
        <f t="shared" ca="1" si="48"/>
        <v>0.36074372366564444</v>
      </c>
      <c r="P256" s="4">
        <f t="shared" ca="1" si="49"/>
        <v>-0.35647155944896614</v>
      </c>
      <c r="Q256" s="4">
        <f t="shared" ca="1" si="50"/>
        <v>1934.0635742304444</v>
      </c>
      <c r="R256" s="4">
        <f t="shared" ca="1" si="51"/>
        <v>10.393530230444412</v>
      </c>
      <c r="S256" s="4">
        <f t="shared" ca="1" si="52"/>
        <v>5.3052806509941144</v>
      </c>
    </row>
    <row r="257" spans="3:19" x14ac:dyDescent="0.2">
      <c r="C257" s="1"/>
      <c r="D257" s="2"/>
      <c r="O257" s="4">
        <f t="shared" ca="1" si="48"/>
        <v>0.53366901925401444</v>
      </c>
      <c r="P257" s="4">
        <f t="shared" ca="1" si="49"/>
        <v>8.4496152841857103E-2</v>
      </c>
      <c r="Q257" s="4">
        <f t="shared" ca="1" si="50"/>
        <v>1920.7044769651175</v>
      </c>
      <c r="R257" s="4">
        <f t="shared" ca="1" si="51"/>
        <v>-2.965567034882497</v>
      </c>
      <c r="S257" s="4">
        <f t="shared" ca="1" si="52"/>
        <v>-1.4976190744442395</v>
      </c>
    </row>
    <row r="258" spans="3:19" x14ac:dyDescent="0.2">
      <c r="C258" s="1"/>
      <c r="D258" s="2"/>
      <c r="O258" s="4">
        <f t="shared" ca="1" si="48"/>
        <v>0.45362636475642493</v>
      </c>
      <c r="P258" s="4">
        <f t="shared" ca="1" si="49"/>
        <v>-0.11650448787227706</v>
      </c>
      <c r="Q258" s="4">
        <f t="shared" ca="1" si="50"/>
        <v>1926.7937824513256</v>
      </c>
      <c r="R258" s="4">
        <f t="shared" ca="1" si="51"/>
        <v>3.1237384513256075</v>
      </c>
      <c r="S258" s="4">
        <f t="shared" ca="1" si="52"/>
        <v>1.5852390772289309</v>
      </c>
    </row>
    <row r="259" spans="3:19" x14ac:dyDescent="0.2">
      <c r="O259" s="4">
        <f t="shared" ref="O259:O322" ca="1" si="53">RAND()</f>
        <v>0.11271702264604744</v>
      </c>
      <c r="P259" s="4">
        <f t="shared" ref="P259:P322" ca="1" si="54">NORMSINV(O259)</f>
        <v>-1.212204667406888</v>
      </c>
      <c r="Q259" s="4">
        <f t="shared" ref="Q259:Q322" ca="1" si="55">$B$4*(1+$B$17-$B$6/SQRT(252)*P259)</f>
        <v>1959.9879707423388</v>
      </c>
      <c r="R259" s="4">
        <f t="shared" ref="R259:R322" ca="1" si="56">Q259-$B$4</f>
        <v>36.317926742338841</v>
      </c>
      <c r="S259" s="4">
        <f t="shared" ref="S259:S322" ca="1" si="57">R259*$B$12+0.5*$B$13*R259^2</f>
        <v>18.921411219567613</v>
      </c>
    </row>
    <row r="260" spans="3:19" x14ac:dyDescent="0.2">
      <c r="O260" s="4">
        <f t="shared" ca="1" si="53"/>
        <v>5.1441997357696723E-2</v>
      </c>
      <c r="P260" s="4">
        <f t="shared" ca="1" si="54"/>
        <v>-1.6310299753048807</v>
      </c>
      <c r="Q260" s="4">
        <f t="shared" ca="1" si="55"/>
        <v>1972.6762648496851</v>
      </c>
      <c r="R260" s="4">
        <f t="shared" ca="1" si="56"/>
        <v>49.006220849685178</v>
      </c>
      <c r="S260" s="4">
        <f t="shared" ca="1" si="57"/>
        <v>25.785050399158198</v>
      </c>
    </row>
    <row r="261" spans="3:19" x14ac:dyDescent="0.2">
      <c r="O261" s="4">
        <f t="shared" ca="1" si="53"/>
        <v>0.4863620309876362</v>
      </c>
      <c r="P261" s="4">
        <f t="shared" ca="1" si="54"/>
        <v>-3.4191979825518026E-2</v>
      </c>
      <c r="Q261" s="4">
        <f t="shared" ca="1" si="55"/>
        <v>1924.3001286746417</v>
      </c>
      <c r="R261" s="4">
        <f t="shared" ca="1" si="56"/>
        <v>0.63008467464169371</v>
      </c>
      <c r="S261" s="4">
        <f t="shared" ca="1" si="57"/>
        <v>0.31911664313228666</v>
      </c>
    </row>
    <row r="262" spans="3:19" x14ac:dyDescent="0.2">
      <c r="O262" s="4">
        <f t="shared" ca="1" si="53"/>
        <v>0.75806550372652115</v>
      </c>
      <c r="P262" s="4">
        <f t="shared" ca="1" si="54"/>
        <v>0.70009337561321217</v>
      </c>
      <c r="Q262" s="4">
        <f t="shared" ca="1" si="55"/>
        <v>1902.0549864331579</v>
      </c>
      <c r="R262" s="4">
        <f t="shared" ca="1" si="56"/>
        <v>-21.615057566842097</v>
      </c>
      <c r="S262" s="4">
        <f t="shared" ca="1" si="57"/>
        <v>-10.751566754334807</v>
      </c>
    </row>
    <row r="263" spans="3:19" x14ac:dyDescent="0.2">
      <c r="O263" s="4">
        <f t="shared" ca="1" si="53"/>
        <v>0.17555872999627575</v>
      </c>
      <c r="P263" s="4">
        <f t="shared" ca="1" si="54"/>
        <v>-0.93242397370737695</v>
      </c>
      <c r="Q263" s="4">
        <f t="shared" ca="1" si="55"/>
        <v>1951.5120270486939</v>
      </c>
      <c r="R263" s="4">
        <f t="shared" ca="1" si="56"/>
        <v>27.841983048693919</v>
      </c>
      <c r="S263" s="4">
        <f t="shared" ca="1" si="57"/>
        <v>14.40943483114145</v>
      </c>
    </row>
    <row r="264" spans="3:19" x14ac:dyDescent="0.2">
      <c r="O264" s="4">
        <f t="shared" ca="1" si="53"/>
        <v>0.69910163910461498</v>
      </c>
      <c r="P264" s="4">
        <f t="shared" ca="1" si="54"/>
        <v>0.52181847962831696</v>
      </c>
      <c r="Q264" s="4">
        <f t="shared" ca="1" si="55"/>
        <v>1907.4558164917937</v>
      </c>
      <c r="R264" s="4">
        <f t="shared" ca="1" si="56"/>
        <v>-16.21422750820625</v>
      </c>
      <c r="S264" s="4">
        <f t="shared" ca="1" si="57"/>
        <v>-8.1007818042624127</v>
      </c>
    </row>
    <row r="265" spans="3:19" x14ac:dyDescent="0.2">
      <c r="O265" s="4">
        <f t="shared" ca="1" si="53"/>
        <v>0.77870689696836004</v>
      </c>
      <c r="P265" s="4">
        <f t="shared" ca="1" si="54"/>
        <v>0.76783333713285529</v>
      </c>
      <c r="Q265" s="4">
        <f t="shared" ca="1" si="55"/>
        <v>1900.0028073065064</v>
      </c>
      <c r="R265" s="4">
        <f t="shared" ca="1" si="56"/>
        <v>-23.667236693493578</v>
      </c>
      <c r="S265" s="4">
        <f t="shared" ca="1" si="57"/>
        <v>-11.75257205289172</v>
      </c>
    </row>
    <row r="266" spans="3:19" x14ac:dyDescent="0.2">
      <c r="O266" s="4">
        <f t="shared" ca="1" si="53"/>
        <v>0.71910382823283192</v>
      </c>
      <c r="P266" s="4">
        <f t="shared" ca="1" si="54"/>
        <v>0.58018132853931803</v>
      </c>
      <c r="Q266" s="4">
        <f t="shared" ca="1" si="55"/>
        <v>1905.6877165752869</v>
      </c>
      <c r="R266" s="4">
        <f t="shared" ca="1" si="56"/>
        <v>-17.982327424713048</v>
      </c>
      <c r="S266" s="4">
        <f t="shared" ca="1" si="57"/>
        <v>-8.9711987039292573</v>
      </c>
    </row>
    <row r="267" spans="3:19" x14ac:dyDescent="0.2">
      <c r="O267" s="4">
        <f t="shared" ca="1" si="53"/>
        <v>0.16480757393452028</v>
      </c>
      <c r="P267" s="4">
        <f t="shared" ca="1" si="54"/>
        <v>-0.97488935321718073</v>
      </c>
      <c r="Q267" s="4">
        <f t="shared" ca="1" si="55"/>
        <v>1952.7985138355232</v>
      </c>
      <c r="R267" s="4">
        <f t="shared" ca="1" si="56"/>
        <v>29.128469835523219</v>
      </c>
      <c r="S267" s="4">
        <f t="shared" ca="1" si="57"/>
        <v>15.090501853419054</v>
      </c>
    </row>
    <row r="268" spans="3:19" x14ac:dyDescent="0.2">
      <c r="O268" s="4">
        <f t="shared" ca="1" si="53"/>
        <v>0.89983236707312164</v>
      </c>
      <c r="P268" s="4">
        <f t="shared" ca="1" si="54"/>
        <v>1.2805969670986459</v>
      </c>
      <c r="Q268" s="4">
        <f t="shared" ca="1" si="55"/>
        <v>1884.4686559028833</v>
      </c>
      <c r="R268" s="4">
        <f t="shared" ca="1" si="56"/>
        <v>-39.201388097116705</v>
      </c>
      <c r="S268" s="4">
        <f t="shared" ca="1" si="57"/>
        <v>-19.218563472791303</v>
      </c>
    </row>
    <row r="269" spans="3:19" x14ac:dyDescent="0.2">
      <c r="O269" s="4">
        <f t="shared" ca="1" si="53"/>
        <v>0.27550180132587088</v>
      </c>
      <c r="P269" s="4">
        <f t="shared" ca="1" si="54"/>
        <v>-0.59625692452201007</v>
      </c>
      <c r="Q269" s="4">
        <f t="shared" ca="1" si="55"/>
        <v>1941.3278612191025</v>
      </c>
      <c r="R269" s="4">
        <f t="shared" ca="1" si="56"/>
        <v>17.657817219102526</v>
      </c>
      <c r="S269" s="4">
        <f t="shared" ca="1" si="57"/>
        <v>9.065483610579566</v>
      </c>
    </row>
    <row r="270" spans="3:19" x14ac:dyDescent="0.2">
      <c r="O270" s="4">
        <f t="shared" ca="1" si="53"/>
        <v>0.18702613727261586</v>
      </c>
      <c r="P270" s="4">
        <f t="shared" ca="1" si="54"/>
        <v>-0.88890846715257887</v>
      </c>
      <c r="Q270" s="4">
        <f t="shared" ca="1" si="55"/>
        <v>1950.193726709661</v>
      </c>
      <c r="R270" s="4">
        <f t="shared" ca="1" si="56"/>
        <v>26.523682709660989</v>
      </c>
      <c r="S270" s="4">
        <f t="shared" ca="1" si="57"/>
        <v>13.712923523298953</v>
      </c>
    </row>
    <row r="271" spans="3:19" x14ac:dyDescent="0.2">
      <c r="O271" s="4">
        <f t="shared" ca="1" si="53"/>
        <v>0.70554849026397215</v>
      </c>
      <c r="P271" s="4">
        <f t="shared" ca="1" si="54"/>
        <v>0.54042637973631924</v>
      </c>
      <c r="Q271" s="4">
        <f t="shared" ca="1" si="55"/>
        <v>1906.8920909841938</v>
      </c>
      <c r="R271" s="4">
        <f t="shared" ca="1" si="56"/>
        <v>-16.777953015806133</v>
      </c>
      <c r="S271" s="4">
        <f t="shared" ca="1" si="57"/>
        <v>-8.3785742871293429</v>
      </c>
    </row>
    <row r="272" spans="3:19" x14ac:dyDescent="0.2">
      <c r="O272" s="4">
        <f t="shared" ca="1" si="53"/>
        <v>0.73889777013916991</v>
      </c>
      <c r="P272" s="4">
        <f t="shared" ca="1" si="54"/>
        <v>0.63995099425580271</v>
      </c>
      <c r="Q272" s="4">
        <f t="shared" ca="1" si="55"/>
        <v>1903.8769972061191</v>
      </c>
      <c r="R272" s="4">
        <f t="shared" ca="1" si="56"/>
        <v>-19.793046793880876</v>
      </c>
      <c r="S272" s="4">
        <f t="shared" ca="1" si="57"/>
        <v>-9.8599588044228508</v>
      </c>
    </row>
    <row r="273" spans="15:19" x14ac:dyDescent="0.2">
      <c r="O273" s="4">
        <f t="shared" ca="1" si="53"/>
        <v>0.34370744080083193</v>
      </c>
      <c r="P273" s="4">
        <f t="shared" ca="1" si="54"/>
        <v>-0.40236573752832</v>
      </c>
      <c r="Q273" s="4">
        <f t="shared" ca="1" si="55"/>
        <v>1935.4539363177028</v>
      </c>
      <c r="R273" s="4">
        <f t="shared" ca="1" si="56"/>
        <v>11.783892317702794</v>
      </c>
      <c r="S273" s="4">
        <f t="shared" ca="1" si="57"/>
        <v>6.0216473941146704</v>
      </c>
    </row>
    <row r="274" spans="15:19" x14ac:dyDescent="0.2">
      <c r="O274" s="4">
        <f t="shared" ca="1" si="53"/>
        <v>2.7261655173455024E-2</v>
      </c>
      <c r="P274" s="4">
        <f t="shared" ca="1" si="54"/>
        <v>-1.9226556479686627</v>
      </c>
      <c r="Q274" s="4">
        <f t="shared" ca="1" si="55"/>
        <v>1981.5110516551474</v>
      </c>
      <c r="R274" s="4">
        <f t="shared" ca="1" si="56"/>
        <v>57.84100765514745</v>
      </c>
      <c r="S274" s="4">
        <f t="shared" ca="1" si="57"/>
        <v>30.641568164400361</v>
      </c>
    </row>
    <row r="275" spans="15:19" x14ac:dyDescent="0.2">
      <c r="O275" s="4">
        <f t="shared" ca="1" si="53"/>
        <v>1.3670571016354049E-2</v>
      </c>
      <c r="P275" s="4">
        <f t="shared" ca="1" si="54"/>
        <v>-2.2066125127092273</v>
      </c>
      <c r="Q275" s="4">
        <f t="shared" ca="1" si="55"/>
        <v>1990.113512265063</v>
      </c>
      <c r="R275" s="4">
        <f t="shared" ca="1" si="56"/>
        <v>66.443468265063075</v>
      </c>
      <c r="S275" s="4">
        <f t="shared" ca="1" si="57"/>
        <v>35.431436987849253</v>
      </c>
    </row>
    <row r="276" spans="15:19" x14ac:dyDescent="0.2">
      <c r="O276" s="4">
        <f t="shared" ca="1" si="53"/>
        <v>0.40057812422613925</v>
      </c>
      <c r="P276" s="4">
        <f t="shared" ca="1" si="54"/>
        <v>-0.25185098289752694</v>
      </c>
      <c r="Q276" s="4">
        <f t="shared" ca="1" si="55"/>
        <v>1930.8940985088668</v>
      </c>
      <c r="R276" s="4">
        <f t="shared" ca="1" si="56"/>
        <v>7.2240545088668568</v>
      </c>
      <c r="S276" s="4">
        <f t="shared" ca="1" si="57"/>
        <v>3.6781308581636756</v>
      </c>
    </row>
    <row r="277" spans="15:19" x14ac:dyDescent="0.2">
      <c r="O277" s="4">
        <f t="shared" ca="1" si="53"/>
        <v>0.84128681964414265</v>
      </c>
      <c r="P277" s="4">
        <f t="shared" ca="1" si="54"/>
        <v>0.99976063429761897</v>
      </c>
      <c r="Q277" s="4">
        <f t="shared" ca="1" si="55"/>
        <v>1892.9765801362391</v>
      </c>
      <c r="R277" s="4">
        <f t="shared" ca="1" si="56"/>
        <v>-30.693463863760826</v>
      </c>
      <c r="S277" s="4">
        <f t="shared" ca="1" si="57"/>
        <v>-15.153836719981197</v>
      </c>
    </row>
    <row r="278" spans="15:19" x14ac:dyDescent="0.2">
      <c r="O278" s="4">
        <f t="shared" ca="1" si="53"/>
        <v>0.48871560840580486</v>
      </c>
      <c r="P278" s="4">
        <f t="shared" ca="1" si="54"/>
        <v>-2.8289547926322121E-2</v>
      </c>
      <c r="Q278" s="4">
        <f t="shared" ca="1" si="55"/>
        <v>1924.1213147623175</v>
      </c>
      <c r="R278" s="4">
        <f t="shared" ca="1" si="56"/>
        <v>0.45127076231756291</v>
      </c>
      <c r="S278" s="4">
        <f t="shared" ca="1" si="57"/>
        <v>0.22852057777457066</v>
      </c>
    </row>
    <row r="279" spans="15:19" x14ac:dyDescent="0.2">
      <c r="O279" s="4">
        <f t="shared" ca="1" si="53"/>
        <v>0.3705020312059516</v>
      </c>
      <c r="P279" s="4">
        <f t="shared" ca="1" si="54"/>
        <v>-0.33052399847310876</v>
      </c>
      <c r="Q279" s="4">
        <f t="shared" ca="1" si="55"/>
        <v>1933.2774940227262</v>
      </c>
      <c r="R279" s="4">
        <f t="shared" ca="1" si="56"/>
        <v>9.6074500227261979</v>
      </c>
      <c r="S279" s="4">
        <f t="shared" ca="1" si="57"/>
        <v>4.9009590553651767</v>
      </c>
    </row>
    <row r="280" spans="15:19" x14ac:dyDescent="0.2">
      <c r="O280" s="4">
        <f t="shared" ca="1" si="53"/>
        <v>0.42496626306945839</v>
      </c>
      <c r="P280" s="4">
        <f t="shared" ca="1" si="54"/>
        <v>-0.18920451880415876</v>
      </c>
      <c r="Q280" s="4">
        <f t="shared" ca="1" si="55"/>
        <v>1928.9962266605985</v>
      </c>
      <c r="R280" s="4">
        <f t="shared" ca="1" si="56"/>
        <v>5.3261826605985334</v>
      </c>
      <c r="S280" s="4">
        <f t="shared" ca="1" si="57"/>
        <v>2.7077136623072158</v>
      </c>
    </row>
    <row r="281" spans="15:19" x14ac:dyDescent="0.2">
      <c r="O281" s="4">
        <f t="shared" ca="1" si="53"/>
        <v>0.50379190166277943</v>
      </c>
      <c r="P281" s="4">
        <f t="shared" ca="1" si="54"/>
        <v>9.5050310435830891E-3</v>
      </c>
      <c r="Q281" s="4">
        <f t="shared" ca="1" si="55"/>
        <v>1922.9763296704657</v>
      </c>
      <c r="R281" s="4">
        <f t="shared" ca="1" si="56"/>
        <v>-0.69371432953425938</v>
      </c>
      <c r="S281" s="4">
        <f t="shared" ca="1" si="57"/>
        <v>-0.35096909065695137</v>
      </c>
    </row>
    <row r="282" spans="15:19" x14ac:dyDescent="0.2">
      <c r="O282" s="4">
        <f t="shared" ca="1" si="53"/>
        <v>0.94781593027551359</v>
      </c>
      <c r="P282" s="4">
        <f t="shared" ca="1" si="54"/>
        <v>1.6240359348611693</v>
      </c>
      <c r="Q282" s="4">
        <f t="shared" ca="1" si="55"/>
        <v>1874.0641876228628</v>
      </c>
      <c r="R282" s="4">
        <f t="shared" ca="1" si="56"/>
        <v>-49.605856377137115</v>
      </c>
      <c r="S282" s="4">
        <f t="shared" ca="1" si="57"/>
        <v>-24.109278454513213</v>
      </c>
    </row>
    <row r="283" spans="15:19" x14ac:dyDescent="0.2">
      <c r="O283" s="4">
        <f t="shared" ca="1" si="53"/>
        <v>0.62914213964169352</v>
      </c>
      <c r="P283" s="4">
        <f t="shared" ca="1" si="54"/>
        <v>0.32958213833833599</v>
      </c>
      <c r="Q283" s="4">
        <f t="shared" ca="1" si="55"/>
        <v>1913.2796079160732</v>
      </c>
      <c r="R283" s="4">
        <f t="shared" ca="1" si="56"/>
        <v>-10.390436083926716</v>
      </c>
      <c r="S283" s="4">
        <f t="shared" ca="1" si="57"/>
        <v>-5.2157928523925738</v>
      </c>
    </row>
    <row r="284" spans="15:19" x14ac:dyDescent="0.2">
      <c r="O284" s="4">
        <f t="shared" ca="1" si="53"/>
        <v>0.89862815285212161</v>
      </c>
      <c r="P284" s="4">
        <f t="shared" ca="1" si="54"/>
        <v>1.2737735142015087</v>
      </c>
      <c r="Q284" s="4">
        <f t="shared" ca="1" si="55"/>
        <v>1884.6753721054477</v>
      </c>
      <c r="R284" s="4">
        <f t="shared" ca="1" si="56"/>
        <v>-38.994671894552312</v>
      </c>
      <c r="S284" s="4">
        <f t="shared" ca="1" si="57"/>
        <v>-19.120501733058276</v>
      </c>
    </row>
    <row r="285" spans="15:19" x14ac:dyDescent="0.2">
      <c r="O285" s="4">
        <f t="shared" ca="1" si="53"/>
        <v>0.73407135178345806</v>
      </c>
      <c r="P285" s="4">
        <f t="shared" ca="1" si="54"/>
        <v>0.6251733414974382</v>
      </c>
      <c r="Q285" s="4">
        <f t="shared" ca="1" si="55"/>
        <v>1904.3246855403208</v>
      </c>
      <c r="R285" s="4">
        <f t="shared" ca="1" si="56"/>
        <v>-19.345358459679119</v>
      </c>
      <c r="S285" s="4">
        <f t="shared" ca="1" si="57"/>
        <v>-9.6404671731776244</v>
      </c>
    </row>
    <row r="286" spans="15:19" x14ac:dyDescent="0.2">
      <c r="O286" s="4">
        <f t="shared" ca="1" si="53"/>
        <v>0.99490791178737847</v>
      </c>
      <c r="P286" s="4">
        <f t="shared" ca="1" si="54"/>
        <v>2.5695123412540362</v>
      </c>
      <c r="Q286" s="4">
        <f t="shared" ca="1" si="55"/>
        <v>1845.4210218693943</v>
      </c>
      <c r="R286" s="4">
        <f t="shared" ca="1" si="56"/>
        <v>-78.249022130605681</v>
      </c>
      <c r="S286" s="4">
        <f t="shared" ca="1" si="57"/>
        <v>-37.117973429390837</v>
      </c>
    </row>
    <row r="287" spans="15:19" x14ac:dyDescent="0.2">
      <c r="O287" s="4">
        <f t="shared" ca="1" si="53"/>
        <v>0.87292613589644419</v>
      </c>
      <c r="P287" s="4">
        <f t="shared" ca="1" si="54"/>
        <v>1.1403326788686861</v>
      </c>
      <c r="Q287" s="4">
        <f t="shared" ca="1" si="55"/>
        <v>1888.7179562872163</v>
      </c>
      <c r="R287" s="4">
        <f t="shared" ca="1" si="56"/>
        <v>-34.952087712783623</v>
      </c>
      <c r="S287" s="4">
        <f t="shared" ca="1" si="57"/>
        <v>-17.195793669857853</v>
      </c>
    </row>
    <row r="288" spans="15:19" x14ac:dyDescent="0.2">
      <c r="O288" s="4">
        <f t="shared" ca="1" si="53"/>
        <v>0.39478609224324801</v>
      </c>
      <c r="P288" s="4">
        <f t="shared" ca="1" si="54"/>
        <v>-0.26686619625962105</v>
      </c>
      <c r="Q288" s="4">
        <f t="shared" ca="1" si="55"/>
        <v>1931.348983731011</v>
      </c>
      <c r="R288" s="4">
        <f t="shared" ca="1" si="56"/>
        <v>7.6789397310110417</v>
      </c>
      <c r="S288" s="4">
        <f t="shared" ca="1" si="57"/>
        <v>3.9111577972636353</v>
      </c>
    </row>
    <row r="289" spans="15:19" x14ac:dyDescent="0.2">
      <c r="O289" s="4">
        <f t="shared" ca="1" si="53"/>
        <v>0.80586243895873588</v>
      </c>
      <c r="P289" s="4">
        <f t="shared" ca="1" si="54"/>
        <v>0.86274966015621346</v>
      </c>
      <c r="Q289" s="4">
        <f t="shared" ca="1" si="55"/>
        <v>1897.1273215147032</v>
      </c>
      <c r="R289" s="4">
        <f t="shared" ca="1" si="56"/>
        <v>-26.542722485296736</v>
      </c>
      <c r="S289" s="4">
        <f t="shared" ca="1" si="57"/>
        <v>-13.14939927527978</v>
      </c>
    </row>
    <row r="290" spans="15:19" x14ac:dyDescent="0.2">
      <c r="O290" s="4">
        <f t="shared" ca="1" si="53"/>
        <v>0.18737562939748309</v>
      </c>
      <c r="P290" s="4">
        <f t="shared" ca="1" si="54"/>
        <v>-0.88760872491679621</v>
      </c>
      <c r="Q290" s="4">
        <f t="shared" ca="1" si="55"/>
        <v>1950.1543510763352</v>
      </c>
      <c r="R290" s="4">
        <f t="shared" ca="1" si="56"/>
        <v>26.484307076335199</v>
      </c>
      <c r="S290" s="4">
        <f t="shared" ca="1" si="57"/>
        <v>13.692141547709438</v>
      </c>
    </row>
    <row r="291" spans="15:19" x14ac:dyDescent="0.2">
      <c r="O291" s="4">
        <f t="shared" ca="1" si="53"/>
        <v>0.25689731553704298</v>
      </c>
      <c r="P291" s="4">
        <f t="shared" ca="1" si="54"/>
        <v>-0.65294051063051228</v>
      </c>
      <c r="Q291" s="4">
        <f t="shared" ca="1" si="55"/>
        <v>1943.0450879435655</v>
      </c>
      <c r="R291" s="4">
        <f t="shared" ca="1" si="56"/>
        <v>19.375043943565515</v>
      </c>
      <c r="S291" s="4">
        <f t="shared" ca="1" si="57"/>
        <v>9.9606476851856076</v>
      </c>
    </row>
    <row r="292" spans="15:19" x14ac:dyDescent="0.2">
      <c r="O292" s="4">
        <f t="shared" ca="1" si="53"/>
        <v>0.86953686393095042</v>
      </c>
      <c r="P292" s="4">
        <f t="shared" ca="1" si="54"/>
        <v>1.1242045205789175</v>
      </c>
      <c r="Q292" s="4">
        <f t="shared" ca="1" si="55"/>
        <v>1889.2065581265308</v>
      </c>
      <c r="R292" s="4">
        <f t="shared" ca="1" si="56"/>
        <v>-34.463485873469153</v>
      </c>
      <c r="S292" s="4">
        <f t="shared" ca="1" si="57"/>
        <v>-16.96226502769894</v>
      </c>
    </row>
    <row r="293" spans="15:19" x14ac:dyDescent="0.2">
      <c r="O293" s="4">
        <f t="shared" ca="1" si="53"/>
        <v>0.89184189947804438</v>
      </c>
      <c r="P293" s="4">
        <f t="shared" ca="1" si="54"/>
        <v>1.2363830837353131</v>
      </c>
      <c r="Q293" s="4">
        <f t="shared" ca="1" si="55"/>
        <v>1885.8081135363232</v>
      </c>
      <c r="R293" s="4">
        <f t="shared" ca="1" si="56"/>
        <v>-37.861930463676799</v>
      </c>
      <c r="S293" s="4">
        <f t="shared" ca="1" si="57"/>
        <v>-18.582535826048222</v>
      </c>
    </row>
    <row r="294" spans="15:19" x14ac:dyDescent="0.2">
      <c r="O294" s="4">
        <f t="shared" ca="1" si="53"/>
        <v>0.62830436896703101</v>
      </c>
      <c r="P294" s="4">
        <f t="shared" ca="1" si="54"/>
        <v>0.32736575795067763</v>
      </c>
      <c r="Q294" s="4">
        <f t="shared" ca="1" si="55"/>
        <v>1913.3467530615121</v>
      </c>
      <c r="R294" s="4">
        <f t="shared" ca="1" si="56"/>
        <v>-10.323290938487844</v>
      </c>
      <c r="S294" s="4">
        <f t="shared" ca="1" si="57"/>
        <v>-5.1823694846409234</v>
      </c>
    </row>
    <row r="295" spans="15:19" x14ac:dyDescent="0.2">
      <c r="O295" s="4">
        <f t="shared" ca="1" si="53"/>
        <v>0.98747345248885965</v>
      </c>
      <c r="P295" s="4">
        <f t="shared" ca="1" si="54"/>
        <v>2.2405830599194778</v>
      </c>
      <c r="Q295" s="4">
        <f t="shared" ca="1" si="55"/>
        <v>1855.3859198432947</v>
      </c>
      <c r="R295" s="4">
        <f t="shared" ca="1" si="56"/>
        <v>-68.284124156705275</v>
      </c>
      <c r="S295" s="4">
        <f t="shared" ca="1" si="57"/>
        <v>-32.668042008327959</v>
      </c>
    </row>
    <row r="296" spans="15:19" x14ac:dyDescent="0.2">
      <c r="O296" s="4">
        <f t="shared" ca="1" si="53"/>
        <v>0.69622630195250912</v>
      </c>
      <c r="P296" s="4">
        <f t="shared" ca="1" si="54"/>
        <v>0.51357752530560319</v>
      </c>
      <c r="Q296" s="4">
        <f t="shared" ca="1" si="55"/>
        <v>1907.7054758371103</v>
      </c>
      <c r="R296" s="4">
        <f t="shared" ca="1" si="56"/>
        <v>-15.964568162889691</v>
      </c>
      <c r="S296" s="4">
        <f t="shared" ca="1" si="57"/>
        <v>-7.977672085398364</v>
      </c>
    </row>
    <row r="297" spans="15:19" x14ac:dyDescent="0.2">
      <c r="O297" s="4">
        <f t="shared" ca="1" si="53"/>
        <v>0.96171964298798374</v>
      </c>
      <c r="P297" s="4">
        <f t="shared" ca="1" si="54"/>
        <v>1.7709999260295046</v>
      </c>
      <c r="Q297" s="4">
        <f t="shared" ca="1" si="55"/>
        <v>1869.6119200354717</v>
      </c>
      <c r="R297" s="4">
        <f t="shared" ca="1" si="56"/>
        <v>-54.058123964528249</v>
      </c>
      <c r="S297" s="4">
        <f t="shared" ca="1" si="57"/>
        <v>-26.175181276042199</v>
      </c>
    </row>
    <row r="298" spans="15:19" x14ac:dyDescent="0.2">
      <c r="O298" s="4">
        <f t="shared" ca="1" si="53"/>
        <v>0.27824151125224128</v>
      </c>
      <c r="P298" s="4">
        <f t="shared" ca="1" si="54"/>
        <v>-0.58807340608312153</v>
      </c>
      <c r="Q298" s="4">
        <f t="shared" ca="1" si="55"/>
        <v>1941.0799418913364</v>
      </c>
      <c r="R298" s="4">
        <f t="shared" ca="1" si="56"/>
        <v>17.409897891336414</v>
      </c>
      <c r="S298" s="4">
        <f t="shared" ca="1" si="57"/>
        <v>8.9364453731788593</v>
      </c>
    </row>
    <row r="299" spans="15:19" x14ac:dyDescent="0.2">
      <c r="O299" s="4">
        <f t="shared" ca="1" si="53"/>
        <v>0.90012817676120138</v>
      </c>
      <c r="P299" s="4">
        <f t="shared" ca="1" si="54"/>
        <v>1.2822822664857834</v>
      </c>
      <c r="Q299" s="4">
        <f t="shared" ca="1" si="55"/>
        <v>1884.4175998327755</v>
      </c>
      <c r="R299" s="4">
        <f t="shared" ca="1" si="56"/>
        <v>-39.252444167224439</v>
      </c>
      <c r="S299" s="4">
        <f t="shared" ca="1" si="57"/>
        <v>-19.24277802172783</v>
      </c>
    </row>
    <row r="300" spans="15:19" x14ac:dyDescent="0.2">
      <c r="O300" s="4">
        <f t="shared" ca="1" si="53"/>
        <v>0.4538054402451156</v>
      </c>
      <c r="P300" s="4">
        <f t="shared" ca="1" si="54"/>
        <v>-0.11605256734893406</v>
      </c>
      <c r="Q300" s="4">
        <f t="shared" ca="1" si="55"/>
        <v>1926.7800915391358</v>
      </c>
      <c r="R300" s="4">
        <f t="shared" ca="1" si="56"/>
        <v>3.1100475391358486</v>
      </c>
      <c r="S300" s="4">
        <f t="shared" ca="1" si="57"/>
        <v>1.578273861558972</v>
      </c>
    </row>
    <row r="301" spans="15:19" x14ac:dyDescent="0.2">
      <c r="O301" s="4">
        <f t="shared" ca="1" si="53"/>
        <v>0.5375508357273534</v>
      </c>
      <c r="P301" s="4">
        <f t="shared" ca="1" si="54"/>
        <v>9.426540723568215E-2</v>
      </c>
      <c r="Q301" s="4">
        <f t="shared" ca="1" si="55"/>
        <v>1920.4085178370017</v>
      </c>
      <c r="R301" s="4">
        <f t="shared" ca="1" si="56"/>
        <v>-3.2615261629982797</v>
      </c>
      <c r="S301" s="4">
        <f t="shared" ca="1" si="57"/>
        <v>-1.6466862696225899</v>
      </c>
    </row>
    <row r="302" spans="15:19" x14ac:dyDescent="0.2">
      <c r="O302" s="4">
        <f t="shared" ca="1" si="53"/>
        <v>0.14283274579214855</v>
      </c>
      <c r="P302" s="4">
        <f t="shared" ca="1" si="54"/>
        <v>-1.0676786515311256</v>
      </c>
      <c r="Q302" s="4">
        <f t="shared" ca="1" si="55"/>
        <v>1955.6095615081924</v>
      </c>
      <c r="R302" s="4">
        <f t="shared" ca="1" si="56"/>
        <v>31.939517508192466</v>
      </c>
      <c r="S302" s="4">
        <f t="shared" ca="1" si="57"/>
        <v>16.583361267551961</v>
      </c>
    </row>
    <row r="303" spans="15:19" x14ac:dyDescent="0.2">
      <c r="O303" s="4">
        <f t="shared" ca="1" si="53"/>
        <v>0.56705294759020686</v>
      </c>
      <c r="P303" s="4">
        <f t="shared" ca="1" si="54"/>
        <v>0.16887609210368984</v>
      </c>
      <c r="Q303" s="4">
        <f t="shared" ca="1" si="55"/>
        <v>1918.1481904515647</v>
      </c>
      <c r="R303" s="4">
        <f t="shared" ca="1" si="56"/>
        <v>-5.5218535484352742</v>
      </c>
      <c r="S303" s="4">
        <f t="shared" ca="1" si="57"/>
        <v>-2.7828044587883976</v>
      </c>
    </row>
    <row r="304" spans="15:19" x14ac:dyDescent="0.2">
      <c r="O304" s="4">
        <f t="shared" ca="1" si="53"/>
        <v>0.45214456027369299</v>
      </c>
      <c r="P304" s="4">
        <f t="shared" ca="1" si="54"/>
        <v>-0.120244938094741</v>
      </c>
      <c r="Q304" s="4">
        <f t="shared" ca="1" si="55"/>
        <v>1926.9070992247428</v>
      </c>
      <c r="R304" s="4">
        <f t="shared" ca="1" si="56"/>
        <v>3.2370552247427895</v>
      </c>
      <c r="S304" s="4">
        <f t="shared" ca="1" si="57"/>
        <v>1.6428945470952403</v>
      </c>
    </row>
    <row r="305" spans="15:19" x14ac:dyDescent="0.2">
      <c r="O305" s="4">
        <f t="shared" ca="1" si="53"/>
        <v>0.7505357003577201</v>
      </c>
      <c r="P305" s="4">
        <f t="shared" ca="1" si="54"/>
        <v>0.67617648686966103</v>
      </c>
      <c r="Q305" s="4">
        <f t="shared" ca="1" si="55"/>
        <v>1902.7795475157577</v>
      </c>
      <c r="R305" s="4">
        <f t="shared" ca="1" si="56"/>
        <v>-20.890496484242249</v>
      </c>
      <c r="S305" s="4">
        <f t="shared" ca="1" si="57"/>
        <v>-10.397323702516283</v>
      </c>
    </row>
    <row r="306" spans="15:19" x14ac:dyDescent="0.2">
      <c r="O306" s="4">
        <f t="shared" ca="1" si="53"/>
        <v>0.22245831782587888</v>
      </c>
      <c r="P306" s="4">
        <f t="shared" ca="1" si="54"/>
        <v>-0.76391711803589013</v>
      </c>
      <c r="Q306" s="4">
        <f t="shared" ca="1" si="55"/>
        <v>1946.4071193376615</v>
      </c>
      <c r="R306" s="4">
        <f t="shared" ca="1" si="56"/>
        <v>22.737075337661508</v>
      </c>
      <c r="S306" s="4">
        <f t="shared" ca="1" si="57"/>
        <v>11.720174691500452</v>
      </c>
    </row>
    <row r="307" spans="15:19" x14ac:dyDescent="0.2">
      <c r="O307" s="4">
        <f t="shared" ca="1" si="53"/>
        <v>0.69713301183173004</v>
      </c>
      <c r="P307" s="4">
        <f t="shared" ca="1" si="54"/>
        <v>0.51617244122476558</v>
      </c>
      <c r="Q307" s="4">
        <f t="shared" ca="1" si="55"/>
        <v>1907.6268629745509</v>
      </c>
      <c r="R307" s="4">
        <f t="shared" ca="1" si="56"/>
        <v>-16.04318102544903</v>
      </c>
      <c r="S307" s="4">
        <f t="shared" ca="1" si="57"/>
        <v>-8.0164424103836076</v>
      </c>
    </row>
    <row r="308" spans="15:19" x14ac:dyDescent="0.2">
      <c r="O308" s="4">
        <f t="shared" ca="1" si="53"/>
        <v>0.92155379382203273</v>
      </c>
      <c r="P308" s="4">
        <f t="shared" ca="1" si="54"/>
        <v>1.4156008157324604</v>
      </c>
      <c r="Q308" s="4">
        <f t="shared" ca="1" si="55"/>
        <v>1880.378720302557</v>
      </c>
      <c r="R308" s="4">
        <f t="shared" ca="1" si="56"/>
        <v>-43.291323697442976</v>
      </c>
      <c r="S308" s="4">
        <f t="shared" ca="1" si="57"/>
        <v>-21.151587897502282</v>
      </c>
    </row>
    <row r="309" spans="15:19" x14ac:dyDescent="0.2">
      <c r="O309" s="4">
        <f t="shared" ca="1" si="53"/>
        <v>0.18731933270593015</v>
      </c>
      <c r="P309" s="4">
        <f t="shared" ca="1" si="54"/>
        <v>-0.88781798791049926</v>
      </c>
      <c r="Q309" s="4">
        <f t="shared" ca="1" si="55"/>
        <v>1950.1606906894385</v>
      </c>
      <c r="R309" s="4">
        <f t="shared" ca="1" si="56"/>
        <v>26.490646689438563</v>
      </c>
      <c r="S309" s="4">
        <f t="shared" ca="1" si="57"/>
        <v>13.695487432376487</v>
      </c>
    </row>
    <row r="310" spans="15:19" x14ac:dyDescent="0.2">
      <c r="O310" s="4">
        <f t="shared" ca="1" si="53"/>
        <v>0.93253177997636461</v>
      </c>
      <c r="P310" s="4">
        <f t="shared" ca="1" si="54"/>
        <v>1.4949157163352031</v>
      </c>
      <c r="Q310" s="4">
        <f t="shared" ca="1" si="55"/>
        <v>1877.9758789102991</v>
      </c>
      <c r="R310" s="4">
        <f t="shared" ca="1" si="56"/>
        <v>-45.694165089700846</v>
      </c>
      <c r="S310" s="4">
        <f t="shared" ca="1" si="57"/>
        <v>-22.280891011741343</v>
      </c>
    </row>
    <row r="311" spans="15:19" x14ac:dyDescent="0.2">
      <c r="O311" s="4">
        <f t="shared" ca="1" si="53"/>
        <v>0.95643524047519324</v>
      </c>
      <c r="P311" s="4">
        <f t="shared" ca="1" si="54"/>
        <v>1.7107378397527091</v>
      </c>
      <c r="Q311" s="4">
        <f t="shared" ca="1" si="55"/>
        <v>1871.4375572636511</v>
      </c>
      <c r="R311" s="4">
        <f t="shared" ca="1" si="56"/>
        <v>-52.232486736348847</v>
      </c>
      <c r="S311" s="4">
        <f t="shared" ca="1" si="57"/>
        <v>-25.330016837346999</v>
      </c>
    </row>
    <row r="312" spans="15:19" x14ac:dyDescent="0.2">
      <c r="O312" s="4">
        <f t="shared" ca="1" si="53"/>
        <v>0.33702585126290474</v>
      </c>
      <c r="P312" s="4">
        <f t="shared" ca="1" si="54"/>
        <v>-0.42059382647237448</v>
      </c>
      <c r="Q312" s="4">
        <f t="shared" ca="1" si="55"/>
        <v>1936.0061554629542</v>
      </c>
      <c r="R312" s="4">
        <f t="shared" ca="1" si="56"/>
        <v>12.33611146295425</v>
      </c>
      <c r="S312" s="4">
        <f t="shared" ca="1" si="57"/>
        <v>6.3066081042729181</v>
      </c>
    </row>
    <row r="313" spans="15:19" x14ac:dyDescent="0.2">
      <c r="O313" s="4">
        <f t="shared" ca="1" si="53"/>
        <v>0.89204926025357834</v>
      </c>
      <c r="P313" s="4">
        <f t="shared" ca="1" si="54"/>
        <v>1.237500093907713</v>
      </c>
      <c r="Q313" s="4">
        <f t="shared" ca="1" si="55"/>
        <v>1885.7742737627445</v>
      </c>
      <c r="R313" s="4">
        <f t="shared" ca="1" si="56"/>
        <v>-37.895770237255419</v>
      </c>
      <c r="S313" s="4">
        <f t="shared" ca="1" si="57"/>
        <v>-18.5986222786829</v>
      </c>
    </row>
    <row r="314" spans="15:19" x14ac:dyDescent="0.2">
      <c r="O314" s="4">
        <f t="shared" ca="1" si="53"/>
        <v>0.78379872861401256</v>
      </c>
      <c r="P314" s="4">
        <f t="shared" ca="1" si="54"/>
        <v>0.78508703147674874</v>
      </c>
      <c r="Q314" s="4">
        <f t="shared" ca="1" si="55"/>
        <v>1899.4801074024049</v>
      </c>
      <c r="R314" s="4">
        <f t="shared" ca="1" si="56"/>
        <v>-24.189936597595079</v>
      </c>
      <c r="S314" s="4">
        <f t="shared" ca="1" si="57"/>
        <v>-12.006985051931373</v>
      </c>
    </row>
    <row r="315" spans="15:19" x14ac:dyDescent="0.2">
      <c r="O315" s="4">
        <f t="shared" ca="1" si="53"/>
        <v>0.84825361584355718</v>
      </c>
      <c r="P315" s="4">
        <f t="shared" ca="1" si="54"/>
        <v>1.0289721367251603</v>
      </c>
      <c r="Q315" s="4">
        <f t="shared" ca="1" si="55"/>
        <v>1892.0916189671582</v>
      </c>
      <c r="R315" s="4">
        <f t="shared" ca="1" si="56"/>
        <v>-31.578425032841778</v>
      </c>
      <c r="S315" s="4">
        <f t="shared" ca="1" si="57"/>
        <v>-15.579379878110535</v>
      </c>
    </row>
    <row r="316" spans="15:19" x14ac:dyDescent="0.2">
      <c r="O316" s="4">
        <f t="shared" ca="1" si="53"/>
        <v>0.49000380586667414</v>
      </c>
      <c r="P316" s="4">
        <f t="shared" ca="1" si="54"/>
        <v>-2.5059365368692826E-2</v>
      </c>
      <c r="Q316" s="4">
        <f t="shared" ca="1" si="55"/>
        <v>1924.0234565251512</v>
      </c>
      <c r="R316" s="4">
        <f t="shared" ca="1" si="56"/>
        <v>0.35341252515127053</v>
      </c>
      <c r="S316" s="4">
        <f t="shared" ca="1" si="57"/>
        <v>0.17895172498822881</v>
      </c>
    </row>
    <row r="317" spans="15:19" x14ac:dyDescent="0.2">
      <c r="O317" s="4">
        <f t="shared" ca="1" si="53"/>
        <v>0.91747435388830978</v>
      </c>
      <c r="P317" s="4">
        <f t="shared" ca="1" si="54"/>
        <v>1.3882816678740966</v>
      </c>
      <c r="Q317" s="4">
        <f t="shared" ca="1" si="55"/>
        <v>1881.2063526739835</v>
      </c>
      <c r="R317" s="4">
        <f t="shared" ca="1" si="56"/>
        <v>-42.463691326016487</v>
      </c>
      <c r="S317" s="4">
        <f t="shared" ca="1" si="57"/>
        <v>-20.761523463669921</v>
      </c>
    </row>
    <row r="318" spans="15:19" x14ac:dyDescent="0.2">
      <c r="O318" s="4">
        <f t="shared" ca="1" si="53"/>
        <v>1.613412386422286E-2</v>
      </c>
      <c r="P318" s="4">
        <f t="shared" ca="1" si="54"/>
        <v>-2.1410718081768958</v>
      </c>
      <c r="Q318" s="4">
        <f t="shared" ca="1" si="55"/>
        <v>1988.1279595311976</v>
      </c>
      <c r="R318" s="4">
        <f t="shared" ca="1" si="56"/>
        <v>64.457915531197614</v>
      </c>
      <c r="S318" s="4">
        <f t="shared" ca="1" si="57"/>
        <v>34.320528731706005</v>
      </c>
    </row>
    <row r="319" spans="15:19" x14ac:dyDescent="0.2">
      <c r="O319" s="4">
        <f t="shared" ca="1" si="53"/>
        <v>0.23957460170485101</v>
      </c>
      <c r="P319" s="4">
        <f t="shared" ca="1" si="54"/>
        <v>-0.70767162310055942</v>
      </c>
      <c r="Q319" s="4">
        <f t="shared" ca="1" si="55"/>
        <v>1944.7031645658387</v>
      </c>
      <c r="R319" s="4">
        <f t="shared" ca="1" si="56"/>
        <v>21.033120565838772</v>
      </c>
      <c r="S319" s="4">
        <f t="shared" ca="1" si="57"/>
        <v>10.827255882195775</v>
      </c>
    </row>
    <row r="320" spans="15:19" x14ac:dyDescent="0.2">
      <c r="O320" s="4">
        <f t="shared" ca="1" si="53"/>
        <v>6.816704765633308E-2</v>
      </c>
      <c r="P320" s="4">
        <f t="shared" ca="1" si="54"/>
        <v>-1.4895823134101331</v>
      </c>
      <c r="Q320" s="4">
        <f t="shared" ca="1" si="55"/>
        <v>1968.3911142127181</v>
      </c>
      <c r="R320" s="4">
        <f t="shared" ca="1" si="56"/>
        <v>44.721070212718132</v>
      </c>
      <c r="S320" s="4">
        <f t="shared" ca="1" si="57"/>
        <v>23.452371697238796</v>
      </c>
    </row>
    <row r="321" spans="15:19" x14ac:dyDescent="0.2">
      <c r="O321" s="4">
        <f t="shared" ca="1" si="53"/>
        <v>0.75328495125582051</v>
      </c>
      <c r="P321" s="4">
        <f t="shared" ca="1" si="54"/>
        <v>0.6848634412691661</v>
      </c>
      <c r="Q321" s="4">
        <f t="shared" ca="1" si="55"/>
        <v>1902.5163766179169</v>
      </c>
      <c r="R321" s="4">
        <f t="shared" ca="1" si="56"/>
        <v>-21.153667382083086</v>
      </c>
      <c r="S321" s="4">
        <f t="shared" ca="1" si="57"/>
        <v>-10.526039249024537</v>
      </c>
    </row>
    <row r="322" spans="15:19" x14ac:dyDescent="0.2">
      <c r="O322" s="4">
        <f t="shared" ca="1" si="53"/>
        <v>0.38563766670923516</v>
      </c>
      <c r="P322" s="4">
        <f t="shared" ca="1" si="54"/>
        <v>-0.29070710991377935</v>
      </c>
      <c r="Q322" s="4">
        <f t="shared" ca="1" si="55"/>
        <v>1932.0712431516511</v>
      </c>
      <c r="R322" s="4">
        <f t="shared" ca="1" si="56"/>
        <v>8.4011991516510989</v>
      </c>
      <c r="S322" s="4">
        <f t="shared" ca="1" si="57"/>
        <v>4.2815003053840481</v>
      </c>
    </row>
    <row r="323" spans="15:19" x14ac:dyDescent="0.2">
      <c r="O323" s="4">
        <f t="shared" ref="O323:O386" ca="1" si="58">RAND()</f>
        <v>0.64480811870857313</v>
      </c>
      <c r="P323" s="4">
        <f t="shared" ref="P323:P386" ca="1" si="59">NORMSINV(O323)</f>
        <v>0.37134073327406408</v>
      </c>
      <c r="Q323" s="4">
        <f t="shared" ref="Q323:Q386" ca="1" si="60">$B$4*(1+$B$17-$B$6/SQRT(252)*P323)</f>
        <v>1912.014533136535</v>
      </c>
      <c r="R323" s="4">
        <f t="shared" ref="R323:R386" ca="1" si="61">Q323-$B$4</f>
        <v>-11.655510863464997</v>
      </c>
      <c r="S323" s="4">
        <f t="shared" ref="S323:S386" ca="1" si="62">R323*$B$12+0.5*$B$13*R323^2</f>
        <v>-5.844833029402885</v>
      </c>
    </row>
    <row r="324" spans="15:19" x14ac:dyDescent="0.2">
      <c r="O324" s="4">
        <f t="shared" ca="1" si="58"/>
        <v>0.54331192983280296</v>
      </c>
      <c r="P324" s="4">
        <f t="shared" ca="1" si="59"/>
        <v>0.10878106788605731</v>
      </c>
      <c r="Q324" s="4">
        <f t="shared" ca="1" si="60"/>
        <v>1919.9687665420793</v>
      </c>
      <c r="R324" s="4">
        <f t="shared" ca="1" si="61"/>
        <v>-3.7012774579206962</v>
      </c>
      <c r="S324" s="4">
        <f t="shared" ca="1" si="62"/>
        <v>-1.8680462763954779</v>
      </c>
    </row>
    <row r="325" spans="15:19" x14ac:dyDescent="0.2">
      <c r="O325" s="4">
        <f t="shared" ca="1" si="58"/>
        <v>0.85911580578393609</v>
      </c>
      <c r="P325" s="4">
        <f t="shared" ca="1" si="59"/>
        <v>1.0763552934217302</v>
      </c>
      <c r="Q325" s="4">
        <f t="shared" ca="1" si="60"/>
        <v>1890.6561483388002</v>
      </c>
      <c r="R325" s="4">
        <f t="shared" ca="1" si="61"/>
        <v>-33.01389566119974</v>
      </c>
      <c r="S325" s="4">
        <f t="shared" ca="1" si="62"/>
        <v>-16.268285557524628</v>
      </c>
    </row>
    <row r="326" spans="15:19" x14ac:dyDescent="0.2">
      <c r="O326" s="4">
        <f t="shared" ca="1" si="58"/>
        <v>0.41031186750590198</v>
      </c>
      <c r="P326" s="4">
        <f t="shared" ca="1" si="59"/>
        <v>-0.22674281176336111</v>
      </c>
      <c r="Q326" s="4">
        <f t="shared" ca="1" si="60"/>
        <v>1930.133447579135</v>
      </c>
      <c r="R326" s="4">
        <f t="shared" ca="1" si="61"/>
        <v>6.463403579135047</v>
      </c>
      <c r="S326" s="4">
        <f t="shared" ca="1" si="62"/>
        <v>3.2888437555620937</v>
      </c>
    </row>
    <row r="327" spans="15:19" x14ac:dyDescent="0.2">
      <c r="O327" s="4">
        <f t="shared" ca="1" si="58"/>
        <v>0.29901780770988984</v>
      </c>
      <c r="P327" s="4">
        <f t="shared" ca="1" si="59"/>
        <v>-0.52722749773754374</v>
      </c>
      <c r="Q327" s="4">
        <f t="shared" ca="1" si="60"/>
        <v>1939.2366177995043</v>
      </c>
      <c r="R327" s="4">
        <f t="shared" ca="1" si="61"/>
        <v>15.56657379950434</v>
      </c>
      <c r="S327" s="4">
        <f t="shared" ca="1" si="62"/>
        <v>7.9785924205648211</v>
      </c>
    </row>
    <row r="328" spans="15:19" x14ac:dyDescent="0.2">
      <c r="O328" s="4">
        <f t="shared" ca="1" si="58"/>
        <v>0.65884211612253796</v>
      </c>
      <c r="P328" s="4">
        <f t="shared" ca="1" si="59"/>
        <v>0.40930510753186106</v>
      </c>
      <c r="Q328" s="4">
        <f t="shared" ca="1" si="60"/>
        <v>1910.8644041039752</v>
      </c>
      <c r="R328" s="4">
        <f t="shared" ca="1" si="61"/>
        <v>-12.805639896024786</v>
      </c>
      <c r="S328" s="4">
        <f t="shared" ca="1" si="62"/>
        <v>-6.4155873373081418</v>
      </c>
    </row>
    <row r="329" spans="15:19" x14ac:dyDescent="0.2">
      <c r="O329" s="4">
        <f t="shared" ca="1" si="58"/>
        <v>0.54421864675800369</v>
      </c>
      <c r="P329" s="4">
        <f t="shared" ca="1" si="59"/>
        <v>0.11106764377309616</v>
      </c>
      <c r="Q329" s="4">
        <f t="shared" ca="1" si="60"/>
        <v>1919.8994948271029</v>
      </c>
      <c r="R329" s="4">
        <f t="shared" ca="1" si="61"/>
        <v>-3.7705491728970628</v>
      </c>
      <c r="S329" s="4">
        <f t="shared" ca="1" si="62"/>
        <v>-1.9029016035945248</v>
      </c>
    </row>
    <row r="330" spans="15:19" x14ac:dyDescent="0.2">
      <c r="O330" s="4">
        <f t="shared" ca="1" si="58"/>
        <v>0.71528352254978811</v>
      </c>
      <c r="P330" s="4">
        <f t="shared" ca="1" si="59"/>
        <v>0.56888681325955526</v>
      </c>
      <c r="Q330" s="4">
        <f t="shared" ca="1" si="60"/>
        <v>1906.0298834142222</v>
      </c>
      <c r="R330" s="4">
        <f t="shared" ca="1" si="61"/>
        <v>-17.640160585777721</v>
      </c>
      <c r="S330" s="4">
        <f t="shared" ca="1" si="62"/>
        <v>-8.8029521978351628</v>
      </c>
    </row>
    <row r="331" spans="15:19" x14ac:dyDescent="0.2">
      <c r="O331" s="4">
        <f t="shared" ca="1" si="58"/>
        <v>0.23631425163678688</v>
      </c>
      <c r="P331" s="4">
        <f t="shared" ca="1" si="59"/>
        <v>-0.71820888030314156</v>
      </c>
      <c r="Q331" s="4">
        <f t="shared" ca="1" si="60"/>
        <v>1945.0223903049477</v>
      </c>
      <c r="R331" s="4">
        <f t="shared" ca="1" si="61"/>
        <v>21.352346304947787</v>
      </c>
      <c r="S331" s="4">
        <f t="shared" ca="1" si="62"/>
        <v>10.994358941299312</v>
      </c>
    </row>
    <row r="332" spans="15:19" x14ac:dyDescent="0.2">
      <c r="O332" s="4">
        <f t="shared" ca="1" si="58"/>
        <v>0.1263808158762123</v>
      </c>
      <c r="P332" s="4">
        <f t="shared" ca="1" si="59"/>
        <v>-1.1436673187797635</v>
      </c>
      <c r="Q332" s="4">
        <f t="shared" ca="1" si="60"/>
        <v>1957.9116348086691</v>
      </c>
      <c r="R332" s="4">
        <f t="shared" ca="1" si="61"/>
        <v>34.241590808669116</v>
      </c>
      <c r="S332" s="4">
        <f t="shared" ca="1" si="62"/>
        <v>17.810711848962246</v>
      </c>
    </row>
    <row r="333" spans="15:19" x14ac:dyDescent="0.2">
      <c r="O333" s="4">
        <f t="shared" ca="1" si="58"/>
        <v>0.57701036821614005</v>
      </c>
      <c r="P333" s="4">
        <f t="shared" ca="1" si="59"/>
        <v>0.19425111178208485</v>
      </c>
      <c r="Q333" s="4">
        <f t="shared" ca="1" si="60"/>
        <v>1917.3794553570333</v>
      </c>
      <c r="R333" s="4">
        <f t="shared" ca="1" si="61"/>
        <v>-6.290588642966668</v>
      </c>
      <c r="S333" s="4">
        <f t="shared" ca="1" si="62"/>
        <v>-3.1682492446959754</v>
      </c>
    </row>
    <row r="334" spans="15:19" x14ac:dyDescent="0.2">
      <c r="O334" s="4">
        <f t="shared" ca="1" si="58"/>
        <v>0.14019997591220712</v>
      </c>
      <c r="P334" s="4">
        <f t="shared" ca="1" si="59"/>
        <v>-1.079421318055892</v>
      </c>
      <c r="Q334" s="4">
        <f t="shared" ca="1" si="60"/>
        <v>1955.9653050691975</v>
      </c>
      <c r="R334" s="4">
        <f t="shared" ca="1" si="61"/>
        <v>32.295261069197522</v>
      </c>
      <c r="S334" s="4">
        <f t="shared" ca="1" si="62"/>
        <v>16.772744125802689</v>
      </c>
    </row>
    <row r="335" spans="15:19" x14ac:dyDescent="0.2">
      <c r="O335" s="4">
        <f t="shared" ca="1" si="58"/>
        <v>0.66164468181654157</v>
      </c>
      <c r="P335" s="4">
        <f t="shared" ca="1" si="59"/>
        <v>0.41695593866933128</v>
      </c>
      <c r="Q335" s="4">
        <f t="shared" ca="1" si="60"/>
        <v>1910.6326225143546</v>
      </c>
      <c r="R335" s="4">
        <f t="shared" ca="1" si="61"/>
        <v>-13.037421485645382</v>
      </c>
      <c r="S335" s="4">
        <f t="shared" ca="1" si="62"/>
        <v>-6.5304791256344448</v>
      </c>
    </row>
    <row r="336" spans="15:19" x14ac:dyDescent="0.2">
      <c r="O336" s="4">
        <f t="shared" ca="1" si="58"/>
        <v>0.98205158960386818</v>
      </c>
      <c r="P336" s="4">
        <f t="shared" ca="1" si="59"/>
        <v>2.0980942456579434</v>
      </c>
      <c r="Q336" s="4">
        <f t="shared" ca="1" si="60"/>
        <v>1859.7026121449876</v>
      </c>
      <c r="R336" s="4">
        <f t="shared" ca="1" si="61"/>
        <v>-63.967431855012364</v>
      </c>
      <c r="S336" s="4">
        <f t="shared" ca="1" si="62"/>
        <v>-30.715281538250711</v>
      </c>
    </row>
    <row r="337" spans="15:19" x14ac:dyDescent="0.2">
      <c r="O337" s="4">
        <f t="shared" ca="1" si="58"/>
        <v>0.20029635123567124</v>
      </c>
      <c r="P337" s="4">
        <f t="shared" ca="1" si="59"/>
        <v>-0.84056316338766413</v>
      </c>
      <c r="Q337" s="4">
        <f t="shared" ca="1" si="60"/>
        <v>1948.7291078785856</v>
      </c>
      <c r="R337" s="4">
        <f t="shared" ca="1" si="61"/>
        <v>25.059063878585675</v>
      </c>
      <c r="S337" s="4">
        <f t="shared" ca="1" si="62"/>
        <v>12.940765427027806</v>
      </c>
    </row>
    <row r="338" spans="15:19" x14ac:dyDescent="0.2">
      <c r="O338" s="4">
        <f t="shared" ca="1" si="58"/>
        <v>0.3840421502319179</v>
      </c>
      <c r="P338" s="4">
        <f t="shared" ca="1" si="59"/>
        <v>-0.29488163651778865</v>
      </c>
      <c r="Q338" s="4">
        <f t="shared" ca="1" si="60"/>
        <v>1932.1977102497749</v>
      </c>
      <c r="R338" s="4">
        <f t="shared" ca="1" si="61"/>
        <v>8.5276662497749385</v>
      </c>
      <c r="S338" s="4">
        <f t="shared" ca="1" si="62"/>
        <v>4.3463907018001642</v>
      </c>
    </row>
    <row r="339" spans="15:19" x14ac:dyDescent="0.2">
      <c r="O339" s="4">
        <f t="shared" ca="1" si="58"/>
        <v>0.17617895390278493</v>
      </c>
      <c r="P339" s="4">
        <f t="shared" ca="1" si="59"/>
        <v>-0.93002544965438483</v>
      </c>
      <c r="Q339" s="4">
        <f t="shared" ca="1" si="60"/>
        <v>1951.4393638690008</v>
      </c>
      <c r="R339" s="4">
        <f t="shared" ca="1" si="61"/>
        <v>27.76931986900081</v>
      </c>
      <c r="S339" s="4">
        <f t="shared" ca="1" si="62"/>
        <v>14.371007094220547</v>
      </c>
    </row>
    <row r="340" spans="15:19" x14ac:dyDescent="0.2">
      <c r="O340" s="4">
        <f t="shared" ca="1" si="58"/>
        <v>0.41016881276007633</v>
      </c>
      <c r="P340" s="4">
        <f t="shared" ca="1" si="59"/>
        <v>-0.22711074953143751</v>
      </c>
      <c r="Q340" s="4">
        <f t="shared" ca="1" si="60"/>
        <v>1930.1445942374826</v>
      </c>
      <c r="R340" s="4">
        <f t="shared" ca="1" si="61"/>
        <v>6.4745502374826174</v>
      </c>
      <c r="S340" s="4">
        <f t="shared" ca="1" si="62"/>
        <v>3.2945450086665047</v>
      </c>
    </row>
    <row r="341" spans="15:19" x14ac:dyDescent="0.2">
      <c r="O341" s="4">
        <f t="shared" ca="1" si="58"/>
        <v>0.46194570940753932</v>
      </c>
      <c r="P341" s="4">
        <f t="shared" ca="1" si="59"/>
        <v>-9.5533076918415075E-2</v>
      </c>
      <c r="Q341" s="4">
        <f t="shared" ca="1" si="60"/>
        <v>1926.1584544875877</v>
      </c>
      <c r="R341" s="4">
        <f t="shared" ca="1" si="61"/>
        <v>2.4884104875877711</v>
      </c>
      <c r="S341" s="4">
        <f t="shared" ca="1" si="62"/>
        <v>1.262178411230215</v>
      </c>
    </row>
    <row r="342" spans="15:19" x14ac:dyDescent="0.2">
      <c r="O342" s="4">
        <f t="shared" ca="1" si="58"/>
        <v>0.11441404769681318</v>
      </c>
      <c r="P342" s="4">
        <f t="shared" ca="1" si="59"/>
        <v>-1.2033831240288728</v>
      </c>
      <c r="Q342" s="4">
        <f t="shared" ca="1" si="60"/>
        <v>1959.7207224773695</v>
      </c>
      <c r="R342" s="4">
        <f t="shared" ca="1" si="61"/>
        <v>36.050678477369502</v>
      </c>
      <c r="S342" s="4">
        <f t="shared" ca="1" si="62"/>
        <v>18.778254654953834</v>
      </c>
    </row>
    <row r="343" spans="15:19" x14ac:dyDescent="0.2">
      <c r="O343" s="4">
        <f t="shared" ca="1" si="58"/>
        <v>4.7276219843726763E-2</v>
      </c>
      <c r="P343" s="4">
        <f t="shared" ca="1" si="59"/>
        <v>-1.671857426110807</v>
      </c>
      <c r="Q343" s="4">
        <f t="shared" ca="1" si="60"/>
        <v>1973.9131306591528</v>
      </c>
      <c r="R343" s="4">
        <f t="shared" ca="1" si="61"/>
        <v>50.243086659152823</v>
      </c>
      <c r="S343" s="4">
        <f t="shared" ca="1" si="62"/>
        <v>26.461135021465818</v>
      </c>
    </row>
    <row r="344" spans="15:19" x14ac:dyDescent="0.2">
      <c r="O344" s="4">
        <f t="shared" ca="1" si="58"/>
        <v>3.9001634705480792E-2</v>
      </c>
      <c r="P344" s="4">
        <f t="shared" ca="1" si="59"/>
        <v>-1.7623909336013548</v>
      </c>
      <c r="Q344" s="4">
        <f t="shared" ca="1" si="60"/>
        <v>1976.6558392489821</v>
      </c>
      <c r="R344" s="4">
        <f t="shared" ca="1" si="61"/>
        <v>52.985795248982186</v>
      </c>
      <c r="S344" s="4">
        <f t="shared" ca="1" si="62"/>
        <v>27.964773157503561</v>
      </c>
    </row>
    <row r="345" spans="15:19" x14ac:dyDescent="0.2">
      <c r="O345" s="4">
        <f t="shared" ca="1" si="58"/>
        <v>2.6442357825558704E-2</v>
      </c>
      <c r="P345" s="4">
        <f t="shared" ca="1" si="59"/>
        <v>-1.9358610962025888</v>
      </c>
      <c r="Q345" s="4">
        <f t="shared" ca="1" si="60"/>
        <v>1981.9111101230856</v>
      </c>
      <c r="R345" s="4">
        <f t="shared" ca="1" si="61"/>
        <v>58.241066123085602</v>
      </c>
      <c r="S345" s="4">
        <f t="shared" ca="1" si="62"/>
        <v>30.862985818174405</v>
      </c>
    </row>
    <row r="346" spans="15:19" x14ac:dyDescent="0.2">
      <c r="O346" s="4">
        <f t="shared" ca="1" si="58"/>
        <v>0.89118384924803573</v>
      </c>
      <c r="P346" s="4">
        <f t="shared" ca="1" si="59"/>
        <v>1.2328484760640512</v>
      </c>
      <c r="Q346" s="4">
        <f t="shared" ca="1" si="60"/>
        <v>1885.9151943187912</v>
      </c>
      <c r="R346" s="4">
        <f t="shared" ca="1" si="61"/>
        <v>-37.754849681208725</v>
      </c>
      <c r="S346" s="4">
        <f t="shared" ca="1" si="62"/>
        <v>-18.531626566966835</v>
      </c>
    </row>
    <row r="347" spans="15:19" x14ac:dyDescent="0.2">
      <c r="O347" s="4">
        <f t="shared" ca="1" si="58"/>
        <v>0.74711419875901131</v>
      </c>
      <c r="P347" s="4">
        <f t="shared" ca="1" si="59"/>
        <v>0.66543609863686926</v>
      </c>
      <c r="Q347" s="4">
        <f t="shared" ca="1" si="60"/>
        <v>1903.1049271004078</v>
      </c>
      <c r="R347" s="4">
        <f t="shared" ca="1" si="61"/>
        <v>-20.565116899592113</v>
      </c>
      <c r="S347" s="4">
        <f t="shared" ca="1" si="62"/>
        <v>-10.238104249254421</v>
      </c>
    </row>
    <row r="348" spans="15:19" x14ac:dyDescent="0.2">
      <c r="O348" s="4">
        <f t="shared" ca="1" si="58"/>
        <v>0.15026720621905643</v>
      </c>
      <c r="P348" s="4">
        <f t="shared" ca="1" si="59"/>
        <v>-1.0352880424592865</v>
      </c>
      <c r="Q348" s="4">
        <f t="shared" ca="1" si="60"/>
        <v>1954.6282894444714</v>
      </c>
      <c r="R348" s="4">
        <f t="shared" ca="1" si="61"/>
        <v>30.958245444471459</v>
      </c>
      <c r="S348" s="4">
        <f t="shared" ca="1" si="62"/>
        <v>16.061507499043792</v>
      </c>
    </row>
    <row r="349" spans="15:19" x14ac:dyDescent="0.2">
      <c r="O349" s="4">
        <f t="shared" ca="1" si="58"/>
        <v>0.88118111895062201</v>
      </c>
      <c r="P349" s="4">
        <f t="shared" ca="1" si="59"/>
        <v>1.1809118027626104</v>
      </c>
      <c r="Q349" s="4">
        <f t="shared" ca="1" si="60"/>
        <v>1887.4886135305221</v>
      </c>
      <c r="R349" s="4">
        <f t="shared" ca="1" si="61"/>
        <v>-36.181430469477846</v>
      </c>
      <c r="S349" s="4">
        <f t="shared" ca="1" si="62"/>
        <v>-17.782501838515536</v>
      </c>
    </row>
    <row r="350" spans="15:19" x14ac:dyDescent="0.2">
      <c r="O350" s="4">
        <f t="shared" ca="1" si="58"/>
        <v>0.99274131067722415</v>
      </c>
      <c r="P350" s="4">
        <f t="shared" ca="1" si="59"/>
        <v>2.4441999393379263</v>
      </c>
      <c r="Q350" s="4">
        <f t="shared" ca="1" si="60"/>
        <v>1849.2173555216978</v>
      </c>
      <c r="R350" s="4">
        <f t="shared" ca="1" si="61"/>
        <v>-74.452688478302207</v>
      </c>
      <c r="S350" s="4">
        <f t="shared" ca="1" si="62"/>
        <v>-35.432212884080791</v>
      </c>
    </row>
    <row r="351" spans="15:19" x14ac:dyDescent="0.2">
      <c r="O351" s="4">
        <f t="shared" ca="1" si="58"/>
        <v>0.14582859495329115</v>
      </c>
      <c r="P351" s="4">
        <f t="shared" ca="1" si="59"/>
        <v>-1.0544931614421447</v>
      </c>
      <c r="Q351" s="4">
        <f t="shared" ca="1" si="60"/>
        <v>1955.2101076713693</v>
      </c>
      <c r="R351" s="4">
        <f t="shared" ca="1" si="61"/>
        <v>31.540063671369353</v>
      </c>
      <c r="S351" s="4">
        <f t="shared" ca="1" si="62"/>
        <v>16.370831702330758</v>
      </c>
    </row>
    <row r="352" spans="15:19" x14ac:dyDescent="0.2">
      <c r="O352" s="4">
        <f t="shared" ca="1" si="58"/>
        <v>0.3142254268778365</v>
      </c>
      <c r="P352" s="4">
        <f t="shared" ca="1" si="59"/>
        <v>-0.48390843509703163</v>
      </c>
      <c r="Q352" s="4">
        <f t="shared" ca="1" si="60"/>
        <v>1937.9242687201329</v>
      </c>
      <c r="R352" s="4">
        <f t="shared" ca="1" si="61"/>
        <v>14.254224720132925</v>
      </c>
      <c r="S352" s="4">
        <f t="shared" ca="1" si="62"/>
        <v>7.2983376870065371</v>
      </c>
    </row>
    <row r="353" spans="15:19" x14ac:dyDescent="0.2">
      <c r="O353" s="4">
        <f t="shared" ca="1" si="58"/>
        <v>0.56055874719009913</v>
      </c>
      <c r="P353" s="4">
        <f t="shared" ca="1" si="59"/>
        <v>0.15238599097660049</v>
      </c>
      <c r="Q353" s="4">
        <f t="shared" ca="1" si="60"/>
        <v>1918.647757333066</v>
      </c>
      <c r="R353" s="4">
        <f t="shared" ca="1" si="61"/>
        <v>-5.022286666933951</v>
      </c>
      <c r="S353" s="4">
        <f t="shared" ca="1" si="62"/>
        <v>-2.532063048629742</v>
      </c>
    </row>
    <row r="354" spans="15:19" x14ac:dyDescent="0.2">
      <c r="O354" s="4">
        <f t="shared" ca="1" si="58"/>
        <v>0.55513519868092376</v>
      </c>
      <c r="P354" s="4">
        <f t="shared" ca="1" si="59"/>
        <v>0.13864636562913948</v>
      </c>
      <c r="Q354" s="4">
        <f t="shared" ca="1" si="60"/>
        <v>1919.0639986729418</v>
      </c>
      <c r="R354" s="4">
        <f t="shared" ca="1" si="61"/>
        <v>-4.6060453270581547</v>
      </c>
      <c r="S354" s="4">
        <f t="shared" ca="1" si="62"/>
        <v>-2.3229890206693362</v>
      </c>
    </row>
    <row r="355" spans="15:19" x14ac:dyDescent="0.2">
      <c r="O355" s="4">
        <f t="shared" ca="1" si="58"/>
        <v>0.91175078367323958</v>
      </c>
      <c r="P355" s="4">
        <f t="shared" ca="1" si="59"/>
        <v>1.3516152393711172</v>
      </c>
      <c r="Q355" s="4">
        <f t="shared" ca="1" si="60"/>
        <v>1882.3171604975287</v>
      </c>
      <c r="R355" s="4">
        <f t="shared" ca="1" si="61"/>
        <v>-41.352883502471286</v>
      </c>
      <c r="S355" s="4">
        <f t="shared" ca="1" si="62"/>
        <v>-20.237121479907973</v>
      </c>
    </row>
    <row r="356" spans="15:19" x14ac:dyDescent="0.2">
      <c r="O356" s="4">
        <f t="shared" ca="1" si="58"/>
        <v>0.61582261905213875</v>
      </c>
      <c r="P356" s="4">
        <f t="shared" ca="1" si="59"/>
        <v>0.29452761904377839</v>
      </c>
      <c r="Q356" s="4">
        <f t="shared" ca="1" si="60"/>
        <v>1914.3415830217164</v>
      </c>
      <c r="R356" s="4">
        <f t="shared" ca="1" si="61"/>
        <v>-9.3284609782836014</v>
      </c>
      <c r="S356" s="4">
        <f t="shared" ca="1" si="62"/>
        <v>-4.6867350795856408</v>
      </c>
    </row>
    <row r="357" spans="15:19" x14ac:dyDescent="0.2">
      <c r="O357" s="4">
        <f t="shared" ca="1" si="58"/>
        <v>0.64003417679108676</v>
      </c>
      <c r="P357" s="4">
        <f t="shared" ca="1" si="59"/>
        <v>0.35855014779769434</v>
      </c>
      <c r="Q357" s="4">
        <f t="shared" ca="1" si="60"/>
        <v>1912.4020233556525</v>
      </c>
      <c r="R357" s="4">
        <f t="shared" ca="1" si="61"/>
        <v>-11.268020644347416</v>
      </c>
      <c r="S357" s="4">
        <f t="shared" ca="1" si="62"/>
        <v>-5.6522975361715435</v>
      </c>
    </row>
    <row r="358" spans="15:19" x14ac:dyDescent="0.2">
      <c r="O358" s="4">
        <f t="shared" ca="1" si="58"/>
        <v>0.6983240269546318</v>
      </c>
      <c r="P358" s="4">
        <f t="shared" ca="1" si="59"/>
        <v>0.51958630389733573</v>
      </c>
      <c r="Q358" s="4">
        <f t="shared" ca="1" si="60"/>
        <v>1907.5234401564576</v>
      </c>
      <c r="R358" s="4">
        <f t="shared" ca="1" si="61"/>
        <v>-16.14660384354238</v>
      </c>
      <c r="S358" s="4">
        <f t="shared" ca="1" si="62"/>
        <v>-8.0674408560419266</v>
      </c>
    </row>
    <row r="359" spans="15:19" x14ac:dyDescent="0.2">
      <c r="O359" s="4">
        <f t="shared" ca="1" si="58"/>
        <v>3.0238985466967683E-2</v>
      </c>
      <c r="P359" s="4">
        <f t="shared" ca="1" si="59"/>
        <v>-1.8772928260181374</v>
      </c>
      <c r="Q359" s="4">
        <f t="shared" ca="1" si="60"/>
        <v>1980.1367869782198</v>
      </c>
      <c r="R359" s="4">
        <f t="shared" ca="1" si="61"/>
        <v>56.466742978219827</v>
      </c>
      <c r="S359" s="4">
        <f t="shared" ca="1" si="62"/>
        <v>29.881955784213147</v>
      </c>
    </row>
    <row r="360" spans="15:19" x14ac:dyDescent="0.2">
      <c r="O360" s="4">
        <f t="shared" ca="1" si="58"/>
        <v>0.22427710355490527</v>
      </c>
      <c r="P360" s="4">
        <f t="shared" ca="1" si="59"/>
        <v>-0.75782758350276369</v>
      </c>
      <c r="Q360" s="4">
        <f t="shared" ca="1" si="60"/>
        <v>1946.2226371593495</v>
      </c>
      <c r="R360" s="4">
        <f t="shared" ca="1" si="61"/>
        <v>22.552593159349499</v>
      </c>
      <c r="S360" s="4">
        <f t="shared" ca="1" si="62"/>
        <v>11.623386886826331</v>
      </c>
    </row>
    <row r="361" spans="15:19" x14ac:dyDescent="0.2">
      <c r="O361" s="4">
        <f t="shared" ca="1" si="58"/>
        <v>0.55287849060950167</v>
      </c>
      <c r="P361" s="4">
        <f t="shared" ca="1" si="59"/>
        <v>0.13293723522473289</v>
      </c>
      <c r="Q361" s="4">
        <f t="shared" ca="1" si="60"/>
        <v>1919.2369565250635</v>
      </c>
      <c r="R361" s="4">
        <f t="shared" ca="1" si="61"/>
        <v>-4.4330874749364284</v>
      </c>
      <c r="S361" s="4">
        <f t="shared" ca="1" si="62"/>
        <v>-2.2360724693670084</v>
      </c>
    </row>
    <row r="362" spans="15:19" x14ac:dyDescent="0.2">
      <c r="O362" s="4">
        <f t="shared" ca="1" si="58"/>
        <v>0.32841656503798544</v>
      </c>
      <c r="P362" s="4">
        <f t="shared" ca="1" si="59"/>
        <v>-0.44428972350742824</v>
      </c>
      <c r="Q362" s="4">
        <f t="shared" ca="1" si="60"/>
        <v>1936.724021611557</v>
      </c>
      <c r="R362" s="4">
        <f t="shared" ca="1" si="61"/>
        <v>13.053977611557002</v>
      </c>
      <c r="S362" s="4">
        <f t="shared" ca="1" si="62"/>
        <v>6.6774185028631514</v>
      </c>
    </row>
    <row r="363" spans="15:19" x14ac:dyDescent="0.2">
      <c r="O363" s="4">
        <f t="shared" ca="1" si="58"/>
        <v>0.97666764172064613</v>
      </c>
      <c r="P363" s="4">
        <f t="shared" ca="1" si="59"/>
        <v>1.9893306698703306</v>
      </c>
      <c r="Q363" s="4">
        <f t="shared" ca="1" si="60"/>
        <v>1862.99759984448</v>
      </c>
      <c r="R363" s="4">
        <f t="shared" ca="1" si="61"/>
        <v>-60.672444155519997</v>
      </c>
      <c r="S363" s="4">
        <f t="shared" ca="1" si="62"/>
        <v>-29.214504472109468</v>
      </c>
    </row>
    <row r="364" spans="15:19" x14ac:dyDescent="0.2">
      <c r="O364" s="4">
        <f t="shared" ca="1" si="58"/>
        <v>0.68384230008894231</v>
      </c>
      <c r="P364" s="4">
        <f t="shared" ca="1" si="59"/>
        <v>0.47847045238124525</v>
      </c>
      <c r="Q364" s="4">
        <f t="shared" ca="1" si="60"/>
        <v>1908.769043052635</v>
      </c>
      <c r="R364" s="4">
        <f t="shared" ca="1" si="61"/>
        <v>-14.901000947364992</v>
      </c>
      <c r="S364" s="4">
        <f t="shared" ca="1" si="62"/>
        <v>-7.4526470520840062</v>
      </c>
    </row>
    <row r="365" spans="15:19" x14ac:dyDescent="0.2">
      <c r="O365" s="4">
        <f t="shared" ca="1" si="58"/>
        <v>0.24057033432122277</v>
      </c>
      <c r="P365" s="4">
        <f t="shared" ca="1" si="59"/>
        <v>-0.70446912897467573</v>
      </c>
      <c r="Q365" s="4">
        <f t="shared" ca="1" si="60"/>
        <v>1944.6061451484829</v>
      </c>
      <c r="R365" s="4">
        <f t="shared" ca="1" si="61"/>
        <v>20.936101148482976</v>
      </c>
      <c r="S365" s="4">
        <f t="shared" ca="1" si="62"/>
        <v>10.776486186377777</v>
      </c>
    </row>
    <row r="366" spans="15:19" x14ac:dyDescent="0.2">
      <c r="O366" s="4">
        <f t="shared" ca="1" si="58"/>
        <v>0.72344339643470845</v>
      </c>
      <c r="P366" s="4">
        <f t="shared" ca="1" si="59"/>
        <v>0.59310152919040293</v>
      </c>
      <c r="Q366" s="4">
        <f t="shared" ca="1" si="60"/>
        <v>1905.2962996702063</v>
      </c>
      <c r="R366" s="4">
        <f t="shared" ca="1" si="61"/>
        <v>-18.373744329793681</v>
      </c>
      <c r="S366" s="4">
        <f t="shared" ca="1" si="62"/>
        <v>-9.163545024961687</v>
      </c>
    </row>
    <row r="367" spans="15:19" x14ac:dyDescent="0.2">
      <c r="O367" s="4">
        <f t="shared" ca="1" si="58"/>
        <v>0.36712425625196199</v>
      </c>
      <c r="P367" s="4">
        <f t="shared" ca="1" si="59"/>
        <v>-0.33947953356015093</v>
      </c>
      <c r="Q367" s="4">
        <f t="shared" ca="1" si="60"/>
        <v>1933.5488015605715</v>
      </c>
      <c r="R367" s="4">
        <f t="shared" ca="1" si="61"/>
        <v>9.8787575605715574</v>
      </c>
      <c r="S367" s="4">
        <f t="shared" ca="1" si="62"/>
        <v>5.040449663719218</v>
      </c>
    </row>
    <row r="368" spans="15:19" x14ac:dyDescent="0.2">
      <c r="O368" s="4">
        <f t="shared" ca="1" si="58"/>
        <v>0.56315557449508058</v>
      </c>
      <c r="P368" s="4">
        <f t="shared" ca="1" si="59"/>
        <v>0.15897464387323909</v>
      </c>
      <c r="Q368" s="4">
        <f t="shared" ca="1" si="60"/>
        <v>1918.448154386092</v>
      </c>
      <c r="R368" s="4">
        <f t="shared" ca="1" si="61"/>
        <v>-5.2218896139079334</v>
      </c>
      <c r="S368" s="4">
        <f t="shared" ca="1" si="62"/>
        <v>-2.6322716534450046</v>
      </c>
    </row>
    <row r="369" spans="15:19" x14ac:dyDescent="0.2">
      <c r="O369" s="4">
        <f t="shared" ca="1" si="58"/>
        <v>0.57567836885424961</v>
      </c>
      <c r="P369" s="4">
        <f t="shared" ca="1" si="59"/>
        <v>0.19084981103708298</v>
      </c>
      <c r="Q369" s="4">
        <f t="shared" ca="1" si="60"/>
        <v>1917.4824976120888</v>
      </c>
      <c r="R369" s="4">
        <f t="shared" ca="1" si="61"/>
        <v>-6.1875463879111976</v>
      </c>
      <c r="S369" s="4">
        <f t="shared" ca="1" si="62"/>
        <v>-3.1166116454016723</v>
      </c>
    </row>
    <row r="370" spans="15:19" x14ac:dyDescent="0.2">
      <c r="O370" s="4">
        <f t="shared" ca="1" si="58"/>
        <v>0.17842145719911817</v>
      </c>
      <c r="P370" s="4">
        <f t="shared" ca="1" si="59"/>
        <v>-0.92139753664517365</v>
      </c>
      <c r="Q370" s="4">
        <f t="shared" ca="1" si="60"/>
        <v>1951.177981627457</v>
      </c>
      <c r="R370" s="4">
        <f t="shared" ca="1" si="61"/>
        <v>27.507937627457068</v>
      </c>
      <c r="S370" s="4">
        <f t="shared" ca="1" si="62"/>
        <v>14.232811306286612</v>
      </c>
    </row>
    <row r="371" spans="15:19" x14ac:dyDescent="0.2">
      <c r="O371" s="4">
        <f t="shared" ca="1" si="58"/>
        <v>0.25603287203502378</v>
      </c>
      <c r="P371" s="4">
        <f t="shared" ca="1" si="59"/>
        <v>-0.65562452126385473</v>
      </c>
      <c r="Q371" s="4">
        <f t="shared" ca="1" si="60"/>
        <v>1943.1263999265352</v>
      </c>
      <c r="R371" s="4">
        <f t="shared" ca="1" si="61"/>
        <v>19.456355926535252</v>
      </c>
      <c r="S371" s="4">
        <f t="shared" ca="1" si="62"/>
        <v>10.003093911442267</v>
      </c>
    </row>
    <row r="372" spans="15:19" x14ac:dyDescent="0.2">
      <c r="O372" s="4">
        <f t="shared" ca="1" si="58"/>
        <v>0.95984175570498076</v>
      </c>
      <c r="P372" s="4">
        <f t="shared" ca="1" si="59"/>
        <v>1.7488526763131127</v>
      </c>
      <c r="Q372" s="4">
        <f t="shared" ca="1" si="60"/>
        <v>1870.2828699823144</v>
      </c>
      <c r="R372" s="4">
        <f t="shared" ca="1" si="61"/>
        <v>-53.387174017685538</v>
      </c>
      <c r="S372" s="4">
        <f t="shared" ca="1" si="62"/>
        <v>-25.864885631277623</v>
      </c>
    </row>
    <row r="373" spans="15:19" x14ac:dyDescent="0.2">
      <c r="O373" s="4">
        <f t="shared" ca="1" si="58"/>
        <v>0.70552682921102439</v>
      </c>
      <c r="P373" s="4">
        <f t="shared" ca="1" si="59"/>
        <v>0.54036354753231708</v>
      </c>
      <c r="Q373" s="4">
        <f t="shared" ca="1" si="60"/>
        <v>1906.8939944830245</v>
      </c>
      <c r="R373" s="4">
        <f t="shared" ca="1" si="61"/>
        <v>-16.77604951697549</v>
      </c>
      <c r="S373" s="4">
        <f t="shared" ca="1" si="62"/>
        <v>-8.3776367168899952</v>
      </c>
    </row>
    <row r="374" spans="15:19" x14ac:dyDescent="0.2">
      <c r="O374" s="4">
        <f t="shared" ca="1" si="58"/>
        <v>0.42164707285818614</v>
      </c>
      <c r="P374" s="4">
        <f t="shared" ca="1" si="59"/>
        <v>-0.19768165237188973</v>
      </c>
      <c r="Q374" s="4">
        <f t="shared" ca="1" si="60"/>
        <v>1929.2530410456566</v>
      </c>
      <c r="R374" s="4">
        <f t="shared" ca="1" si="61"/>
        <v>5.5829970456566116</v>
      </c>
      <c r="S374" s="4">
        <f t="shared" ca="1" si="62"/>
        <v>2.8388560785924617</v>
      </c>
    </row>
    <row r="375" spans="15:19" x14ac:dyDescent="0.2">
      <c r="O375" s="4">
        <f t="shared" ca="1" si="58"/>
        <v>0.23129645592740022</v>
      </c>
      <c r="P375" s="4">
        <f t="shared" ca="1" si="59"/>
        <v>-0.73458395633066509</v>
      </c>
      <c r="Q375" s="4">
        <f t="shared" ca="1" si="60"/>
        <v>1945.5184725061647</v>
      </c>
      <c r="R375" s="4">
        <f t="shared" ca="1" si="61"/>
        <v>21.848428506164737</v>
      </c>
      <c r="S375" s="4">
        <f t="shared" ca="1" si="62"/>
        <v>11.254204566352884</v>
      </c>
    </row>
    <row r="376" spans="15:19" x14ac:dyDescent="0.2">
      <c r="O376" s="4">
        <f t="shared" ca="1" si="58"/>
        <v>0.33552438079753089</v>
      </c>
      <c r="P376" s="4">
        <f t="shared" ca="1" si="59"/>
        <v>-0.42470908302152921</v>
      </c>
      <c r="Q376" s="4">
        <f t="shared" ca="1" si="60"/>
        <v>1936.1308269773972</v>
      </c>
      <c r="R376" s="4">
        <f t="shared" ca="1" si="61"/>
        <v>12.46078297739723</v>
      </c>
      <c r="S376" s="4">
        <f t="shared" ca="1" si="62"/>
        <v>6.3709764868567005</v>
      </c>
    </row>
    <row r="377" spans="15:19" x14ac:dyDescent="0.2">
      <c r="O377" s="4">
        <f t="shared" ca="1" si="58"/>
        <v>0.55336224005181067</v>
      </c>
      <c r="P377" s="4">
        <f t="shared" ca="1" si="59"/>
        <v>0.13416067706693774</v>
      </c>
      <c r="Q377" s="4">
        <f t="shared" ca="1" si="60"/>
        <v>1919.1998924087736</v>
      </c>
      <c r="R377" s="4">
        <f t="shared" ca="1" si="61"/>
        <v>-4.4701515912263403</v>
      </c>
      <c r="S377" s="4">
        <f t="shared" ca="1" si="62"/>
        <v>-2.254700359018571</v>
      </c>
    </row>
    <row r="378" spans="15:19" x14ac:dyDescent="0.2">
      <c r="O378" s="4">
        <f t="shared" ca="1" si="58"/>
        <v>0.1271606616045271</v>
      </c>
      <c r="P378" s="4">
        <f t="shared" ca="1" si="59"/>
        <v>-1.1399159407205151</v>
      </c>
      <c r="Q378" s="4">
        <f t="shared" ca="1" si="60"/>
        <v>1957.7979869769219</v>
      </c>
      <c r="R378" s="4">
        <f t="shared" ca="1" si="61"/>
        <v>34.127942976921986</v>
      </c>
      <c r="S378" s="4">
        <f t="shared" ca="1" si="62"/>
        <v>17.750019255420916</v>
      </c>
    </row>
    <row r="379" spans="15:19" x14ac:dyDescent="0.2">
      <c r="O379" s="4">
        <f t="shared" ca="1" si="58"/>
        <v>0.60246544409492742</v>
      </c>
      <c r="P379" s="4">
        <f t="shared" ca="1" si="59"/>
        <v>0.25973380870569884</v>
      </c>
      <c r="Q379" s="4">
        <f t="shared" ca="1" si="60"/>
        <v>1915.3956599610983</v>
      </c>
      <c r="R379" s="4">
        <f t="shared" ca="1" si="61"/>
        <v>-8.2743840389016441</v>
      </c>
      <c r="S379" s="4">
        <f t="shared" ca="1" si="62"/>
        <v>-4.1607040772239339</v>
      </c>
    </row>
    <row r="380" spans="15:19" x14ac:dyDescent="0.2">
      <c r="O380" s="4">
        <f t="shared" ca="1" si="58"/>
        <v>0.24717868783531416</v>
      </c>
      <c r="P380" s="4">
        <f t="shared" ca="1" si="59"/>
        <v>-0.68339484639831538</v>
      </c>
      <c r="Q380" s="4">
        <f t="shared" ca="1" si="60"/>
        <v>1943.967700693509</v>
      </c>
      <c r="R380" s="4">
        <f t="shared" ca="1" si="61"/>
        <v>20.297656693508998</v>
      </c>
      <c r="S380" s="4">
        <f t="shared" ca="1" si="62"/>
        <v>10.442583063498226</v>
      </c>
    </row>
    <row r="381" spans="15:19" x14ac:dyDescent="0.2">
      <c r="O381" s="4">
        <f t="shared" ca="1" si="58"/>
        <v>0.5472186530763663</v>
      </c>
      <c r="P381" s="4">
        <f t="shared" ca="1" si="59"/>
        <v>0.11863732404635399</v>
      </c>
      <c r="Q381" s="4">
        <f t="shared" ca="1" si="60"/>
        <v>1919.6701716993109</v>
      </c>
      <c r="R381" s="4">
        <f t="shared" ca="1" si="61"/>
        <v>-3.9998723006890486</v>
      </c>
      <c r="S381" s="4">
        <f t="shared" ca="1" si="62"/>
        <v>-2.0182618452211356</v>
      </c>
    </row>
    <row r="382" spans="15:19" x14ac:dyDescent="0.2">
      <c r="O382" s="4">
        <f t="shared" ca="1" si="58"/>
        <v>0.10649020826719957</v>
      </c>
      <c r="P382" s="4">
        <f t="shared" ca="1" si="59"/>
        <v>-1.2454118040196418</v>
      </c>
      <c r="Q382" s="4">
        <f t="shared" ca="1" si="60"/>
        <v>1960.9939794716586</v>
      </c>
      <c r="R382" s="4">
        <f t="shared" ca="1" si="61"/>
        <v>37.323935471658615</v>
      </c>
      <c r="S382" s="4">
        <f t="shared" ca="1" si="62"/>
        <v>19.46082015363929</v>
      </c>
    </row>
    <row r="383" spans="15:19" x14ac:dyDescent="0.2">
      <c r="O383" s="4">
        <f t="shared" ca="1" si="58"/>
        <v>0.95781367534480766</v>
      </c>
      <c r="P383" s="4">
        <f t="shared" ca="1" si="59"/>
        <v>1.725859739353274</v>
      </c>
      <c r="Q383" s="4">
        <f t="shared" ca="1" si="60"/>
        <v>1870.9794399866494</v>
      </c>
      <c r="R383" s="4">
        <f t="shared" ca="1" si="61"/>
        <v>-52.690604013350594</v>
      </c>
      <c r="S383" s="4">
        <f t="shared" ca="1" si="62"/>
        <v>-25.54235366088594</v>
      </c>
    </row>
    <row r="384" spans="15:19" x14ac:dyDescent="0.2">
      <c r="O384" s="4">
        <f t="shared" ca="1" si="58"/>
        <v>0.69921896903474645</v>
      </c>
      <c r="P384" s="4">
        <f t="shared" ca="1" si="59"/>
        <v>0.52215550682490741</v>
      </c>
      <c r="Q384" s="4">
        <f t="shared" ca="1" si="60"/>
        <v>1907.4456062678366</v>
      </c>
      <c r="R384" s="4">
        <f t="shared" ca="1" si="61"/>
        <v>-16.224437732163324</v>
      </c>
      <c r="S384" s="4">
        <f t="shared" ca="1" si="62"/>
        <v>-8.1058154958526352</v>
      </c>
    </row>
    <row r="385" spans="15:19" x14ac:dyDescent="0.2">
      <c r="O385" s="4">
        <f t="shared" ca="1" si="58"/>
        <v>0.48103264915309452</v>
      </c>
      <c r="P385" s="4">
        <f t="shared" ca="1" si="59"/>
        <v>-4.7562023885871239E-2</v>
      </c>
      <c r="Q385" s="4">
        <f t="shared" ca="1" si="60"/>
        <v>1924.7051735658333</v>
      </c>
      <c r="R385" s="4">
        <f t="shared" ca="1" si="61"/>
        <v>1.0351295658333584</v>
      </c>
      <c r="S385" s="4">
        <f t="shared" ca="1" si="62"/>
        <v>0.52442889713572627</v>
      </c>
    </row>
    <row r="386" spans="15:19" x14ac:dyDescent="0.2">
      <c r="O386" s="4">
        <f t="shared" ca="1" si="58"/>
        <v>0.95546143628771263</v>
      </c>
      <c r="P386" s="4">
        <f t="shared" ca="1" si="59"/>
        <v>1.7002860802986832</v>
      </c>
      <c r="Q386" s="4">
        <f t="shared" ca="1" si="60"/>
        <v>1871.7541928522635</v>
      </c>
      <c r="R386" s="4">
        <f t="shared" ca="1" si="61"/>
        <v>-51.915851147736475</v>
      </c>
      <c r="S386" s="4">
        <f t="shared" ca="1" si="62"/>
        <v>-25.183156751437028</v>
      </c>
    </row>
    <row r="387" spans="15:19" x14ac:dyDescent="0.2">
      <c r="O387" s="4">
        <f t="shared" ref="O387:O450" ca="1" si="63">RAND()</f>
        <v>0.8811474459142421</v>
      </c>
      <c r="P387" s="4">
        <f t="shared" ref="P387:P450" ca="1" si="64">NORMSINV(O387)</f>
        <v>1.1807423096638432</v>
      </c>
      <c r="Q387" s="4">
        <f t="shared" ref="Q387:Q450" ca="1" si="65">$B$4*(1+$B$17-$B$6/SQRT(252)*P387)</f>
        <v>1887.4937483164242</v>
      </c>
      <c r="R387" s="4">
        <f t="shared" ref="R387:R450" ca="1" si="66">Q387-$B$4</f>
        <v>-36.176295683575745</v>
      </c>
      <c r="S387" s="4">
        <f t="shared" ref="S387:S450" ca="1" si="67">R387*$B$12+0.5*$B$13*R387^2</f>
        <v>-17.780053802680264</v>
      </c>
    </row>
    <row r="388" spans="15:19" x14ac:dyDescent="0.2">
      <c r="O388" s="4">
        <f t="shared" ca="1" si="63"/>
        <v>0.57392852604337685</v>
      </c>
      <c r="P388" s="4">
        <f t="shared" ca="1" si="64"/>
        <v>0.18638488098912925</v>
      </c>
      <c r="Q388" s="4">
        <f t="shared" ca="1" si="65"/>
        <v>1917.6177624696529</v>
      </c>
      <c r="R388" s="4">
        <f t="shared" ca="1" si="66"/>
        <v>-6.0522815303470452</v>
      </c>
      <c r="S388" s="4">
        <f t="shared" ca="1" si="67"/>
        <v>-3.0488132009696636</v>
      </c>
    </row>
    <row r="389" spans="15:19" x14ac:dyDescent="0.2">
      <c r="O389" s="4">
        <f t="shared" ca="1" si="63"/>
        <v>0.57958555681679724</v>
      </c>
      <c r="P389" s="4">
        <f t="shared" ca="1" si="64"/>
        <v>0.20083334780474218</v>
      </c>
      <c r="Q389" s="4">
        <f t="shared" ca="1" si="65"/>
        <v>1917.1800468089714</v>
      </c>
      <c r="R389" s="4">
        <f t="shared" ca="1" si="66"/>
        <v>-6.4899971910285785</v>
      </c>
      <c r="S389" s="4">
        <f t="shared" ca="1" si="67"/>
        <v>-3.2681543653547265</v>
      </c>
    </row>
    <row r="390" spans="15:19" x14ac:dyDescent="0.2">
      <c r="O390" s="4">
        <f t="shared" ca="1" si="63"/>
        <v>0.7652979122668524</v>
      </c>
      <c r="P390" s="4">
        <f t="shared" ca="1" si="64"/>
        <v>0.7234488385031197</v>
      </c>
      <c r="Q390" s="4">
        <f t="shared" ca="1" si="65"/>
        <v>1901.347433721867</v>
      </c>
      <c r="R390" s="4">
        <f t="shared" ca="1" si="66"/>
        <v>-22.32261027813297</v>
      </c>
      <c r="S390" s="4">
        <f t="shared" ca="1" si="67"/>
        <v>-11.097081811180979</v>
      </c>
    </row>
    <row r="391" spans="15:19" x14ac:dyDescent="0.2">
      <c r="O391" s="4">
        <f t="shared" ca="1" si="63"/>
        <v>0.5635457851191078</v>
      </c>
      <c r="P391" s="4">
        <f t="shared" ca="1" si="64"/>
        <v>0.15996527333580521</v>
      </c>
      <c r="Q391" s="4">
        <f t="shared" ca="1" si="65"/>
        <v>1918.4181433105066</v>
      </c>
      <c r="R391" s="4">
        <f t="shared" ca="1" si="66"/>
        <v>-5.2519006894933682</v>
      </c>
      <c r="S391" s="4">
        <f t="shared" ca="1" si="67"/>
        <v>-2.6473355999093235</v>
      </c>
    </row>
    <row r="392" spans="15:19" x14ac:dyDescent="0.2">
      <c r="O392" s="4">
        <f t="shared" ca="1" si="63"/>
        <v>0.21147659970135757</v>
      </c>
      <c r="P392" s="4">
        <f t="shared" ca="1" si="64"/>
        <v>-0.8013082785841612</v>
      </c>
      <c r="Q392" s="4">
        <f t="shared" ca="1" si="65"/>
        <v>1947.5398828863413</v>
      </c>
      <c r="R392" s="4">
        <f t="shared" ca="1" si="66"/>
        <v>23.869838886341313</v>
      </c>
      <c r="S392" s="4">
        <f t="shared" ca="1" si="67"/>
        <v>12.315081757614369</v>
      </c>
    </row>
    <row r="393" spans="15:19" x14ac:dyDescent="0.2">
      <c r="O393" s="4">
        <f t="shared" ca="1" si="63"/>
        <v>0.47882684269127795</v>
      </c>
      <c r="P393" s="4">
        <f t="shared" ca="1" si="64"/>
        <v>-5.3098175200692786E-2</v>
      </c>
      <c r="Q393" s="4">
        <f t="shared" ca="1" si="65"/>
        <v>1924.8728910241164</v>
      </c>
      <c r="R393" s="4">
        <f t="shared" ca="1" si="66"/>
        <v>1.2028470241164086</v>
      </c>
      <c r="S393" s="4">
        <f t="shared" ca="1" si="67"/>
        <v>0.60948190981133799</v>
      </c>
    </row>
    <row r="394" spans="15:19" x14ac:dyDescent="0.2">
      <c r="O394" s="4">
        <f t="shared" ca="1" si="63"/>
        <v>0.89633917580618405</v>
      </c>
      <c r="P394" s="4">
        <f t="shared" ca="1" si="64"/>
        <v>1.2609644702125398</v>
      </c>
      <c r="Q394" s="4">
        <f t="shared" ca="1" si="65"/>
        <v>1885.0634215243847</v>
      </c>
      <c r="R394" s="4">
        <f t="shared" ca="1" si="66"/>
        <v>-38.606622475615268</v>
      </c>
      <c r="S394" s="4">
        <f t="shared" ca="1" si="67"/>
        <v>-18.936325447724887</v>
      </c>
    </row>
    <row r="395" spans="15:19" x14ac:dyDescent="0.2">
      <c r="O395" s="4">
        <f t="shared" ca="1" si="63"/>
        <v>0.36767611882313578</v>
      </c>
      <c r="P395" s="4">
        <f t="shared" ca="1" si="64"/>
        <v>-0.33801453075199123</v>
      </c>
      <c r="Q395" s="4">
        <f t="shared" ca="1" si="65"/>
        <v>1933.5044193655431</v>
      </c>
      <c r="R395" s="4">
        <f t="shared" ca="1" si="66"/>
        <v>9.8343753655431101</v>
      </c>
      <c r="S395" s="4">
        <f t="shared" ca="1" si="67"/>
        <v>5.0176268120811534</v>
      </c>
    </row>
    <row r="396" spans="15:19" x14ac:dyDescent="0.2">
      <c r="O396" s="4">
        <f t="shared" ca="1" si="63"/>
        <v>0.56933134333563895</v>
      </c>
      <c r="P396" s="4">
        <f t="shared" ca="1" si="64"/>
        <v>0.1746720724536916</v>
      </c>
      <c r="Q396" s="4">
        <f t="shared" ca="1" si="65"/>
        <v>1917.9726014841972</v>
      </c>
      <c r="R396" s="4">
        <f t="shared" ca="1" si="66"/>
        <v>-5.6974425158027771</v>
      </c>
      <c r="S396" s="4">
        <f t="shared" ca="1" si="67"/>
        <v>-2.8708873938370578</v>
      </c>
    </row>
    <row r="397" spans="15:19" x14ac:dyDescent="0.2">
      <c r="O397" s="4">
        <f t="shared" ca="1" si="63"/>
        <v>9.1077610019473898E-2</v>
      </c>
      <c r="P397" s="4">
        <f t="shared" ca="1" si="64"/>
        <v>-1.3341484194607296</v>
      </c>
      <c r="Q397" s="4">
        <f t="shared" ca="1" si="65"/>
        <v>1963.6822512966296</v>
      </c>
      <c r="R397" s="4">
        <f t="shared" ca="1" si="66"/>
        <v>40.01220729662964</v>
      </c>
      <c r="S397" s="4">
        <f t="shared" ca="1" si="67"/>
        <v>20.906279608355209</v>
      </c>
    </row>
    <row r="398" spans="15:19" x14ac:dyDescent="0.2">
      <c r="O398" s="4">
        <f t="shared" ca="1" si="63"/>
        <v>0.71484512224660646</v>
      </c>
      <c r="P398" s="4">
        <f t="shared" ca="1" si="64"/>
        <v>0.56759536445043379</v>
      </c>
      <c r="Q398" s="4">
        <f t="shared" ca="1" si="65"/>
        <v>1906.0690077985555</v>
      </c>
      <c r="R398" s="4">
        <f t="shared" ca="1" si="66"/>
        <v>-17.601036201444458</v>
      </c>
      <c r="S398" s="4">
        <f t="shared" ca="1" si="67"/>
        <v>-8.7837083142956551</v>
      </c>
    </row>
    <row r="399" spans="15:19" x14ac:dyDescent="0.2">
      <c r="O399" s="4">
        <f t="shared" ca="1" si="63"/>
        <v>0.42334373384637802</v>
      </c>
      <c r="P399" s="4">
        <f t="shared" ca="1" si="64"/>
        <v>-0.1933466837309899</v>
      </c>
      <c r="Q399" s="4">
        <f t="shared" ca="1" si="65"/>
        <v>1929.121713363149</v>
      </c>
      <c r="R399" s="4">
        <f t="shared" ca="1" si="66"/>
        <v>5.4516693631489943</v>
      </c>
      <c r="S399" s="4">
        <f t="shared" ca="1" si="67"/>
        <v>2.7717868120790552</v>
      </c>
    </row>
    <row r="400" spans="15:19" x14ac:dyDescent="0.2">
      <c r="O400" s="4">
        <f t="shared" ca="1" si="63"/>
        <v>0.51494321089704387</v>
      </c>
      <c r="P400" s="4">
        <f t="shared" ca="1" si="64"/>
        <v>3.746583816743556E-2</v>
      </c>
      <c r="Q400" s="4">
        <f t="shared" ca="1" si="65"/>
        <v>1922.1292582600802</v>
      </c>
      <c r="R400" s="4">
        <f t="shared" ca="1" si="66"/>
        <v>-1.5407857399197837</v>
      </c>
      <c r="S400" s="4">
        <f t="shared" ca="1" si="67"/>
        <v>-0.77899444263130835</v>
      </c>
    </row>
    <row r="401" spans="15:19" x14ac:dyDescent="0.2">
      <c r="O401" s="4">
        <f t="shared" ca="1" si="63"/>
        <v>0.36864685357325933</v>
      </c>
      <c r="P401" s="4">
        <f t="shared" ca="1" si="64"/>
        <v>-0.33543932542293919</v>
      </c>
      <c r="Q401" s="4">
        <f t="shared" ca="1" si="65"/>
        <v>1933.4264036344357</v>
      </c>
      <c r="R401" s="4">
        <f t="shared" ca="1" si="66"/>
        <v>9.7563596344357393</v>
      </c>
      <c r="S401" s="4">
        <f t="shared" ca="1" si="67"/>
        <v>4.9775123261301077</v>
      </c>
    </row>
    <row r="402" spans="15:19" x14ac:dyDescent="0.2">
      <c r="O402" s="4">
        <f t="shared" ca="1" si="63"/>
        <v>0.81436369226493532</v>
      </c>
      <c r="P402" s="4">
        <f t="shared" ca="1" si="64"/>
        <v>0.89409210058811617</v>
      </c>
      <c r="Q402" s="4">
        <f t="shared" ca="1" si="65"/>
        <v>1896.1778036733915</v>
      </c>
      <c r="R402" s="4">
        <f t="shared" ca="1" si="66"/>
        <v>-27.492240326608453</v>
      </c>
      <c r="S402" s="4">
        <f t="shared" ca="1" si="67"/>
        <v>-13.609168940586969</v>
      </c>
    </row>
    <row r="403" spans="15:19" x14ac:dyDescent="0.2">
      <c r="O403" s="4">
        <f t="shared" ca="1" si="63"/>
        <v>0.83393117145921403</v>
      </c>
      <c r="P403" s="4">
        <f t="shared" ca="1" si="64"/>
        <v>0.96981712127773634</v>
      </c>
      <c r="Q403" s="4">
        <f t="shared" ca="1" si="65"/>
        <v>1893.8837175337146</v>
      </c>
      <c r="R403" s="4">
        <f t="shared" ca="1" si="66"/>
        <v>-29.786326466285345</v>
      </c>
      <c r="S403" s="4">
        <f t="shared" ca="1" si="67"/>
        <v>-14.716968118215714</v>
      </c>
    </row>
    <row r="404" spans="15:19" x14ac:dyDescent="0.2">
      <c r="O404" s="4">
        <f t="shared" ca="1" si="63"/>
        <v>1.6137759336176893E-2</v>
      </c>
      <c r="P404" s="4">
        <f t="shared" ca="1" si="64"/>
        <v>-2.140981640123659</v>
      </c>
      <c r="Q404" s="4">
        <f t="shared" ca="1" si="65"/>
        <v>1988.1252278940281</v>
      </c>
      <c r="R404" s="4">
        <f t="shared" ca="1" si="66"/>
        <v>64.455183894028096</v>
      </c>
      <c r="S404" s="4">
        <f t="shared" ca="1" si="67"/>
        <v>34.319002603304945</v>
      </c>
    </row>
    <row r="405" spans="15:19" x14ac:dyDescent="0.2">
      <c r="O405" s="4">
        <f t="shared" ca="1" si="63"/>
        <v>0.63744768572746846</v>
      </c>
      <c r="P405" s="4">
        <f t="shared" ca="1" si="64"/>
        <v>0.35164484566862836</v>
      </c>
      <c r="Q405" s="4">
        <f t="shared" ca="1" si="65"/>
        <v>1912.6112191770642</v>
      </c>
      <c r="R405" s="4">
        <f t="shared" ca="1" si="66"/>
        <v>-11.058824822935776</v>
      </c>
      <c r="S405" s="4">
        <f t="shared" ca="1" si="67"/>
        <v>-5.548301853541374</v>
      </c>
    </row>
    <row r="406" spans="15:19" x14ac:dyDescent="0.2">
      <c r="O406" s="4">
        <f t="shared" ca="1" si="63"/>
        <v>0.78492489606511751</v>
      </c>
      <c r="P406" s="4">
        <f t="shared" ca="1" si="64"/>
        <v>0.78893464090616872</v>
      </c>
      <c r="Q406" s="4">
        <f t="shared" ca="1" si="65"/>
        <v>1899.3635442455707</v>
      </c>
      <c r="R406" s="4">
        <f t="shared" ca="1" si="66"/>
        <v>-24.306499754429296</v>
      </c>
      <c r="S406" s="4">
        <f t="shared" ca="1" si="67"/>
        <v>-12.063689342949401</v>
      </c>
    </row>
    <row r="407" spans="15:19" x14ac:dyDescent="0.2">
      <c r="O407" s="4">
        <f t="shared" ca="1" si="63"/>
        <v>0.85660659474846235</v>
      </c>
      <c r="P407" s="4">
        <f t="shared" ca="1" si="64"/>
        <v>1.0651969567382937</v>
      </c>
      <c r="Q407" s="4">
        <f t="shared" ca="1" si="65"/>
        <v>1890.9941896532057</v>
      </c>
      <c r="R407" s="4">
        <f t="shared" ca="1" si="66"/>
        <v>-32.675854346794267</v>
      </c>
      <c r="S407" s="4">
        <f t="shared" ca="1" si="67"/>
        <v>-16.10620505102635</v>
      </c>
    </row>
    <row r="408" spans="15:19" x14ac:dyDescent="0.2">
      <c r="O408" s="4">
        <f t="shared" ca="1" si="63"/>
        <v>0.92547418139689497</v>
      </c>
      <c r="P408" s="4">
        <f t="shared" ca="1" si="64"/>
        <v>1.4428893731286772</v>
      </c>
      <c r="Q408" s="4">
        <f t="shared" ca="1" si="65"/>
        <v>1879.5520146678234</v>
      </c>
      <c r="R408" s="4">
        <f t="shared" ca="1" si="66"/>
        <v>-44.118029332176548</v>
      </c>
      <c r="S408" s="4">
        <f t="shared" ca="1" si="67"/>
        <v>-21.540658830427716</v>
      </c>
    </row>
    <row r="409" spans="15:19" x14ac:dyDescent="0.2">
      <c r="O409" s="4">
        <f t="shared" ca="1" si="63"/>
        <v>0.98361231241417257</v>
      </c>
      <c r="P409" s="4">
        <f t="shared" ca="1" si="64"/>
        <v>2.1348241705780313</v>
      </c>
      <c r="Q409" s="4">
        <f t="shared" ca="1" si="65"/>
        <v>1858.5898807003052</v>
      </c>
      <c r="R409" s="4">
        <f t="shared" ca="1" si="66"/>
        <v>-65.080163299694732</v>
      </c>
      <c r="S409" s="4">
        <f t="shared" ca="1" si="67"/>
        <v>-31.220103860142732</v>
      </c>
    </row>
    <row r="410" spans="15:19" x14ac:dyDescent="0.2">
      <c r="O410" s="4">
        <f t="shared" ca="1" si="63"/>
        <v>0.5045930352448037</v>
      </c>
      <c r="P410" s="4">
        <f t="shared" ca="1" si="64"/>
        <v>1.1513286364687203E-2</v>
      </c>
      <c r="Q410" s="4">
        <f t="shared" ca="1" si="65"/>
        <v>1922.9154896646774</v>
      </c>
      <c r="R410" s="4">
        <f t="shared" ca="1" si="66"/>
        <v>-0.7545543353226094</v>
      </c>
      <c r="S410" s="4">
        <f t="shared" ca="1" si="67"/>
        <v>-0.38173102955115534</v>
      </c>
    </row>
    <row r="411" spans="15:19" x14ac:dyDescent="0.2">
      <c r="O411" s="4">
        <f t="shared" ca="1" si="63"/>
        <v>0.82572749793580713</v>
      </c>
      <c r="P411" s="4">
        <f t="shared" ca="1" si="64"/>
        <v>0.93741524103642948</v>
      </c>
      <c r="Q411" s="4">
        <f t="shared" ca="1" si="65"/>
        <v>1894.8653310570139</v>
      </c>
      <c r="R411" s="4">
        <f t="shared" ca="1" si="66"/>
        <v>-28.804712942986043</v>
      </c>
      <c r="S411" s="4">
        <f t="shared" ca="1" si="67"/>
        <v>-14.243477818289545</v>
      </c>
    </row>
    <row r="412" spans="15:19" x14ac:dyDescent="0.2">
      <c r="O412" s="4">
        <f t="shared" ca="1" si="63"/>
        <v>0.56227168990643239</v>
      </c>
      <c r="P412" s="4">
        <f t="shared" ca="1" si="64"/>
        <v>0.1567312973442383</v>
      </c>
      <c r="Q412" s="4">
        <f t="shared" ca="1" si="65"/>
        <v>1918.5161164695855</v>
      </c>
      <c r="R412" s="4">
        <f t="shared" ca="1" si="66"/>
        <v>-5.1539275304144212</v>
      </c>
      <c r="S412" s="4">
        <f t="shared" ca="1" si="67"/>
        <v>-2.5981556309092602</v>
      </c>
    </row>
    <row r="413" spans="15:19" x14ac:dyDescent="0.2">
      <c r="O413" s="4">
        <f t="shared" ca="1" si="63"/>
        <v>0.33248823180126374</v>
      </c>
      <c r="P413" s="4">
        <f t="shared" ca="1" si="64"/>
        <v>-0.4330527286858768</v>
      </c>
      <c r="Q413" s="4">
        <f t="shared" ca="1" si="65"/>
        <v>1936.3835973523492</v>
      </c>
      <c r="R413" s="4">
        <f t="shared" ca="1" si="66"/>
        <v>12.713553352349209</v>
      </c>
      <c r="S413" s="4">
        <f t="shared" ca="1" si="67"/>
        <v>6.5015216408835688</v>
      </c>
    </row>
    <row r="414" spans="15:19" x14ac:dyDescent="0.2">
      <c r="O414" s="4">
        <f t="shared" ca="1" si="63"/>
        <v>1.9748844960513989E-2</v>
      </c>
      <c r="P414" s="4">
        <f t="shared" ca="1" si="64"/>
        <v>-2.0589639724302895</v>
      </c>
      <c r="Q414" s="4">
        <f t="shared" ca="1" si="65"/>
        <v>1985.6405062927595</v>
      </c>
      <c r="R414" s="4">
        <f t="shared" ca="1" si="66"/>
        <v>61.970462292759521</v>
      </c>
      <c r="S414" s="4">
        <f t="shared" ca="1" si="67"/>
        <v>32.9333385037231</v>
      </c>
    </row>
    <row r="415" spans="15:19" x14ac:dyDescent="0.2">
      <c r="O415" s="4">
        <f t="shared" ca="1" si="63"/>
        <v>0.89176413021405276</v>
      </c>
      <c r="P415" s="4">
        <f t="shared" ca="1" si="64"/>
        <v>1.2359645541113837</v>
      </c>
      <c r="Q415" s="4">
        <f t="shared" ca="1" si="65"/>
        <v>1885.8207928726979</v>
      </c>
      <c r="R415" s="4">
        <f t="shared" ca="1" si="66"/>
        <v>-37.849251127302068</v>
      </c>
      <c r="S415" s="4">
        <f t="shared" ca="1" si="67"/>
        <v>-18.576508195025145</v>
      </c>
    </row>
    <row r="416" spans="15:19" x14ac:dyDescent="0.2">
      <c r="O416" s="4">
        <f t="shared" ca="1" si="63"/>
        <v>0.37955310263976749</v>
      </c>
      <c r="P416" s="4">
        <f t="shared" ca="1" si="64"/>
        <v>-0.30665471093207891</v>
      </c>
      <c r="Q416" s="4">
        <f t="shared" ca="1" si="65"/>
        <v>1932.5543750164431</v>
      </c>
      <c r="R416" s="4">
        <f t="shared" ca="1" si="66"/>
        <v>8.8843310164431841</v>
      </c>
      <c r="S416" s="4">
        <f t="shared" ca="1" si="67"/>
        <v>4.5294659001925828</v>
      </c>
    </row>
    <row r="417" spans="15:19" x14ac:dyDescent="0.2">
      <c r="O417" s="4">
        <f t="shared" ca="1" si="63"/>
        <v>0.72609180478603264</v>
      </c>
      <c r="P417" s="4">
        <f t="shared" ca="1" si="64"/>
        <v>0.6010354270017283</v>
      </c>
      <c r="Q417" s="4">
        <f t="shared" ca="1" si="65"/>
        <v>1905.0559425882691</v>
      </c>
      <c r="R417" s="4">
        <f t="shared" ca="1" si="66"/>
        <v>-18.614101411730871</v>
      </c>
      <c r="S417" s="4">
        <f t="shared" ca="1" si="67"/>
        <v>-9.2815971703737947</v>
      </c>
    </row>
    <row r="418" spans="15:19" x14ac:dyDescent="0.2">
      <c r="O418" s="4">
        <f t="shared" ca="1" si="63"/>
        <v>0.13945148792299755</v>
      </c>
      <c r="P418" s="4">
        <f t="shared" ca="1" si="64"/>
        <v>-1.0827870028073601</v>
      </c>
      <c r="Q418" s="4">
        <f t="shared" ca="1" si="65"/>
        <v>1956.0672683393102</v>
      </c>
      <c r="R418" s="4">
        <f t="shared" ca="1" si="66"/>
        <v>32.397224339310242</v>
      </c>
      <c r="S418" s="4">
        <f t="shared" ca="1" si="67"/>
        <v>16.827044065232215</v>
      </c>
    </row>
    <row r="419" spans="15:19" x14ac:dyDescent="0.2">
      <c r="O419" s="4">
        <f t="shared" ca="1" si="63"/>
        <v>4.7747739242678167E-2</v>
      </c>
      <c r="P419" s="4">
        <f t="shared" ca="1" si="64"/>
        <v>-1.6670951897523953</v>
      </c>
      <c r="Q419" s="4">
        <f t="shared" ca="1" si="65"/>
        <v>1973.7688589201132</v>
      </c>
      <c r="R419" s="4">
        <f t="shared" ca="1" si="66"/>
        <v>50.098814920113227</v>
      </c>
      <c r="S419" s="4">
        <f t="shared" ca="1" si="67"/>
        <v>26.38221031612936</v>
      </c>
    </row>
    <row r="420" spans="15:19" x14ac:dyDescent="0.2">
      <c r="O420" s="4">
        <f t="shared" ca="1" si="63"/>
        <v>0.81195752174129954</v>
      </c>
      <c r="P420" s="4">
        <f t="shared" ca="1" si="64"/>
        <v>0.88513290073521933</v>
      </c>
      <c r="Q420" s="4">
        <f t="shared" ca="1" si="65"/>
        <v>1896.4492222351557</v>
      </c>
      <c r="R420" s="4">
        <f t="shared" ca="1" si="66"/>
        <v>-27.220821764844231</v>
      </c>
      <c r="S420" s="4">
        <f t="shared" ca="1" si="67"/>
        <v>-13.477819241348005</v>
      </c>
    </row>
    <row r="421" spans="15:19" x14ac:dyDescent="0.2">
      <c r="O421" s="4">
        <f t="shared" ca="1" si="63"/>
        <v>0.36627680550204345</v>
      </c>
      <c r="P421" s="4">
        <f t="shared" ca="1" si="64"/>
        <v>-0.34173064052342</v>
      </c>
      <c r="Q421" s="4">
        <f t="shared" ca="1" si="65"/>
        <v>1933.6169987460769</v>
      </c>
      <c r="R421" s="4">
        <f t="shared" ca="1" si="66"/>
        <v>9.9469547460769263</v>
      </c>
      <c r="S421" s="4">
        <f t="shared" ca="1" si="67"/>
        <v>5.0755221281206495</v>
      </c>
    </row>
    <row r="422" spans="15:19" x14ac:dyDescent="0.2">
      <c r="O422" s="4">
        <f t="shared" ca="1" si="63"/>
        <v>0.49940183913485736</v>
      </c>
      <c r="P422" s="4">
        <f t="shared" ca="1" si="64"/>
        <v>-1.4993674991328255E-3</v>
      </c>
      <c r="Q422" s="4">
        <f t="shared" ca="1" si="65"/>
        <v>1923.3097074357329</v>
      </c>
      <c r="R422" s="4">
        <f t="shared" ca="1" si="66"/>
        <v>-0.36033656426707239</v>
      </c>
      <c r="S422" s="4">
        <f t="shared" ca="1" si="67"/>
        <v>-0.18235304343323591</v>
      </c>
    </row>
    <row r="423" spans="15:19" x14ac:dyDescent="0.2">
      <c r="O423" s="4">
        <f t="shared" ca="1" si="63"/>
        <v>7.0323431509765166E-2</v>
      </c>
      <c r="P423" s="4">
        <f t="shared" ca="1" si="64"/>
        <v>-1.4733864456162804</v>
      </c>
      <c r="Q423" s="4">
        <f t="shared" ca="1" si="65"/>
        <v>1967.9004611169835</v>
      </c>
      <c r="R423" s="4">
        <f t="shared" ca="1" si="66"/>
        <v>44.230417116983517</v>
      </c>
      <c r="S423" s="4">
        <f t="shared" ca="1" si="67"/>
        <v>23.186232033657287</v>
      </c>
    </row>
    <row r="424" spans="15:19" x14ac:dyDescent="0.2">
      <c r="O424" s="4">
        <f t="shared" ca="1" si="63"/>
        <v>0.25870336835254759</v>
      </c>
      <c r="P424" s="4">
        <f t="shared" ca="1" si="64"/>
        <v>-0.64734800867665143</v>
      </c>
      <c r="Q424" s="4">
        <f t="shared" ca="1" si="65"/>
        <v>1942.8756633451746</v>
      </c>
      <c r="R424" s="4">
        <f t="shared" ca="1" si="66"/>
        <v>19.205619345174682</v>
      </c>
      <c r="S424" s="4">
        <f t="shared" ca="1" si="67"/>
        <v>9.8722224805403034</v>
      </c>
    </row>
    <row r="425" spans="15:19" x14ac:dyDescent="0.2">
      <c r="O425" s="4">
        <f t="shared" ca="1" si="63"/>
        <v>0.75434340881733941</v>
      </c>
      <c r="P425" s="4">
        <f t="shared" ca="1" si="64"/>
        <v>0.68822169746243422</v>
      </c>
      <c r="Q425" s="4">
        <f t="shared" ca="1" si="65"/>
        <v>1902.4146383956452</v>
      </c>
      <c r="R425" s="4">
        <f t="shared" ca="1" si="66"/>
        <v>-21.255405604354792</v>
      </c>
      <c r="S425" s="4">
        <f t="shared" ca="1" si="67"/>
        <v>-10.575783783128371</v>
      </c>
    </row>
    <row r="426" spans="15:19" x14ac:dyDescent="0.2">
      <c r="O426" s="4">
        <f t="shared" ca="1" si="63"/>
        <v>0.22442168682821739</v>
      </c>
      <c r="P426" s="4">
        <f t="shared" ca="1" si="64"/>
        <v>-0.75734470622008188</v>
      </c>
      <c r="Q426" s="4">
        <f t="shared" ca="1" si="65"/>
        <v>1946.20800841351</v>
      </c>
      <c r="R426" s="4">
        <f t="shared" ca="1" si="66"/>
        <v>22.537964413510053</v>
      </c>
      <c r="S426" s="4">
        <f t="shared" ca="1" si="67"/>
        <v>11.615713162081919</v>
      </c>
    </row>
    <row r="427" spans="15:19" x14ac:dyDescent="0.2">
      <c r="O427" s="4">
        <f t="shared" ca="1" si="63"/>
        <v>0.41942952533617739</v>
      </c>
      <c r="P427" s="4">
        <f t="shared" ca="1" si="64"/>
        <v>-0.2033531050804292</v>
      </c>
      <c r="Q427" s="4">
        <f t="shared" ca="1" si="65"/>
        <v>1929.4248574536552</v>
      </c>
      <c r="R427" s="4">
        <f t="shared" ca="1" si="66"/>
        <v>5.754813453655288</v>
      </c>
      <c r="S427" s="4">
        <f t="shared" ca="1" si="67"/>
        <v>2.9266242070030484</v>
      </c>
    </row>
    <row r="428" spans="15:19" x14ac:dyDescent="0.2">
      <c r="O428" s="4">
        <f t="shared" ca="1" si="63"/>
        <v>0.54571349524476331</v>
      </c>
      <c r="P428" s="4">
        <f t="shared" ca="1" si="64"/>
        <v>0.11483865494252485</v>
      </c>
      <c r="Q428" s="4">
        <f t="shared" ca="1" si="65"/>
        <v>1919.7852522111543</v>
      </c>
      <c r="R428" s="4">
        <f t="shared" ca="1" si="66"/>
        <v>-3.8847917888456323</v>
      </c>
      <c r="S428" s="4">
        <f t="shared" ca="1" si="67"/>
        <v>-1.9603763258066078</v>
      </c>
    </row>
    <row r="429" spans="15:19" x14ac:dyDescent="0.2">
      <c r="O429" s="4">
        <f t="shared" ca="1" si="63"/>
        <v>0.75590414570175091</v>
      </c>
      <c r="P429" s="4">
        <f t="shared" ca="1" si="64"/>
        <v>0.69318779170361911</v>
      </c>
      <c r="Q429" s="4">
        <f t="shared" ca="1" si="65"/>
        <v>1902.2641907910979</v>
      </c>
      <c r="R429" s="4">
        <f t="shared" ca="1" si="66"/>
        <v>-21.405853208902045</v>
      </c>
      <c r="S429" s="4">
        <f t="shared" ca="1" si="67"/>
        <v>-10.649329148192297</v>
      </c>
    </row>
    <row r="430" spans="15:19" x14ac:dyDescent="0.2">
      <c r="O430" s="4">
        <f t="shared" ca="1" si="63"/>
        <v>0.75197571359647031</v>
      </c>
      <c r="P430" s="4">
        <f t="shared" ca="1" si="64"/>
        <v>0.68072016738981023</v>
      </c>
      <c r="Q430" s="4">
        <f t="shared" ca="1" si="65"/>
        <v>1902.6418969161348</v>
      </c>
      <c r="R430" s="4">
        <f t="shared" ca="1" si="66"/>
        <v>-21.028147083865179</v>
      </c>
      <c r="S430" s="4">
        <f t="shared" ca="1" si="67"/>
        <v>-10.464654943424826</v>
      </c>
    </row>
    <row r="431" spans="15:19" x14ac:dyDescent="0.2">
      <c r="O431" s="4">
        <f t="shared" ca="1" si="63"/>
        <v>0.77682581054057509</v>
      </c>
      <c r="P431" s="4">
        <f t="shared" ca="1" si="64"/>
        <v>0.76151691616463346</v>
      </c>
      <c r="Q431" s="4">
        <f t="shared" ca="1" si="65"/>
        <v>1900.1941629992959</v>
      </c>
      <c r="R431" s="4">
        <f t="shared" ca="1" si="66"/>
        <v>-23.475881000704021</v>
      </c>
      <c r="S431" s="4">
        <f t="shared" ca="1" si="67"/>
        <v>-11.659378140689526</v>
      </c>
    </row>
    <row r="432" spans="15:19" x14ac:dyDescent="0.2">
      <c r="O432" s="4">
        <f t="shared" ca="1" si="63"/>
        <v>0.10700218992253419</v>
      </c>
      <c r="P432" s="4">
        <f t="shared" ca="1" si="64"/>
        <v>-1.2426295383419885</v>
      </c>
      <c r="Q432" s="4">
        <f t="shared" ca="1" si="65"/>
        <v>1960.9096908564838</v>
      </c>
      <c r="R432" s="4">
        <f t="shared" ca="1" si="66"/>
        <v>37.239646856483887</v>
      </c>
      <c r="S432" s="4">
        <f t="shared" ca="1" si="67"/>
        <v>19.415594057498275</v>
      </c>
    </row>
    <row r="433" spans="15:19" x14ac:dyDescent="0.2">
      <c r="O433" s="4">
        <f t="shared" ca="1" si="63"/>
        <v>5.7323356139651893E-2</v>
      </c>
      <c r="P433" s="4">
        <f t="shared" ca="1" si="64"/>
        <v>-1.57764707047705</v>
      </c>
      <c r="Q433" s="4">
        <f t="shared" ca="1" si="65"/>
        <v>1971.0590321180734</v>
      </c>
      <c r="R433" s="4">
        <f t="shared" ca="1" si="66"/>
        <v>47.388988118073485</v>
      </c>
      <c r="S433" s="4">
        <f t="shared" ca="1" si="67"/>
        <v>24.902931908678919</v>
      </c>
    </row>
    <row r="434" spans="15:19" x14ac:dyDescent="0.2">
      <c r="O434" s="4">
        <f t="shared" ca="1" si="63"/>
        <v>0.34680235377463997</v>
      </c>
      <c r="P434" s="4">
        <f t="shared" ca="1" si="64"/>
        <v>-0.39396794220899406</v>
      </c>
      <c r="Q434" s="4">
        <f t="shared" ca="1" si="65"/>
        <v>1935.1995254813578</v>
      </c>
      <c r="R434" s="4">
        <f t="shared" ca="1" si="66"/>
        <v>11.529481481357834</v>
      </c>
      <c r="S434" s="4">
        <f t="shared" ca="1" si="67"/>
        <v>5.8904477380418614</v>
      </c>
    </row>
    <row r="435" spans="15:19" x14ac:dyDescent="0.2">
      <c r="O435" s="4">
        <f t="shared" ca="1" si="63"/>
        <v>0.66674936937617946</v>
      </c>
      <c r="P435" s="4">
        <f t="shared" ca="1" si="64"/>
        <v>0.43095476577782083</v>
      </c>
      <c r="Q435" s="4">
        <f t="shared" ca="1" si="65"/>
        <v>1910.208528668637</v>
      </c>
      <c r="R435" s="4">
        <f t="shared" ca="1" si="66"/>
        <v>-13.461515331362989</v>
      </c>
      <c r="S435" s="4">
        <f t="shared" ca="1" si="67"/>
        <v>-6.7405849256735388</v>
      </c>
    </row>
    <row r="436" spans="15:19" x14ac:dyDescent="0.2">
      <c r="O436" s="4">
        <f t="shared" ca="1" si="63"/>
        <v>0.87959819815398577</v>
      </c>
      <c r="P436" s="4">
        <f t="shared" ca="1" si="64"/>
        <v>1.1729805545805587</v>
      </c>
      <c r="Q436" s="4">
        <f t="shared" ca="1" si="65"/>
        <v>1887.7288903420581</v>
      </c>
      <c r="R436" s="4">
        <f t="shared" ca="1" si="66"/>
        <v>-35.941153657941868</v>
      </c>
      <c r="S436" s="4">
        <f t="shared" ca="1" si="67"/>
        <v>-17.667925622180118</v>
      </c>
    </row>
    <row r="437" spans="15:19" x14ac:dyDescent="0.2">
      <c r="O437" s="4">
        <f t="shared" ca="1" si="63"/>
        <v>0.40482746095252464</v>
      </c>
      <c r="P437" s="4">
        <f t="shared" ca="1" si="64"/>
        <v>-0.24087122863857649</v>
      </c>
      <c r="Q437" s="4">
        <f t="shared" ca="1" si="65"/>
        <v>1930.5614673410823</v>
      </c>
      <c r="R437" s="4">
        <f t="shared" ca="1" si="66"/>
        <v>6.8914233410823726</v>
      </c>
      <c r="S437" s="4">
        <f t="shared" ca="1" si="67"/>
        <v>3.5078384120207691</v>
      </c>
    </row>
    <row r="438" spans="15:19" x14ac:dyDescent="0.2">
      <c r="O438" s="4">
        <f t="shared" ca="1" si="63"/>
        <v>1.82713924381388E-2</v>
      </c>
      <c r="P438" s="4">
        <f t="shared" ca="1" si="64"/>
        <v>-2.0908358093614443</v>
      </c>
      <c r="Q438" s="4">
        <f t="shared" ca="1" si="65"/>
        <v>1986.6060621775114</v>
      </c>
      <c r="R438" s="4">
        <f t="shared" ca="1" si="66"/>
        <v>62.936018177511414</v>
      </c>
      <c r="S438" s="4">
        <f t="shared" ca="1" si="67"/>
        <v>33.471206603241704</v>
      </c>
    </row>
    <row r="439" spans="15:19" x14ac:dyDescent="0.2">
      <c r="O439" s="4">
        <f t="shared" ca="1" si="63"/>
        <v>0.99517357197222711</v>
      </c>
      <c r="P439" s="4">
        <f t="shared" ca="1" si="64"/>
        <v>2.5880229093450766</v>
      </c>
      <c r="Q439" s="4">
        <f t="shared" ca="1" si="65"/>
        <v>1844.8602450309268</v>
      </c>
      <c r="R439" s="4">
        <f t="shared" ca="1" si="66"/>
        <v>-78.809798969073199</v>
      </c>
      <c r="S439" s="4">
        <f t="shared" ca="1" si="67"/>
        <v>-37.365991556422507</v>
      </c>
    </row>
    <row r="440" spans="15:19" x14ac:dyDescent="0.2">
      <c r="O440" s="4">
        <f t="shared" ca="1" si="63"/>
        <v>0.46835377636290043</v>
      </c>
      <c r="P440" s="4">
        <f t="shared" ca="1" si="64"/>
        <v>-7.9408695185450837E-2</v>
      </c>
      <c r="Q440" s="4">
        <f t="shared" ca="1" si="65"/>
        <v>1925.6699670588939</v>
      </c>
      <c r="R440" s="4">
        <f t="shared" ca="1" si="66"/>
        <v>1.9999230588939554</v>
      </c>
      <c r="S440" s="4">
        <f t="shared" ca="1" si="67"/>
        <v>1.0140087930933017</v>
      </c>
    </row>
    <row r="441" spans="15:19" x14ac:dyDescent="0.2">
      <c r="O441" s="4">
        <f t="shared" ca="1" si="63"/>
        <v>3.2022081322381379E-2</v>
      </c>
      <c r="P441" s="4">
        <f t="shared" ca="1" si="64"/>
        <v>-1.8518722985409759</v>
      </c>
      <c r="Q441" s="4">
        <f t="shared" ca="1" si="65"/>
        <v>1979.3666732269453</v>
      </c>
      <c r="R441" s="4">
        <f t="shared" ca="1" si="66"/>
        <v>55.696629226945333</v>
      </c>
      <c r="S441" s="4">
        <f t="shared" ca="1" si="67"/>
        <v>29.456954608490872</v>
      </c>
    </row>
    <row r="442" spans="15:19" x14ac:dyDescent="0.2">
      <c r="O442" s="4">
        <f t="shared" ca="1" si="63"/>
        <v>0.63377917649822202</v>
      </c>
      <c r="P442" s="4">
        <f t="shared" ca="1" si="64"/>
        <v>0.34187940793445482</v>
      </c>
      <c r="Q442" s="4">
        <f t="shared" ca="1" si="65"/>
        <v>1912.9070626796452</v>
      </c>
      <c r="R442" s="4">
        <f t="shared" ca="1" si="66"/>
        <v>-10.762981320354811</v>
      </c>
      <c r="S442" s="4">
        <f t="shared" ca="1" si="67"/>
        <v>-5.4011709483877324</v>
      </c>
    </row>
    <row r="443" spans="15:19" x14ac:dyDescent="0.2">
      <c r="O443" s="4">
        <f t="shared" ca="1" si="63"/>
        <v>0.86263526844454674</v>
      </c>
      <c r="P443" s="4">
        <f t="shared" ca="1" si="64"/>
        <v>1.092235817178236</v>
      </c>
      <c r="Q443" s="4">
        <f t="shared" ca="1" si="65"/>
        <v>1890.1750485766761</v>
      </c>
      <c r="R443" s="4">
        <f t="shared" ca="1" si="66"/>
        <v>-33.494995423323871</v>
      </c>
      <c r="S443" s="4">
        <f t="shared" ca="1" si="67"/>
        <v>-16.498797807840596</v>
      </c>
    </row>
    <row r="444" spans="15:19" x14ac:dyDescent="0.2">
      <c r="O444" s="4">
        <f t="shared" ca="1" si="63"/>
        <v>0.79616480899300268</v>
      </c>
      <c r="P444" s="4">
        <f t="shared" ca="1" si="64"/>
        <v>0.82800020814965958</v>
      </c>
      <c r="Q444" s="4">
        <f t="shared" ca="1" si="65"/>
        <v>1898.1800546204011</v>
      </c>
      <c r="R444" s="4">
        <f t="shared" ca="1" si="66"/>
        <v>-25.48998937959891</v>
      </c>
      <c r="S444" s="4">
        <f t="shared" ca="1" si="67"/>
        <v>-12.638793316953901</v>
      </c>
    </row>
    <row r="445" spans="15:19" x14ac:dyDescent="0.2">
      <c r="O445" s="4">
        <f t="shared" ca="1" si="63"/>
        <v>0.5405091343248164</v>
      </c>
      <c r="P445" s="4">
        <f t="shared" ca="1" si="64"/>
        <v>0.10171646676545675</v>
      </c>
      <c r="Q445" s="4">
        <f t="shared" ca="1" si="65"/>
        <v>1920.1827883193666</v>
      </c>
      <c r="R445" s="4">
        <f t="shared" ca="1" si="66"/>
        <v>-3.487255680633325</v>
      </c>
      <c r="S445" s="4">
        <f t="shared" ca="1" si="67"/>
        <v>-1.7603326334873377</v>
      </c>
    </row>
    <row r="446" spans="15:19" x14ac:dyDescent="0.2">
      <c r="O446" s="4">
        <f t="shared" ca="1" si="63"/>
        <v>0.54222628137285545</v>
      </c>
      <c r="P446" s="4">
        <f t="shared" ca="1" si="64"/>
        <v>0.10604400601371819</v>
      </c>
      <c r="Q446" s="4">
        <f t="shared" ca="1" si="65"/>
        <v>1920.051685709979</v>
      </c>
      <c r="R446" s="4">
        <f t="shared" ca="1" si="66"/>
        <v>-3.6183582900209785</v>
      </c>
      <c r="S446" s="4">
        <f t="shared" ca="1" si="67"/>
        <v>-1.8263188472439236</v>
      </c>
    </row>
    <row r="447" spans="15:19" x14ac:dyDescent="0.2">
      <c r="O447" s="4">
        <f t="shared" ca="1" si="63"/>
        <v>0.5440351581913524</v>
      </c>
      <c r="P447" s="4">
        <f t="shared" ca="1" si="64"/>
        <v>0.1106048723532489</v>
      </c>
      <c r="Q447" s="4">
        <f t="shared" ca="1" si="65"/>
        <v>1919.9135144667209</v>
      </c>
      <c r="R447" s="4">
        <f t="shared" ca="1" si="66"/>
        <v>-3.7565295332790356</v>
      </c>
      <c r="S447" s="4">
        <f t="shared" ca="1" si="67"/>
        <v>-1.8958476814648646</v>
      </c>
    </row>
    <row r="448" spans="15:19" x14ac:dyDescent="0.2">
      <c r="O448" s="4">
        <f t="shared" ca="1" si="63"/>
        <v>0.3813042922992077</v>
      </c>
      <c r="P448" s="4">
        <f t="shared" ca="1" si="64"/>
        <v>-0.30205703500092956</v>
      </c>
      <c r="Q448" s="4">
        <f t="shared" ca="1" si="65"/>
        <v>1932.4150886282414</v>
      </c>
      <c r="R448" s="4">
        <f t="shared" ca="1" si="66"/>
        <v>8.7450446282414305</v>
      </c>
      <c r="S448" s="4">
        <f t="shared" ca="1" si="67"/>
        <v>4.4579581946535116</v>
      </c>
    </row>
    <row r="449" spans="15:19" x14ac:dyDescent="0.2">
      <c r="O449" s="4">
        <f t="shared" ca="1" si="63"/>
        <v>0.71657226599780499</v>
      </c>
      <c r="P449" s="4">
        <f t="shared" ca="1" si="64"/>
        <v>0.57268873230947193</v>
      </c>
      <c r="Q449" s="4">
        <f t="shared" ca="1" si="65"/>
        <v>1905.9147044454064</v>
      </c>
      <c r="R449" s="4">
        <f t="shared" ca="1" si="66"/>
        <v>-17.755339554593547</v>
      </c>
      <c r="S449" s="4">
        <f t="shared" ca="1" si="67"/>
        <v>-8.8595973731929885</v>
      </c>
    </row>
    <row r="450" spans="15:19" x14ac:dyDescent="0.2">
      <c r="O450" s="4">
        <f t="shared" ca="1" si="63"/>
        <v>0.68606059008245246</v>
      </c>
      <c r="P450" s="4">
        <f t="shared" ca="1" si="64"/>
        <v>0.48471458401230633</v>
      </c>
      <c r="Q450" s="4">
        <f t="shared" ca="1" si="65"/>
        <v>1908.5798773621052</v>
      </c>
      <c r="R450" s="4">
        <f t="shared" ca="1" si="66"/>
        <v>-15.090166637894754</v>
      </c>
      <c r="S450" s="4">
        <f t="shared" ca="1" si="67"/>
        <v>-7.5460951516819827</v>
      </c>
    </row>
    <row r="451" spans="15:19" x14ac:dyDescent="0.2">
      <c r="O451" s="4">
        <f t="shared" ref="O451:O514" ca="1" si="68">RAND()</f>
        <v>0.4822001217691767</v>
      </c>
      <c r="P451" s="4">
        <f t="shared" ref="P451:P514" ca="1" si="69">NORMSINV(O451)</f>
        <v>-4.4632492060377248E-2</v>
      </c>
      <c r="Q451" s="4">
        <f t="shared" ref="Q451:Q514" ca="1" si="70">$B$4*(1+$B$17-$B$6/SQRT(252)*P451)</f>
        <v>1924.6164235292483</v>
      </c>
      <c r="R451" s="4">
        <f t="shared" ref="R451:R514" ca="1" si="71">Q451-$B$4</f>
        <v>0.946379529248361</v>
      </c>
      <c r="S451" s="4">
        <f t="shared" ref="S451:S514" ca="1" si="72">R451*$B$12+0.5*$B$13*R451^2</f>
        <v>0.47943117252930972</v>
      </c>
    </row>
    <row r="452" spans="15:19" x14ac:dyDescent="0.2">
      <c r="O452" s="4">
        <f t="shared" ca="1" si="68"/>
        <v>4.3353026719457177E-2</v>
      </c>
      <c r="P452" s="4">
        <f t="shared" ca="1" si="69"/>
        <v>-1.7130352574109735</v>
      </c>
      <c r="Q452" s="4">
        <f t="shared" ca="1" si="70"/>
        <v>1975.160611230137</v>
      </c>
      <c r="R452" s="4">
        <f t="shared" ca="1" si="71"/>
        <v>51.490567230137003</v>
      </c>
      <c r="S452" s="4">
        <f t="shared" ca="1" si="72"/>
        <v>27.14428336889555</v>
      </c>
    </row>
    <row r="453" spans="15:19" x14ac:dyDescent="0.2">
      <c r="O453" s="4">
        <f t="shared" ca="1" si="68"/>
        <v>0.51416173422032962</v>
      </c>
      <c r="P453" s="4">
        <f t="shared" ca="1" si="69"/>
        <v>3.550566205155669E-2</v>
      </c>
      <c r="Q453" s="4">
        <f t="shared" ca="1" si="70"/>
        <v>1922.1886417084809</v>
      </c>
      <c r="R453" s="4">
        <f t="shared" ca="1" si="71"/>
        <v>-1.481402291519089</v>
      </c>
      <c r="S453" s="4">
        <f t="shared" ca="1" si="72"/>
        <v>-0.74900701527385205</v>
      </c>
    </row>
    <row r="454" spans="15:19" x14ac:dyDescent="0.2">
      <c r="O454" s="4">
        <f t="shared" ca="1" si="68"/>
        <v>0.74496634812362417</v>
      </c>
      <c r="P454" s="4">
        <f t="shared" ca="1" si="69"/>
        <v>0.65873289770251597</v>
      </c>
      <c r="Q454" s="4">
        <f t="shared" ca="1" si="70"/>
        <v>1903.3080002750987</v>
      </c>
      <c r="R454" s="4">
        <f t="shared" ca="1" si="71"/>
        <v>-20.362043724901241</v>
      </c>
      <c r="S454" s="4">
        <f t="shared" ca="1" si="72"/>
        <v>-10.138689856327554</v>
      </c>
    </row>
    <row r="455" spans="15:19" x14ac:dyDescent="0.2">
      <c r="O455" s="4">
        <f t="shared" ca="1" si="68"/>
        <v>0.18410434526119024</v>
      </c>
      <c r="P455" s="4">
        <f t="shared" ca="1" si="69"/>
        <v>-0.89983382540733869</v>
      </c>
      <c r="Q455" s="4">
        <f t="shared" ca="1" si="70"/>
        <v>1950.524709952914</v>
      </c>
      <c r="R455" s="4">
        <f t="shared" ca="1" si="71"/>
        <v>26.854665952914047</v>
      </c>
      <c r="S455" s="4">
        <f t="shared" ca="1" si="72"/>
        <v>13.887662312974339</v>
      </c>
    </row>
    <row r="456" spans="15:19" x14ac:dyDescent="0.2">
      <c r="O456" s="4">
        <f t="shared" ca="1" si="68"/>
        <v>0.35698154109666713</v>
      </c>
      <c r="P456" s="4">
        <f t="shared" ca="1" si="69"/>
        <v>-0.36653877800013557</v>
      </c>
      <c r="Q456" s="4">
        <f t="shared" ca="1" si="70"/>
        <v>1934.3685601694776</v>
      </c>
      <c r="R456" s="4">
        <f t="shared" ca="1" si="71"/>
        <v>10.698516169477671</v>
      </c>
      <c r="S456" s="4">
        <f t="shared" ca="1" si="72"/>
        <v>5.4622861064289268</v>
      </c>
    </row>
    <row r="457" spans="15:19" x14ac:dyDescent="0.2">
      <c r="O457" s="4">
        <f t="shared" ca="1" si="68"/>
        <v>0.39966876480526825</v>
      </c>
      <c r="P457" s="4">
        <f t="shared" ca="1" si="69"/>
        <v>-0.25420455781816131</v>
      </c>
      <c r="Q457" s="4">
        <f t="shared" ca="1" si="70"/>
        <v>1930.9653999565912</v>
      </c>
      <c r="R457" s="4">
        <f t="shared" ca="1" si="71"/>
        <v>7.2953559565912656</v>
      </c>
      <c r="S457" s="4">
        <f t="shared" ca="1" si="72"/>
        <v>3.7146457698384148</v>
      </c>
    </row>
    <row r="458" spans="15:19" x14ac:dyDescent="0.2">
      <c r="O458" s="4">
        <f t="shared" ca="1" si="68"/>
        <v>0.15721266495733255</v>
      </c>
      <c r="P458" s="4">
        <f t="shared" ca="1" si="69"/>
        <v>-1.0059797110501776</v>
      </c>
      <c r="Q458" s="4">
        <f t="shared" ca="1" si="70"/>
        <v>1953.7403948456931</v>
      </c>
      <c r="R458" s="4">
        <f t="shared" ca="1" si="71"/>
        <v>30.070350845693156</v>
      </c>
      <c r="S458" s="4">
        <f t="shared" ca="1" si="72"/>
        <v>15.589988712032618</v>
      </c>
    </row>
    <row r="459" spans="15:19" x14ac:dyDescent="0.2">
      <c r="O459" s="4">
        <f t="shared" ca="1" si="68"/>
        <v>0.80060661074381589</v>
      </c>
      <c r="P459" s="4">
        <f t="shared" ca="1" si="69"/>
        <v>0.84378997494275321</v>
      </c>
      <c r="Q459" s="4">
        <f t="shared" ca="1" si="70"/>
        <v>1897.7017043364542</v>
      </c>
      <c r="R459" s="4">
        <f t="shared" ca="1" si="71"/>
        <v>-25.968339663545748</v>
      </c>
      <c r="S459" s="4">
        <f t="shared" ca="1" si="72"/>
        <v>-12.870918863817005</v>
      </c>
    </row>
    <row r="460" spans="15:19" x14ac:dyDescent="0.2">
      <c r="O460" s="4">
        <f t="shared" ca="1" si="68"/>
        <v>0.84875327015056456</v>
      </c>
      <c r="P460" s="4">
        <f t="shared" ca="1" si="69"/>
        <v>1.0311009983347335</v>
      </c>
      <c r="Q460" s="4">
        <f t="shared" ca="1" si="70"/>
        <v>1892.0271251992153</v>
      </c>
      <c r="R460" s="4">
        <f t="shared" ca="1" si="71"/>
        <v>-31.642918800784628</v>
      </c>
      <c r="S460" s="4">
        <f t="shared" ca="1" si="72"/>
        <v>-15.610367478143722</v>
      </c>
    </row>
    <row r="461" spans="15:19" x14ac:dyDescent="0.2">
      <c r="O461" s="4">
        <f t="shared" ca="1" si="68"/>
        <v>0.39284520930131861</v>
      </c>
      <c r="P461" s="4">
        <f t="shared" ca="1" si="69"/>
        <v>-0.27191104476838746</v>
      </c>
      <c r="Q461" s="4">
        <f t="shared" ca="1" si="70"/>
        <v>1931.5018171925979</v>
      </c>
      <c r="R461" s="4">
        <f t="shared" ca="1" si="71"/>
        <v>7.8317731925978933</v>
      </c>
      <c r="S461" s="4">
        <f t="shared" ca="1" si="72"/>
        <v>3.989488572882427</v>
      </c>
    </row>
    <row r="462" spans="15:19" x14ac:dyDescent="0.2">
      <c r="O462" s="4">
        <f t="shared" ca="1" si="68"/>
        <v>0.79625189587584266</v>
      </c>
      <c r="P462" s="4">
        <f t="shared" ca="1" si="69"/>
        <v>0.8283077971059436</v>
      </c>
      <c r="Q462" s="4">
        <f t="shared" ca="1" si="70"/>
        <v>1898.170736226627</v>
      </c>
      <c r="R462" s="4">
        <f t="shared" ca="1" si="71"/>
        <v>-25.499307773372948</v>
      </c>
      <c r="S462" s="4">
        <f t="shared" ca="1" si="72"/>
        <v>-12.64331696495521</v>
      </c>
    </row>
    <row r="463" spans="15:19" x14ac:dyDescent="0.2">
      <c r="O463" s="4">
        <f t="shared" ca="1" si="68"/>
        <v>0.95918034223797921</v>
      </c>
      <c r="P463" s="4">
        <f t="shared" ca="1" si="69"/>
        <v>1.7412525731203992</v>
      </c>
      <c r="Q463" s="4">
        <f t="shared" ca="1" si="70"/>
        <v>1870.5131147711006</v>
      </c>
      <c r="R463" s="4">
        <f t="shared" ca="1" si="71"/>
        <v>-53.156929228899344</v>
      </c>
      <c r="S463" s="4">
        <f t="shared" ca="1" si="72"/>
        <v>-25.758319370551284</v>
      </c>
    </row>
    <row r="464" spans="15:19" x14ac:dyDescent="0.2">
      <c r="O464" s="4">
        <f t="shared" ca="1" si="68"/>
        <v>0.19655060732228569</v>
      </c>
      <c r="P464" s="4">
        <f t="shared" ca="1" si="69"/>
        <v>-0.85400681266838419</v>
      </c>
      <c r="Q464" s="4">
        <f t="shared" ca="1" si="70"/>
        <v>1949.1363826366608</v>
      </c>
      <c r="R464" s="4">
        <f t="shared" ca="1" si="71"/>
        <v>25.466338636660794</v>
      </c>
      <c r="S464" s="4">
        <f t="shared" ca="1" si="72"/>
        <v>13.155308455772994</v>
      </c>
    </row>
    <row r="465" spans="15:19" x14ac:dyDescent="0.2">
      <c r="O465" s="4">
        <f t="shared" ca="1" si="68"/>
        <v>0.84354434526838784</v>
      </c>
      <c r="P465" s="4">
        <f t="shared" ca="1" si="69"/>
        <v>1.0091320491621623</v>
      </c>
      <c r="Q465" s="4">
        <f t="shared" ca="1" si="70"/>
        <v>1892.6926735389991</v>
      </c>
      <c r="R465" s="4">
        <f t="shared" ca="1" si="71"/>
        <v>-30.977370461000874</v>
      </c>
      <c r="S465" s="4">
        <f t="shared" ca="1" si="72"/>
        <v>-15.290425744300002</v>
      </c>
    </row>
    <row r="466" spans="15:19" x14ac:dyDescent="0.2">
      <c r="O466" s="4">
        <f t="shared" ca="1" si="68"/>
        <v>0.382158012836193</v>
      </c>
      <c r="P466" s="4">
        <f t="shared" ca="1" si="69"/>
        <v>-0.29981794612571644</v>
      </c>
      <c r="Q466" s="4">
        <f t="shared" ca="1" si="70"/>
        <v>1932.3472555301796</v>
      </c>
      <c r="R466" s="4">
        <f t="shared" ca="1" si="71"/>
        <v>8.6772115301796475</v>
      </c>
      <c r="S466" s="4">
        <f t="shared" ca="1" si="72"/>
        <v>4.4231393393010423</v>
      </c>
    </row>
    <row r="467" spans="15:19" x14ac:dyDescent="0.2">
      <c r="O467" s="4">
        <f t="shared" ca="1" si="68"/>
        <v>9.5032540232533713E-2</v>
      </c>
      <c r="P467" s="4">
        <f t="shared" ca="1" si="69"/>
        <v>-1.3103866117269272</v>
      </c>
      <c r="Q467" s="4">
        <f t="shared" ca="1" si="70"/>
        <v>1962.9623883863346</v>
      </c>
      <c r="R467" s="4">
        <f t="shared" ca="1" si="71"/>
        <v>39.292344386334662</v>
      </c>
      <c r="S467" s="4">
        <f t="shared" ca="1" si="72"/>
        <v>20.518639019200858</v>
      </c>
    </row>
    <row r="468" spans="15:19" x14ac:dyDescent="0.2">
      <c r="O468" s="4">
        <f t="shared" ca="1" si="68"/>
        <v>0.67855695323545362</v>
      </c>
      <c r="P468" s="4">
        <f t="shared" ca="1" si="69"/>
        <v>0.4636673491117162</v>
      </c>
      <c r="Q468" s="4">
        <f t="shared" ca="1" si="70"/>
        <v>1909.2175024089424</v>
      </c>
      <c r="R468" s="4">
        <f t="shared" ca="1" si="71"/>
        <v>-14.452541591057525</v>
      </c>
      <c r="S468" s="4">
        <f t="shared" ca="1" si="72"/>
        <v>-7.2309911399951519</v>
      </c>
    </row>
    <row r="469" spans="15:19" x14ac:dyDescent="0.2">
      <c r="O469" s="4">
        <f t="shared" ca="1" si="68"/>
        <v>0.83597980955239271</v>
      </c>
      <c r="P469" s="4">
        <f t="shared" ca="1" si="69"/>
        <v>0.97806863174117908</v>
      </c>
      <c r="Q469" s="4">
        <f t="shared" ca="1" si="70"/>
        <v>1893.6337383905832</v>
      </c>
      <c r="R469" s="4">
        <f t="shared" ca="1" si="71"/>
        <v>-30.036305609416786</v>
      </c>
      <c r="S469" s="4">
        <f t="shared" ca="1" si="72"/>
        <v>-14.837422528766329</v>
      </c>
    </row>
    <row r="470" spans="15:19" x14ac:dyDescent="0.2">
      <c r="O470" s="4">
        <f t="shared" ca="1" si="68"/>
        <v>0.82142280661686906</v>
      </c>
      <c r="P470" s="4">
        <f t="shared" ca="1" si="69"/>
        <v>0.92080089667497989</v>
      </c>
      <c r="Q470" s="4">
        <f t="shared" ca="1" si="70"/>
        <v>1895.368661881784</v>
      </c>
      <c r="R470" s="4">
        <f t="shared" ca="1" si="71"/>
        <v>-28.301382118215997</v>
      </c>
      <c r="S470" s="4">
        <f t="shared" ca="1" si="72"/>
        <v>-14.000387320462268</v>
      </c>
    </row>
    <row r="471" spans="15:19" x14ac:dyDescent="0.2">
      <c r="O471" s="4">
        <f t="shared" ca="1" si="68"/>
        <v>0.22942229551182558</v>
      </c>
      <c r="P471" s="4">
        <f t="shared" ca="1" si="69"/>
        <v>-0.74075073491890853</v>
      </c>
      <c r="Q471" s="4">
        <f t="shared" ca="1" si="70"/>
        <v>1945.7052947896966</v>
      </c>
      <c r="R471" s="4">
        <f t="shared" ca="1" si="71"/>
        <v>22.035250789696647</v>
      </c>
      <c r="S471" s="4">
        <f t="shared" ca="1" si="72"/>
        <v>11.352113172541545</v>
      </c>
    </row>
    <row r="472" spans="15:19" x14ac:dyDescent="0.2">
      <c r="O472" s="4">
        <f t="shared" ca="1" si="68"/>
        <v>0.33760295214842406</v>
      </c>
      <c r="P472" s="4">
        <f t="shared" ca="1" si="69"/>
        <v>-0.41901399512717585</v>
      </c>
      <c r="Q472" s="4">
        <f t="shared" ca="1" si="70"/>
        <v>1935.9582945424943</v>
      </c>
      <c r="R472" s="4">
        <f t="shared" ca="1" si="71"/>
        <v>12.288250542494325</v>
      </c>
      <c r="S472" s="4">
        <f t="shared" ca="1" si="72"/>
        <v>6.2819006882923514</v>
      </c>
    </row>
    <row r="473" spans="15:19" x14ac:dyDescent="0.2">
      <c r="O473" s="4">
        <f t="shared" ca="1" si="68"/>
        <v>0.60883568422229528</v>
      </c>
      <c r="P473" s="4">
        <f t="shared" ca="1" si="69"/>
        <v>0.27628570887884624</v>
      </c>
      <c r="Q473" s="4">
        <f t="shared" ca="1" si="70"/>
        <v>1914.8942208802407</v>
      </c>
      <c r="R473" s="4">
        <f t="shared" ca="1" si="71"/>
        <v>-8.7758231197592522</v>
      </c>
      <c r="S473" s="4">
        <f t="shared" ca="1" si="72"/>
        <v>-4.4110571560834746</v>
      </c>
    </row>
    <row r="474" spans="15:19" x14ac:dyDescent="0.2">
      <c r="O474" s="4">
        <f t="shared" ca="1" si="68"/>
        <v>0.53352784811124798</v>
      </c>
      <c r="P474" s="4">
        <f t="shared" ca="1" si="69"/>
        <v>8.414102910486769E-2</v>
      </c>
      <c r="Q474" s="4">
        <f t="shared" ca="1" si="70"/>
        <v>1920.7152354229625</v>
      </c>
      <c r="R474" s="4">
        <f t="shared" ca="1" si="71"/>
        <v>-2.954808577037511</v>
      </c>
      <c r="S474" s="4">
        <f t="shared" ca="1" si="72"/>
        <v>-1.4921989656176606</v>
      </c>
    </row>
    <row r="475" spans="15:19" x14ac:dyDescent="0.2">
      <c r="O475" s="4">
        <f t="shared" ca="1" si="68"/>
        <v>0.11702990852804551</v>
      </c>
      <c r="P475" s="4">
        <f t="shared" ca="1" si="69"/>
        <v>-1.1899658439269161</v>
      </c>
      <c r="Q475" s="4">
        <f t="shared" ca="1" si="70"/>
        <v>1959.3142465723943</v>
      </c>
      <c r="R475" s="4">
        <f t="shared" ca="1" si="71"/>
        <v>35.644202572394306</v>
      </c>
      <c r="S475" s="4">
        <f t="shared" ca="1" si="72"/>
        <v>18.560629660715026</v>
      </c>
    </row>
    <row r="476" spans="15:19" x14ac:dyDescent="0.2">
      <c r="O476" s="4">
        <f t="shared" ca="1" si="68"/>
        <v>0.53335189384979198</v>
      </c>
      <c r="P476" s="4">
        <f t="shared" ca="1" si="69"/>
        <v>8.3698421378328419E-2</v>
      </c>
      <c r="Q476" s="4">
        <f t="shared" ca="1" si="70"/>
        <v>1920.7286442043867</v>
      </c>
      <c r="R476" s="4">
        <f t="shared" ca="1" si="71"/>
        <v>-2.9413997956132789</v>
      </c>
      <c r="S476" s="4">
        <f t="shared" ca="1" si="72"/>
        <v>-1.4854434924105269</v>
      </c>
    </row>
    <row r="477" spans="15:19" x14ac:dyDescent="0.2">
      <c r="O477" s="4">
        <f t="shared" ca="1" si="68"/>
        <v>0.51573898803801477</v>
      </c>
      <c r="P477" s="4">
        <f t="shared" ca="1" si="69"/>
        <v>3.9462032092772846E-2</v>
      </c>
      <c r="Q477" s="4">
        <f t="shared" ca="1" si="70"/>
        <v>1922.0687836537411</v>
      </c>
      <c r="R477" s="4">
        <f t="shared" ca="1" si="71"/>
        <v>-1.6012603462588686</v>
      </c>
      <c r="S477" s="4">
        <f t="shared" ca="1" si="72"/>
        <v>-0.80952993185128075</v>
      </c>
    </row>
    <row r="478" spans="15:19" x14ac:dyDescent="0.2">
      <c r="O478" s="4">
        <f t="shared" ca="1" si="68"/>
        <v>0.78662607718241495</v>
      </c>
      <c r="P478" s="4">
        <f t="shared" ca="1" si="69"/>
        <v>0.79476907063230195</v>
      </c>
      <c r="Q478" s="4">
        <f t="shared" ca="1" si="70"/>
        <v>1899.1867904560602</v>
      </c>
      <c r="R478" s="4">
        <f t="shared" ca="1" si="71"/>
        <v>-24.483253543939782</v>
      </c>
      <c r="S478" s="4">
        <f t="shared" ca="1" si="72"/>
        <v>-12.149653369568815</v>
      </c>
    </row>
    <row r="479" spans="15:19" x14ac:dyDescent="0.2">
      <c r="O479" s="4">
        <f t="shared" ca="1" si="68"/>
        <v>0.86977646087890803</v>
      </c>
      <c r="P479" s="4">
        <f t="shared" ca="1" si="69"/>
        <v>1.1253350600295857</v>
      </c>
      <c r="Q479" s="4">
        <f t="shared" ca="1" si="70"/>
        <v>1889.1723084840676</v>
      </c>
      <c r="R479" s="4">
        <f t="shared" ca="1" si="71"/>
        <v>-34.497735515932391</v>
      </c>
      <c r="S479" s="4">
        <f t="shared" ca="1" si="72"/>
        <v>-16.97864107653098</v>
      </c>
    </row>
    <row r="480" spans="15:19" x14ac:dyDescent="0.2">
      <c r="O480" s="4">
        <f t="shared" ca="1" si="68"/>
        <v>0.70583255910108</v>
      </c>
      <c r="P480" s="4">
        <f t="shared" ca="1" si="69"/>
        <v>0.5412505756621262</v>
      </c>
      <c r="Q480" s="4">
        <f t="shared" ca="1" si="70"/>
        <v>1906.8671220052152</v>
      </c>
      <c r="R480" s="4">
        <f t="shared" ca="1" si="71"/>
        <v>-16.802921994784811</v>
      </c>
      <c r="S480" s="4">
        <f t="shared" ca="1" si="72"/>
        <v>-8.3908725093867087</v>
      </c>
    </row>
    <row r="481" spans="15:19" x14ac:dyDescent="0.2">
      <c r="O481" s="4">
        <f t="shared" ca="1" si="68"/>
        <v>0.66347657285343875</v>
      </c>
      <c r="P481" s="4">
        <f t="shared" ca="1" si="69"/>
        <v>0.42197008303580891</v>
      </c>
      <c r="Q481" s="4">
        <f t="shared" ca="1" si="70"/>
        <v>1910.4807192333953</v>
      </c>
      <c r="R481" s="4">
        <f t="shared" ca="1" si="71"/>
        <v>-13.189324766604614</v>
      </c>
      <c r="S481" s="4">
        <f t="shared" ca="1" si="72"/>
        <v>-6.6057523195204242</v>
      </c>
    </row>
    <row r="482" spans="15:19" x14ac:dyDescent="0.2">
      <c r="O482" s="4">
        <f t="shared" ca="1" si="68"/>
        <v>0.99971577581377236</v>
      </c>
      <c r="P482" s="4">
        <f t="shared" ca="1" si="69"/>
        <v>3.4462385261489406</v>
      </c>
      <c r="Q482" s="4">
        <f t="shared" ca="1" si="70"/>
        <v>1818.8606410237653</v>
      </c>
      <c r="R482" s="4">
        <f t="shared" ca="1" si="71"/>
        <v>-104.80940297623465</v>
      </c>
      <c r="S482" s="4">
        <f t="shared" ca="1" si="72"/>
        <v>-48.583886481785335</v>
      </c>
    </row>
    <row r="483" spans="15:19" x14ac:dyDescent="0.2">
      <c r="O483" s="4">
        <f t="shared" ca="1" si="68"/>
        <v>0.45028515192485941</v>
      </c>
      <c r="P483" s="4">
        <f t="shared" ca="1" si="69"/>
        <v>-0.12494094380228794</v>
      </c>
      <c r="Q483" s="4">
        <f t="shared" ca="1" si="70"/>
        <v>1927.0493645091551</v>
      </c>
      <c r="R483" s="4">
        <f t="shared" ca="1" si="71"/>
        <v>3.3793205091551499</v>
      </c>
      <c r="S483" s="4">
        <f t="shared" ca="1" si="72"/>
        <v>1.7152937938948769</v>
      </c>
    </row>
    <row r="484" spans="15:19" x14ac:dyDescent="0.2">
      <c r="O484" s="4">
        <f t="shared" ca="1" si="68"/>
        <v>0.8041027448388175</v>
      </c>
      <c r="P484" s="4">
        <f t="shared" ca="1" si="69"/>
        <v>0.85636754564342144</v>
      </c>
      <c r="Q484" s="4">
        <f t="shared" ca="1" si="70"/>
        <v>1897.320667390509</v>
      </c>
      <c r="R484" s="4">
        <f t="shared" ca="1" si="71"/>
        <v>-26.349376609490946</v>
      </c>
      <c r="S484" s="4">
        <f t="shared" ca="1" si="72"/>
        <v>-13.055688580050761</v>
      </c>
    </row>
    <row r="485" spans="15:19" x14ac:dyDescent="0.2">
      <c r="O485" s="4">
        <f t="shared" ca="1" si="68"/>
        <v>0.89089899657530947</v>
      </c>
      <c r="P485" s="4">
        <f t="shared" ca="1" si="69"/>
        <v>1.2313232035815327</v>
      </c>
      <c r="Q485" s="4">
        <f t="shared" ca="1" si="70"/>
        <v>1885.9614023809286</v>
      </c>
      <c r="R485" s="4">
        <f t="shared" ca="1" si="71"/>
        <v>-37.708641619071386</v>
      </c>
      <c r="S485" s="4">
        <f t="shared" ca="1" si="72"/>
        <v>-18.509655052530849</v>
      </c>
    </row>
    <row r="486" spans="15:19" x14ac:dyDescent="0.2">
      <c r="O486" s="4">
        <f t="shared" ca="1" si="68"/>
        <v>0.6753428614771706</v>
      </c>
      <c r="P486" s="4">
        <f t="shared" ca="1" si="69"/>
        <v>0.45471501533199193</v>
      </c>
      <c r="Q486" s="4">
        <f t="shared" ca="1" si="70"/>
        <v>1909.4887129633246</v>
      </c>
      <c r="R486" s="4">
        <f t="shared" ca="1" si="71"/>
        <v>-14.181331036675374</v>
      </c>
      <c r="S486" s="4">
        <f t="shared" ca="1" si="72"/>
        <v>-7.0968629225260162</v>
      </c>
    </row>
    <row r="487" spans="15:19" x14ac:dyDescent="0.2">
      <c r="O487" s="4">
        <f t="shared" ca="1" si="68"/>
        <v>0.17491812744172952</v>
      </c>
      <c r="P487" s="4">
        <f t="shared" ca="1" si="69"/>
        <v>-0.93490695037487759</v>
      </c>
      <c r="Q487" s="4">
        <f t="shared" ca="1" si="70"/>
        <v>1951.5872487165941</v>
      </c>
      <c r="R487" s="4">
        <f t="shared" ca="1" si="71"/>
        <v>27.917204716594142</v>
      </c>
      <c r="S487" s="4">
        <f t="shared" ca="1" si="72"/>
        <v>14.44922014631061</v>
      </c>
    </row>
    <row r="488" spans="15:19" x14ac:dyDescent="0.2">
      <c r="O488" s="4">
        <f t="shared" ca="1" si="68"/>
        <v>0.401366795645695</v>
      </c>
      <c r="P488" s="4">
        <f t="shared" ca="1" si="69"/>
        <v>-0.24981089829373132</v>
      </c>
      <c r="Q488" s="4">
        <f t="shared" ca="1" si="70"/>
        <v>1930.8322942363725</v>
      </c>
      <c r="R488" s="4">
        <f t="shared" ca="1" si="71"/>
        <v>7.1622502363725289</v>
      </c>
      <c r="S488" s="4">
        <f t="shared" ca="1" si="72"/>
        <v>3.6464829905238587</v>
      </c>
    </row>
    <row r="489" spans="15:19" x14ac:dyDescent="0.2">
      <c r="O489" s="4">
        <f t="shared" ca="1" si="68"/>
        <v>0.34157998151130631</v>
      </c>
      <c r="P489" s="4">
        <f t="shared" ca="1" si="69"/>
        <v>-0.40815489118380804</v>
      </c>
      <c r="Q489" s="4">
        <f t="shared" ca="1" si="70"/>
        <v>1935.6293184706631</v>
      </c>
      <c r="R489" s="4">
        <f t="shared" ca="1" si="71"/>
        <v>11.959274470663104</v>
      </c>
      <c r="S489" s="4">
        <f t="shared" ca="1" si="72"/>
        <v>6.1121226460373128</v>
      </c>
    </row>
    <row r="490" spans="15:19" x14ac:dyDescent="0.2">
      <c r="O490" s="4">
        <f t="shared" ca="1" si="68"/>
        <v>0.5440427898475283</v>
      </c>
      <c r="P490" s="4">
        <f t="shared" ca="1" si="69"/>
        <v>0.11062411946863389</v>
      </c>
      <c r="Q490" s="4">
        <f t="shared" ca="1" si="70"/>
        <v>1919.9129313762146</v>
      </c>
      <c r="R490" s="4">
        <f t="shared" ca="1" si="71"/>
        <v>-3.7571126237853605</v>
      </c>
      <c r="S490" s="4">
        <f t="shared" ca="1" si="72"/>
        <v>-1.8961410641658976</v>
      </c>
    </row>
    <row r="491" spans="15:19" x14ac:dyDescent="0.2">
      <c r="O491" s="4">
        <f t="shared" ca="1" si="68"/>
        <v>0.4338292062114073</v>
      </c>
      <c r="P491" s="4">
        <f t="shared" ca="1" si="69"/>
        <v>-0.16663352617329416</v>
      </c>
      <c r="Q491" s="4">
        <f t="shared" ca="1" si="70"/>
        <v>1928.3124394409758</v>
      </c>
      <c r="R491" s="4">
        <f t="shared" ca="1" si="71"/>
        <v>4.6423954409758608</v>
      </c>
      <c r="S491" s="4">
        <f t="shared" ca="1" si="72"/>
        <v>2.3587991330081337</v>
      </c>
    </row>
    <row r="492" spans="15:19" x14ac:dyDescent="0.2">
      <c r="O492" s="4">
        <f t="shared" ca="1" si="68"/>
        <v>0.81985542494755848</v>
      </c>
      <c r="P492" s="4">
        <f t="shared" ca="1" si="69"/>
        <v>0.91481425474511058</v>
      </c>
      <c r="Q492" s="4">
        <f t="shared" ca="1" si="70"/>
        <v>1895.5500269332483</v>
      </c>
      <c r="R492" s="4">
        <f t="shared" ca="1" si="71"/>
        <v>-28.120017066751643</v>
      </c>
      <c r="S492" s="4">
        <f t="shared" ca="1" si="72"/>
        <v>-13.912744041411907</v>
      </c>
    </row>
    <row r="493" spans="15:19" x14ac:dyDescent="0.2">
      <c r="O493" s="4">
        <f t="shared" ca="1" si="68"/>
        <v>0.35647693829226068</v>
      </c>
      <c r="P493" s="4">
        <f t="shared" ca="1" si="69"/>
        <v>-0.36789185121097762</v>
      </c>
      <c r="Q493" s="4">
        <f t="shared" ca="1" si="70"/>
        <v>1934.4095514623248</v>
      </c>
      <c r="R493" s="4">
        <f t="shared" ca="1" si="71"/>
        <v>10.739507462324809</v>
      </c>
      <c r="S493" s="4">
        <f t="shared" ca="1" si="72"/>
        <v>5.483394021535676</v>
      </c>
    </row>
    <row r="494" spans="15:19" x14ac:dyDescent="0.2">
      <c r="O494" s="4">
        <f t="shared" ca="1" si="68"/>
        <v>0.55436266838062054</v>
      </c>
      <c r="P494" s="4">
        <f t="shared" ca="1" si="69"/>
        <v>0.13669148133250417</v>
      </c>
      <c r="Q494" s="4">
        <f t="shared" ca="1" si="70"/>
        <v>1919.1232218059135</v>
      </c>
      <c r="R494" s="4">
        <f t="shared" ca="1" si="71"/>
        <v>-4.5468221940864169</v>
      </c>
      <c r="S494" s="4">
        <f t="shared" ca="1" si="72"/>
        <v>-2.2932303472252009</v>
      </c>
    </row>
    <row r="495" spans="15:19" x14ac:dyDescent="0.2">
      <c r="O495" s="4">
        <f t="shared" ca="1" si="68"/>
        <v>0.9825663974030463</v>
      </c>
      <c r="P495" s="4">
        <f t="shared" ca="1" si="69"/>
        <v>2.1098972731589667</v>
      </c>
      <c r="Q495" s="4">
        <f t="shared" ca="1" si="70"/>
        <v>1859.3450399508868</v>
      </c>
      <c r="R495" s="4">
        <f t="shared" ca="1" si="71"/>
        <v>-64.325004049113204</v>
      </c>
      <c r="S495" s="4">
        <f t="shared" ca="1" si="72"/>
        <v>-30.877614269870829</v>
      </c>
    </row>
    <row r="496" spans="15:19" x14ac:dyDescent="0.2">
      <c r="O496" s="4">
        <f t="shared" ca="1" si="68"/>
        <v>0.95942077802076808</v>
      </c>
      <c r="P496" s="4">
        <f t="shared" ca="1" si="69"/>
        <v>1.7440037040246092</v>
      </c>
      <c r="Q496" s="4">
        <f t="shared" ca="1" si="70"/>
        <v>1870.4297693825049</v>
      </c>
      <c r="R496" s="4">
        <f t="shared" ca="1" si="71"/>
        <v>-53.240274617495061</v>
      </c>
      <c r="S496" s="4">
        <f t="shared" ca="1" si="72"/>
        <v>-25.796899848210362</v>
      </c>
    </row>
    <row r="497" spans="15:19" x14ac:dyDescent="0.2">
      <c r="O497" s="4">
        <f t="shared" ca="1" si="68"/>
        <v>0.27290482667750948</v>
      </c>
      <c r="P497" s="4">
        <f t="shared" ca="1" si="69"/>
        <v>-0.60405112360549751</v>
      </c>
      <c r="Q497" s="4">
        <f t="shared" ca="1" si="70"/>
        <v>1941.5639861342822</v>
      </c>
      <c r="R497" s="4">
        <f t="shared" ca="1" si="71"/>
        <v>17.89394213428227</v>
      </c>
      <c r="S497" s="4">
        <f t="shared" ca="1" si="72"/>
        <v>9.1884295616488405</v>
      </c>
    </row>
    <row r="498" spans="15:19" x14ac:dyDescent="0.2">
      <c r="O498" s="4">
        <f t="shared" ca="1" si="68"/>
        <v>0.66460944449246862</v>
      </c>
      <c r="P498" s="4">
        <f t="shared" ca="1" si="69"/>
        <v>0.42507622203666789</v>
      </c>
      <c r="Q498" s="4">
        <f t="shared" ca="1" si="70"/>
        <v>1910.3866188902737</v>
      </c>
      <c r="R498" s="4">
        <f t="shared" ca="1" si="71"/>
        <v>-13.283425109726295</v>
      </c>
      <c r="S498" s="4">
        <f t="shared" ca="1" si="72"/>
        <v>-6.6523727868620979</v>
      </c>
    </row>
    <row r="499" spans="15:19" x14ac:dyDescent="0.2">
      <c r="O499" s="4">
        <f t="shared" ca="1" si="68"/>
        <v>0.62235927529645219</v>
      </c>
      <c r="P499" s="4">
        <f t="shared" ca="1" si="69"/>
        <v>0.31168299927719806</v>
      </c>
      <c r="Q499" s="4">
        <f t="shared" ca="1" si="70"/>
        <v>1913.8218615392268</v>
      </c>
      <c r="R499" s="4">
        <f t="shared" ca="1" si="71"/>
        <v>-9.8481824607731596</v>
      </c>
      <c r="S499" s="4">
        <f t="shared" ca="1" si="72"/>
        <v>-4.9457661236876174</v>
      </c>
    </row>
    <row r="500" spans="15:19" x14ac:dyDescent="0.2">
      <c r="O500" s="4">
        <f t="shared" ca="1" si="68"/>
        <v>0.46133932615038442</v>
      </c>
      <c r="P500" s="4">
        <f t="shared" ca="1" si="69"/>
        <v>-9.7060118247707369E-2</v>
      </c>
      <c r="Q500" s="4">
        <f t="shared" ca="1" si="70"/>
        <v>1926.2047161368596</v>
      </c>
      <c r="R500" s="4">
        <f t="shared" ca="1" si="71"/>
        <v>2.5346721368596263</v>
      </c>
      <c r="S500" s="4">
        <f t="shared" ca="1" si="72"/>
        <v>1.2856911043737738</v>
      </c>
    </row>
    <row r="501" spans="15:19" x14ac:dyDescent="0.2">
      <c r="O501" s="4">
        <f t="shared" ca="1" si="68"/>
        <v>0.50676875329283277</v>
      </c>
      <c r="P501" s="4">
        <f t="shared" ca="1" si="69"/>
        <v>1.6967562507712097E-2</v>
      </c>
      <c r="Q501" s="4">
        <f t="shared" ca="1" si="70"/>
        <v>1922.7502526110889</v>
      </c>
      <c r="R501" s="4">
        <f t="shared" ca="1" si="71"/>
        <v>-0.91979138891110779</v>
      </c>
      <c r="S501" s="4">
        <f t="shared" ca="1" si="72"/>
        <v>-0.46526302317736212</v>
      </c>
    </row>
    <row r="502" spans="15:19" x14ac:dyDescent="0.2">
      <c r="O502" s="4">
        <f t="shared" ca="1" si="68"/>
        <v>0.39283381679031038</v>
      </c>
      <c r="P502" s="4">
        <f t="shared" ca="1" si="69"/>
        <v>-0.27194067711573949</v>
      </c>
      <c r="Q502" s="4">
        <f t="shared" ca="1" si="70"/>
        <v>1931.5027149032453</v>
      </c>
      <c r="R502" s="4">
        <f t="shared" ca="1" si="71"/>
        <v>7.8326709032453437</v>
      </c>
      <c r="S502" s="4">
        <f t="shared" ca="1" si="72"/>
        <v>3.9899487270688874</v>
      </c>
    </row>
    <row r="503" spans="15:19" x14ac:dyDescent="0.2">
      <c r="O503" s="4">
        <f t="shared" ca="1" si="68"/>
        <v>0.10090501223833359</v>
      </c>
      <c r="P503" s="4">
        <f t="shared" ca="1" si="69"/>
        <v>-1.276411694318595</v>
      </c>
      <c r="Q503" s="4">
        <f t="shared" ca="1" si="70"/>
        <v>1961.9331197719011</v>
      </c>
      <c r="R503" s="4">
        <f t="shared" ca="1" si="71"/>
        <v>38.263075771901185</v>
      </c>
      <c r="S503" s="4">
        <f t="shared" ca="1" si="72"/>
        <v>19.965118717558781</v>
      </c>
    </row>
    <row r="504" spans="15:19" x14ac:dyDescent="0.2">
      <c r="O504" s="4">
        <f t="shared" ca="1" si="68"/>
        <v>0.799361408640061</v>
      </c>
      <c r="P504" s="4">
        <f t="shared" ca="1" si="69"/>
        <v>0.83934242461233866</v>
      </c>
      <c r="Q504" s="4">
        <f t="shared" ca="1" si="70"/>
        <v>1897.8364426762473</v>
      </c>
      <c r="R504" s="4">
        <f t="shared" ca="1" si="71"/>
        <v>-25.833601323752646</v>
      </c>
      <c r="S504" s="4">
        <f t="shared" ca="1" si="72"/>
        <v>-12.805554220603158</v>
      </c>
    </row>
    <row r="505" spans="15:19" x14ac:dyDescent="0.2">
      <c r="O505" s="4">
        <f t="shared" ca="1" si="68"/>
        <v>0.66268062900103075</v>
      </c>
      <c r="P505" s="4">
        <f t="shared" ca="1" si="69"/>
        <v>0.41979017627612558</v>
      </c>
      <c r="Q505" s="4">
        <f t="shared" ca="1" si="70"/>
        <v>1910.5467594118943</v>
      </c>
      <c r="R505" s="4">
        <f t="shared" ca="1" si="71"/>
        <v>-13.123284588105662</v>
      </c>
      <c r="S505" s="4">
        <f t="shared" ca="1" si="72"/>
        <v>-6.5730294941931247</v>
      </c>
    </row>
    <row r="506" spans="15:19" x14ac:dyDescent="0.2">
      <c r="O506" s="4">
        <f t="shared" ca="1" si="68"/>
        <v>0.55672149662471149</v>
      </c>
      <c r="P506" s="4">
        <f t="shared" ca="1" si="69"/>
        <v>0.14266215513257569</v>
      </c>
      <c r="Q506" s="4">
        <f t="shared" ca="1" si="70"/>
        <v>1918.9423405082323</v>
      </c>
      <c r="R506" s="4">
        <f t="shared" ca="1" si="71"/>
        <v>-4.7277034917676701</v>
      </c>
      <c r="S506" s="4">
        <f t="shared" ca="1" si="72"/>
        <v>-2.3841113372801224</v>
      </c>
    </row>
    <row r="507" spans="15:19" x14ac:dyDescent="0.2">
      <c r="O507" s="4">
        <f t="shared" ca="1" si="68"/>
        <v>9.9776406207229718E-2</v>
      </c>
      <c r="P507" s="4">
        <f t="shared" ca="1" si="69"/>
        <v>-1.2828266579492411</v>
      </c>
      <c r="Q507" s="4">
        <f t="shared" ca="1" si="70"/>
        <v>1962.1274608102738</v>
      </c>
      <c r="R507" s="4">
        <f t="shared" ca="1" si="71"/>
        <v>38.457416810273799</v>
      </c>
      <c r="S507" s="4">
        <f t="shared" ca="1" si="72"/>
        <v>20.069565432545108</v>
      </c>
    </row>
    <row r="508" spans="15:19" x14ac:dyDescent="0.2">
      <c r="O508" s="4">
        <f t="shared" ca="1" si="68"/>
        <v>0.25271069680930636</v>
      </c>
      <c r="P508" s="4">
        <f t="shared" ca="1" si="69"/>
        <v>-0.66598389629892463</v>
      </c>
      <c r="Q508" s="4">
        <f t="shared" ca="1" si="70"/>
        <v>1943.4402367332766</v>
      </c>
      <c r="R508" s="4">
        <f t="shared" ca="1" si="71"/>
        <v>19.770192733276645</v>
      </c>
      <c r="S508" s="4">
        <f t="shared" ca="1" si="72"/>
        <v>10.166972498287977</v>
      </c>
    </row>
    <row r="509" spans="15:19" x14ac:dyDescent="0.2">
      <c r="O509" s="4">
        <f t="shared" ca="1" si="68"/>
        <v>0.22019096708477881</v>
      </c>
      <c r="P509" s="4">
        <f t="shared" ca="1" si="69"/>
        <v>-0.77154841953394449</v>
      </c>
      <c r="Q509" s="4">
        <f t="shared" ca="1" si="70"/>
        <v>1946.638309277723</v>
      </c>
      <c r="R509" s="4">
        <f t="shared" ca="1" si="71"/>
        <v>22.968265277723049</v>
      </c>
      <c r="S509" s="4">
        <f t="shared" ca="1" si="72"/>
        <v>11.841506647412503</v>
      </c>
    </row>
    <row r="510" spans="15:19" x14ac:dyDescent="0.2">
      <c r="O510" s="4">
        <f t="shared" ca="1" si="68"/>
        <v>0.38843817535393133</v>
      </c>
      <c r="P510" s="4">
        <f t="shared" ca="1" si="69"/>
        <v>-0.28339201240848189</v>
      </c>
      <c r="Q510" s="4">
        <f t="shared" ca="1" si="70"/>
        <v>1931.8496325975113</v>
      </c>
      <c r="R510" s="4">
        <f t="shared" ca="1" si="71"/>
        <v>8.1795885975113833</v>
      </c>
      <c r="S510" s="4">
        <f t="shared" ca="1" si="72"/>
        <v>4.1678231054883073</v>
      </c>
    </row>
    <row r="511" spans="15:19" x14ac:dyDescent="0.2">
      <c r="O511" s="4">
        <f t="shared" ca="1" si="68"/>
        <v>0.68638886922572884</v>
      </c>
      <c r="P511" s="4">
        <f t="shared" ca="1" si="69"/>
        <v>0.48564023884455526</v>
      </c>
      <c r="Q511" s="4">
        <f t="shared" ca="1" si="70"/>
        <v>1908.5518346900603</v>
      </c>
      <c r="R511" s="4">
        <f t="shared" ca="1" si="71"/>
        <v>-15.11820930993963</v>
      </c>
      <c r="S511" s="4">
        <f t="shared" ca="1" si="72"/>
        <v>-7.5599457890067265</v>
      </c>
    </row>
    <row r="512" spans="15:19" x14ac:dyDescent="0.2">
      <c r="O512" s="4">
        <f t="shared" ca="1" si="68"/>
        <v>0.79836101957105643</v>
      </c>
      <c r="P512" s="4">
        <f t="shared" ca="1" si="69"/>
        <v>0.83578127787012924</v>
      </c>
      <c r="Q512" s="4">
        <f t="shared" ca="1" si="70"/>
        <v>1897.9443274586911</v>
      </c>
      <c r="R512" s="4">
        <f t="shared" ca="1" si="71"/>
        <v>-25.725716541308884</v>
      </c>
      <c r="S512" s="4">
        <f t="shared" ca="1" si="72"/>
        <v>-12.75320619565151</v>
      </c>
    </row>
    <row r="513" spans="15:19" x14ac:dyDescent="0.2">
      <c r="O513" s="4">
        <f t="shared" ca="1" si="68"/>
        <v>0.51214870540080748</v>
      </c>
      <c r="P513" s="4">
        <f t="shared" ca="1" si="69"/>
        <v>3.0456996599761723E-2</v>
      </c>
      <c r="Q513" s="4">
        <f t="shared" ca="1" si="70"/>
        <v>1922.3415908041873</v>
      </c>
      <c r="R513" s="4">
        <f t="shared" ca="1" si="71"/>
        <v>-1.3284531958126991</v>
      </c>
      <c r="S513" s="4">
        <f t="shared" ca="1" si="72"/>
        <v>-0.67175762895246494</v>
      </c>
    </row>
    <row r="514" spans="15:19" x14ac:dyDescent="0.2">
      <c r="O514" s="4">
        <f t="shared" ca="1" si="68"/>
        <v>0.62972595154838695</v>
      </c>
      <c r="P514" s="4">
        <f t="shared" ca="1" si="69"/>
        <v>0.33112761034210758</v>
      </c>
      <c r="Q514" s="4">
        <f t="shared" ca="1" si="70"/>
        <v>1913.2327879103364</v>
      </c>
      <c r="R514" s="4">
        <f t="shared" ca="1" si="71"/>
        <v>-10.437256089663606</v>
      </c>
      <c r="S514" s="4">
        <f t="shared" ca="1" si="72"/>
        <v>-5.2390966432529709</v>
      </c>
    </row>
    <row r="515" spans="15:19" x14ac:dyDescent="0.2">
      <c r="O515" s="4">
        <f t="shared" ref="O515:O578" ca="1" si="73">RAND()</f>
        <v>0.99567289471591525</v>
      </c>
      <c r="P515" s="4">
        <f t="shared" ref="P515:P578" ca="1" si="74">NORMSINV(O515)</f>
        <v>2.6254201469453027</v>
      </c>
      <c r="Q515" s="4">
        <f t="shared" ref="Q515:Q578" ca="1" si="75">$B$4*(1+$B$17-$B$6/SQRT(252)*P515)</f>
        <v>1843.7272973782276</v>
      </c>
      <c r="R515" s="4">
        <f t="shared" ref="R515:R578" ca="1" si="76">Q515-$B$4</f>
        <v>-79.942746621772358</v>
      </c>
      <c r="S515" s="4">
        <f t="shared" ref="S515:S578" ca="1" si="77">R515*$B$12+0.5*$B$13*R515^2</f>
        <v>-37.866285966687862</v>
      </c>
    </row>
    <row r="516" spans="15:19" x14ac:dyDescent="0.2">
      <c r="O516" s="4">
        <f t="shared" ca="1" si="73"/>
        <v>0.19455082905983145</v>
      </c>
      <c r="P516" s="4">
        <f t="shared" ca="1" si="74"/>
        <v>-0.86124765579130746</v>
      </c>
      <c r="Q516" s="4">
        <f t="shared" ca="1" si="75"/>
        <v>1949.3557436575836</v>
      </c>
      <c r="R516" s="4">
        <f t="shared" ca="1" si="76"/>
        <v>25.685699657583655</v>
      </c>
      <c r="S516" s="4">
        <f t="shared" ca="1" si="77"/>
        <v>13.270918780630556</v>
      </c>
    </row>
    <row r="517" spans="15:19" x14ac:dyDescent="0.2">
      <c r="O517" s="4">
        <f t="shared" ca="1" si="73"/>
        <v>0.84500708987124828</v>
      </c>
      <c r="P517" s="4">
        <f t="shared" ca="1" si="74"/>
        <v>1.0152517870720994</v>
      </c>
      <c r="Q517" s="4">
        <f t="shared" ca="1" si="75"/>
        <v>1892.5072763507278</v>
      </c>
      <c r="R517" s="4">
        <f t="shared" ca="1" si="76"/>
        <v>-31.162767649272155</v>
      </c>
      <c r="S517" s="4">
        <f t="shared" ca="1" si="77"/>
        <v>-15.379585932426453</v>
      </c>
    </row>
    <row r="518" spans="15:19" x14ac:dyDescent="0.2">
      <c r="O518" s="4">
        <f t="shared" ca="1" si="73"/>
        <v>0.5683311801102221</v>
      </c>
      <c r="P518" s="4">
        <f t="shared" ca="1" si="74"/>
        <v>0.17212705957135235</v>
      </c>
      <c r="Q518" s="4">
        <f t="shared" ca="1" si="75"/>
        <v>1918.0497025364716</v>
      </c>
      <c r="R518" s="4">
        <f t="shared" ca="1" si="76"/>
        <v>-5.620341463528348</v>
      </c>
      <c r="S518" s="4">
        <f t="shared" ca="1" si="77"/>
        <v>-2.8322132998985694</v>
      </c>
    </row>
    <row r="519" spans="15:19" x14ac:dyDescent="0.2">
      <c r="O519" s="4">
        <f t="shared" ca="1" si="73"/>
        <v>0.14210088480949334</v>
      </c>
      <c r="P519" s="4">
        <f t="shared" ca="1" si="74"/>
        <v>-1.0709280783448627</v>
      </c>
      <c r="Q519" s="4">
        <f t="shared" ca="1" si="75"/>
        <v>1955.7080027492432</v>
      </c>
      <c r="R519" s="4">
        <f t="shared" ca="1" si="76"/>
        <v>32.037958749243217</v>
      </c>
      <c r="S519" s="4">
        <f t="shared" ca="1" si="77"/>
        <v>16.635756918999657</v>
      </c>
    </row>
    <row r="520" spans="15:19" x14ac:dyDescent="0.2">
      <c r="O520" s="4">
        <f t="shared" ca="1" si="73"/>
        <v>0.77660578578052641</v>
      </c>
      <c r="P520" s="4">
        <f t="shared" ca="1" si="74"/>
        <v>0.76078008988596946</v>
      </c>
      <c r="Q520" s="4">
        <f t="shared" ca="1" si="75"/>
        <v>1900.2164851186938</v>
      </c>
      <c r="R520" s="4">
        <f t="shared" ca="1" si="76"/>
        <v>-23.453558881306208</v>
      </c>
      <c r="S520" s="4">
        <f t="shared" ca="1" si="77"/>
        <v>-11.648504896501777</v>
      </c>
    </row>
    <row r="521" spans="15:19" x14ac:dyDescent="0.2">
      <c r="O521" s="4">
        <f t="shared" ca="1" si="73"/>
        <v>0.87949503155076081</v>
      </c>
      <c r="P521" s="4">
        <f t="shared" ca="1" si="74"/>
        <v>1.1724661943929655</v>
      </c>
      <c r="Q521" s="4">
        <f t="shared" ca="1" si="75"/>
        <v>1887.744472861104</v>
      </c>
      <c r="R521" s="4">
        <f t="shared" ca="1" si="76"/>
        <v>-35.925571138895975</v>
      </c>
      <c r="S521" s="4">
        <f t="shared" ca="1" si="77"/>
        <v>-17.660493460828654</v>
      </c>
    </row>
    <row r="522" spans="15:19" x14ac:dyDescent="0.2">
      <c r="O522" s="4">
        <f t="shared" ca="1" si="73"/>
        <v>0.15331627343097853</v>
      </c>
      <c r="P522" s="4">
        <f t="shared" ca="1" si="74"/>
        <v>-1.0223134976369295</v>
      </c>
      <c r="Q522" s="4">
        <f t="shared" ca="1" si="75"/>
        <v>1954.2352261851352</v>
      </c>
      <c r="R522" s="4">
        <f t="shared" ca="1" si="76"/>
        <v>30.5651821851352</v>
      </c>
      <c r="S522" s="4">
        <f t="shared" ca="1" si="77"/>
        <v>15.852691035303433</v>
      </c>
    </row>
    <row r="523" spans="15:19" x14ac:dyDescent="0.2">
      <c r="O523" s="4">
        <f t="shared" ca="1" si="73"/>
        <v>0.19239973934855048</v>
      </c>
      <c r="P523" s="4">
        <f t="shared" ca="1" si="74"/>
        <v>-0.86908712429982882</v>
      </c>
      <c r="Q523" s="4">
        <f t="shared" ca="1" si="75"/>
        <v>1949.5932400079846</v>
      </c>
      <c r="R523" s="4">
        <f t="shared" ca="1" si="76"/>
        <v>25.923196007984643</v>
      </c>
      <c r="S523" s="4">
        <f t="shared" ca="1" si="77"/>
        <v>13.396131176170488</v>
      </c>
    </row>
    <row r="524" spans="15:19" x14ac:dyDescent="0.2">
      <c r="O524" s="4">
        <f t="shared" ca="1" si="73"/>
        <v>0.99400394567323935</v>
      </c>
      <c r="P524" s="4">
        <f t="shared" ca="1" si="74"/>
        <v>2.5123764548419665</v>
      </c>
      <c r="Q524" s="4">
        <f t="shared" ca="1" si="75"/>
        <v>1847.151951011472</v>
      </c>
      <c r="R524" s="4">
        <f t="shared" ca="1" si="76"/>
        <v>-76.518092988527997</v>
      </c>
      <c r="S524" s="4">
        <f t="shared" ca="1" si="77"/>
        <v>-36.350810288614568</v>
      </c>
    </row>
    <row r="525" spans="15:19" x14ac:dyDescent="0.2">
      <c r="O525" s="4">
        <f t="shared" ca="1" si="73"/>
        <v>0.89617724258365661</v>
      </c>
      <c r="P525" s="4">
        <f t="shared" ca="1" si="74"/>
        <v>1.2600661092458887</v>
      </c>
      <c r="Q525" s="4">
        <f t="shared" ca="1" si="75"/>
        <v>1885.0906373299829</v>
      </c>
      <c r="R525" s="4">
        <f t="shared" ca="1" si="76"/>
        <v>-38.579406670017079</v>
      </c>
      <c r="S525" s="4">
        <f t="shared" ca="1" si="77"/>
        <v>-18.923403662521345</v>
      </c>
    </row>
    <row r="526" spans="15:19" x14ac:dyDescent="0.2">
      <c r="O526" s="4">
        <f t="shared" ca="1" si="73"/>
        <v>0.37708586127652455</v>
      </c>
      <c r="P526" s="4">
        <f t="shared" ca="1" si="74"/>
        <v>-0.31314339339510688</v>
      </c>
      <c r="Q526" s="4">
        <f t="shared" ca="1" si="75"/>
        <v>1932.7509493635698</v>
      </c>
      <c r="R526" s="4">
        <f t="shared" ca="1" si="76"/>
        <v>9.0809053635698547</v>
      </c>
      <c r="S526" s="4">
        <f t="shared" ca="1" si="77"/>
        <v>4.6304113269834763</v>
      </c>
    </row>
    <row r="527" spans="15:19" x14ac:dyDescent="0.2">
      <c r="O527" s="4">
        <f t="shared" ca="1" si="73"/>
        <v>5.9258788164612386E-2</v>
      </c>
      <c r="P527" s="4">
        <f t="shared" ca="1" si="74"/>
        <v>-1.5610261698118353</v>
      </c>
      <c r="Q527" s="4">
        <f t="shared" ca="1" si="75"/>
        <v>1970.5555026703721</v>
      </c>
      <c r="R527" s="4">
        <f t="shared" ca="1" si="76"/>
        <v>46.885458670372145</v>
      </c>
      <c r="S527" s="4">
        <f t="shared" ca="1" si="77"/>
        <v>24.628716810316096</v>
      </c>
    </row>
    <row r="528" spans="15:19" x14ac:dyDescent="0.2">
      <c r="O528" s="4">
        <f t="shared" ca="1" si="73"/>
        <v>0.211282912105767</v>
      </c>
      <c r="P528" s="4">
        <f t="shared" ca="1" si="74"/>
        <v>-0.80197775827741258</v>
      </c>
      <c r="Q528" s="4">
        <f t="shared" ca="1" si="75"/>
        <v>1947.5601647439241</v>
      </c>
      <c r="R528" s="4">
        <f t="shared" ca="1" si="76"/>
        <v>23.890120743924172</v>
      </c>
      <c r="S528" s="4">
        <f t="shared" ca="1" si="77"/>
        <v>12.325742944542583</v>
      </c>
    </row>
    <row r="529" spans="15:19" x14ac:dyDescent="0.2">
      <c r="O529" s="4">
        <f t="shared" ca="1" si="73"/>
        <v>0.35858570221638497</v>
      </c>
      <c r="P529" s="4">
        <f t="shared" ca="1" si="74"/>
        <v>-0.36224172138354477</v>
      </c>
      <c r="Q529" s="4">
        <f t="shared" ca="1" si="75"/>
        <v>1934.2383810300628</v>
      </c>
      <c r="R529" s="4">
        <f t="shared" ca="1" si="76"/>
        <v>10.568337030062821</v>
      </c>
      <c r="S529" s="4">
        <f t="shared" ca="1" si="77"/>
        <v>5.3952611795497205</v>
      </c>
    </row>
    <row r="530" spans="15:19" x14ac:dyDescent="0.2">
      <c r="O530" s="4">
        <f t="shared" ca="1" si="73"/>
        <v>0.35703887907920906</v>
      </c>
      <c r="P530" s="4">
        <f t="shared" ca="1" si="74"/>
        <v>-0.36638507087901112</v>
      </c>
      <c r="Q530" s="4">
        <f t="shared" ca="1" si="75"/>
        <v>1934.3639036190673</v>
      </c>
      <c r="R530" s="4">
        <f t="shared" ca="1" si="76"/>
        <v>10.693859619067325</v>
      </c>
      <c r="S530" s="4">
        <f t="shared" ca="1" si="77"/>
        <v>5.4598883649316035</v>
      </c>
    </row>
    <row r="531" spans="15:19" x14ac:dyDescent="0.2">
      <c r="O531" s="4">
        <f t="shared" ca="1" si="73"/>
        <v>0.23958261292456429</v>
      </c>
      <c r="P531" s="4">
        <f t="shared" ca="1" si="74"/>
        <v>-0.70764582832451406</v>
      </c>
      <c r="Q531" s="4">
        <f t="shared" ca="1" si="75"/>
        <v>1944.702383114244</v>
      </c>
      <c r="R531" s="4">
        <f t="shared" ca="1" si="76"/>
        <v>21.032339114243996</v>
      </c>
      <c r="S531" s="4">
        <f t="shared" ca="1" si="77"/>
        <v>10.826846922515593</v>
      </c>
    </row>
    <row r="532" spans="15:19" x14ac:dyDescent="0.2">
      <c r="O532" s="4">
        <f t="shared" ca="1" si="73"/>
        <v>0.80597135736594894</v>
      </c>
      <c r="P532" s="4">
        <f t="shared" ca="1" si="74"/>
        <v>0.86314584345912293</v>
      </c>
      <c r="Q532" s="4">
        <f t="shared" ca="1" si="75"/>
        <v>1897.1153191591318</v>
      </c>
      <c r="R532" s="4">
        <f t="shared" ca="1" si="76"/>
        <v>-26.554724840868175</v>
      </c>
      <c r="S532" s="4">
        <f t="shared" ca="1" si="77"/>
        <v>-13.155215562276611</v>
      </c>
    </row>
    <row r="533" spans="15:19" x14ac:dyDescent="0.2">
      <c r="O533" s="4">
        <f t="shared" ca="1" si="73"/>
        <v>9.8789794592815339E-2</v>
      </c>
      <c r="P533" s="4">
        <f t="shared" ca="1" si="74"/>
        <v>-1.2884780950268262</v>
      </c>
      <c r="Q533" s="4">
        <f t="shared" ca="1" si="75"/>
        <v>1962.298670845621</v>
      </c>
      <c r="R533" s="4">
        <f t="shared" ca="1" si="76"/>
        <v>38.628626845621056</v>
      </c>
      <c r="S533" s="4">
        <f t="shared" ca="1" si="77"/>
        <v>20.161606090092032</v>
      </c>
    </row>
    <row r="534" spans="15:19" x14ac:dyDescent="0.2">
      <c r="O534" s="4">
        <f t="shared" ca="1" si="73"/>
        <v>0.42198305995107721</v>
      </c>
      <c r="P534" s="4">
        <f t="shared" ca="1" si="74"/>
        <v>-0.19682291293795692</v>
      </c>
      <c r="Q534" s="4">
        <f t="shared" ca="1" si="75"/>
        <v>1929.2270255726328</v>
      </c>
      <c r="R534" s="4">
        <f t="shared" ca="1" si="76"/>
        <v>5.5569815726328216</v>
      </c>
      <c r="S534" s="4">
        <f t="shared" ca="1" si="77"/>
        <v>2.8255688178583012</v>
      </c>
    </row>
    <row r="535" spans="15:19" x14ac:dyDescent="0.2">
      <c r="O535" s="4">
        <f t="shared" ca="1" si="73"/>
        <v>0.12715603172648082</v>
      </c>
      <c r="P535" s="4">
        <f t="shared" ca="1" si="74"/>
        <v>-1.1399381650120508</v>
      </c>
      <c r="Q535" s="4">
        <f t="shared" ca="1" si="75"/>
        <v>1957.7986602608471</v>
      </c>
      <c r="R535" s="4">
        <f t="shared" ca="1" si="76"/>
        <v>34.128616260847139</v>
      </c>
      <c r="S535" s="4">
        <f t="shared" ca="1" si="77"/>
        <v>17.750378785629877</v>
      </c>
    </row>
    <row r="536" spans="15:19" x14ac:dyDescent="0.2">
      <c r="O536" s="4">
        <f t="shared" ca="1" si="73"/>
        <v>0.20472724769560879</v>
      </c>
      <c r="P536" s="4">
        <f t="shared" ca="1" si="74"/>
        <v>-0.82485398120613396</v>
      </c>
      <c r="Q536" s="4">
        <f t="shared" ca="1" si="75"/>
        <v>1948.2531989018682</v>
      </c>
      <c r="R536" s="4">
        <f t="shared" ca="1" si="76"/>
        <v>24.583154901868284</v>
      </c>
      <c r="S536" s="4">
        <f t="shared" ca="1" si="77"/>
        <v>12.690238558800331</v>
      </c>
    </row>
    <row r="537" spans="15:19" x14ac:dyDescent="0.2">
      <c r="O537" s="4">
        <f t="shared" ca="1" si="73"/>
        <v>0.88887397000515189</v>
      </c>
      <c r="P537" s="4">
        <f t="shared" ca="1" si="74"/>
        <v>1.2205615814110502</v>
      </c>
      <c r="Q537" s="4">
        <f t="shared" ca="1" si="75"/>
        <v>1886.2874252467782</v>
      </c>
      <c r="R537" s="4">
        <f t="shared" ca="1" si="76"/>
        <v>-37.382618753221777</v>
      </c>
      <c r="S537" s="4">
        <f t="shared" ca="1" si="77"/>
        <v>-18.354584736660236</v>
      </c>
    </row>
    <row r="538" spans="15:19" x14ac:dyDescent="0.2">
      <c r="O538" s="4">
        <f t="shared" ca="1" si="73"/>
        <v>0.51398634842710367</v>
      </c>
      <c r="P538" s="4">
        <f t="shared" ca="1" si="74"/>
        <v>3.5065761288833888E-2</v>
      </c>
      <c r="Q538" s="4">
        <f t="shared" ca="1" si="75"/>
        <v>1922.2019684825566</v>
      </c>
      <c r="R538" s="4">
        <f t="shared" ca="1" si="76"/>
        <v>-1.4680755174433671</v>
      </c>
      <c r="S538" s="4">
        <f t="shared" ca="1" si="77"/>
        <v>-0.74227687238221851</v>
      </c>
    </row>
    <row r="539" spans="15:19" x14ac:dyDescent="0.2">
      <c r="O539" s="4">
        <f t="shared" ca="1" si="73"/>
        <v>0.9597926079835476</v>
      </c>
      <c r="P539" s="4">
        <f t="shared" ca="1" si="74"/>
        <v>1.7482844527126757</v>
      </c>
      <c r="Q539" s="4">
        <f t="shared" ca="1" si="75"/>
        <v>1870.300084291061</v>
      </c>
      <c r="R539" s="4">
        <f t="shared" ca="1" si="76"/>
        <v>-53.36995970893895</v>
      </c>
      <c r="S539" s="4">
        <f t="shared" ca="1" si="77"/>
        <v>-25.856919671153353</v>
      </c>
    </row>
    <row r="540" spans="15:19" x14ac:dyDescent="0.2">
      <c r="O540" s="4">
        <f t="shared" ca="1" si="73"/>
        <v>0.59610236306277664</v>
      </c>
      <c r="P540" s="4">
        <f t="shared" ca="1" si="74"/>
        <v>0.24327125101332078</v>
      </c>
      <c r="Q540" s="4">
        <f t="shared" ca="1" si="75"/>
        <v>1915.8943924154678</v>
      </c>
      <c r="R540" s="4">
        <f t="shared" ca="1" si="76"/>
        <v>-7.7756515845321701</v>
      </c>
      <c r="S540" s="4">
        <f t="shared" ca="1" si="77"/>
        <v>-3.9114992800935506</v>
      </c>
    </row>
    <row r="541" spans="15:19" x14ac:dyDescent="0.2">
      <c r="O541" s="4">
        <f t="shared" ca="1" si="73"/>
        <v>0.74494109980148648</v>
      </c>
      <c r="P541" s="4">
        <f t="shared" ca="1" si="74"/>
        <v>0.65865427685830213</v>
      </c>
      <c r="Q541" s="4">
        <f t="shared" ca="1" si="75"/>
        <v>1903.3103820900833</v>
      </c>
      <c r="R541" s="4">
        <f t="shared" ca="1" si="76"/>
        <v>-20.359661909916667</v>
      </c>
      <c r="S541" s="4">
        <f t="shared" ca="1" si="77"/>
        <v>-10.137523640535475</v>
      </c>
    </row>
    <row r="542" spans="15:19" x14ac:dyDescent="0.2">
      <c r="O542" s="4">
        <f t="shared" ca="1" si="73"/>
        <v>0.51562577172414459</v>
      </c>
      <c r="P542" s="4">
        <f t="shared" ca="1" si="74"/>
        <v>3.9178021413746787E-2</v>
      </c>
      <c r="Q542" s="4">
        <f t="shared" ca="1" si="75"/>
        <v>1922.0773877446525</v>
      </c>
      <c r="R542" s="4">
        <f t="shared" ca="1" si="76"/>
        <v>-1.5926562553474923</v>
      </c>
      <c r="S542" s="4">
        <f t="shared" ca="1" si="77"/>
        <v>-0.80518564332282316</v>
      </c>
    </row>
    <row r="543" spans="15:19" x14ac:dyDescent="0.2">
      <c r="O543" s="4">
        <f t="shared" ca="1" si="73"/>
        <v>0.5766825674322531</v>
      </c>
      <c r="P543" s="4">
        <f t="shared" ca="1" si="74"/>
        <v>0.19341385556701338</v>
      </c>
      <c r="Q543" s="4">
        <f t="shared" ca="1" si="75"/>
        <v>1917.4048199968954</v>
      </c>
      <c r="R543" s="4">
        <f t="shared" ca="1" si="76"/>
        <v>-6.2652240031045494</v>
      </c>
      <c r="S543" s="4">
        <f t="shared" ca="1" si="77"/>
        <v>-3.1555390563821337</v>
      </c>
    </row>
    <row r="544" spans="15:19" x14ac:dyDescent="0.2">
      <c r="O544" s="4">
        <f t="shared" ca="1" si="73"/>
        <v>0.36018842897660341</v>
      </c>
      <c r="P544" s="4">
        <f t="shared" ca="1" si="74"/>
        <v>-0.3579551763721659</v>
      </c>
      <c r="Q544" s="4">
        <f t="shared" ca="1" si="75"/>
        <v>1934.1085203392615</v>
      </c>
      <c r="R544" s="4">
        <f t="shared" ca="1" si="76"/>
        <v>10.43847633926157</v>
      </c>
      <c r="S544" s="4">
        <f t="shared" ca="1" si="77"/>
        <v>5.3284139576146217</v>
      </c>
    </row>
    <row r="545" spans="15:19" x14ac:dyDescent="0.2">
      <c r="O545" s="4">
        <f t="shared" ca="1" si="73"/>
        <v>0.19082454967811924</v>
      </c>
      <c r="P545" s="4">
        <f t="shared" ca="1" si="74"/>
        <v>-0.87486181267387664</v>
      </c>
      <c r="Q545" s="4">
        <f t="shared" ca="1" si="75"/>
        <v>1949.7681839358861</v>
      </c>
      <c r="R545" s="4">
        <f t="shared" ca="1" si="76"/>
        <v>26.098139935886138</v>
      </c>
      <c r="S545" s="4">
        <f t="shared" ca="1" si="77"/>
        <v>13.488394168499957</v>
      </c>
    </row>
    <row r="546" spans="15:19" x14ac:dyDescent="0.2">
      <c r="O546" s="4">
        <f t="shared" ca="1" si="73"/>
        <v>0.25180417565446234</v>
      </c>
      <c r="P546" s="4">
        <f t="shared" ca="1" si="74"/>
        <v>-0.66882306560191607</v>
      </c>
      <c r="Q546" s="4">
        <f t="shared" ca="1" si="75"/>
        <v>1943.5262492412546</v>
      </c>
      <c r="R546" s="4">
        <f t="shared" ca="1" si="76"/>
        <v>19.856205241254656</v>
      </c>
      <c r="S546" s="4">
        <f t="shared" ca="1" si="77"/>
        <v>10.211900313167323</v>
      </c>
    </row>
    <row r="547" spans="15:19" x14ac:dyDescent="0.2">
      <c r="O547" s="4">
        <f t="shared" ca="1" si="73"/>
        <v>0.24979261651586315</v>
      </c>
      <c r="P547" s="4">
        <f t="shared" ca="1" si="74"/>
        <v>-0.67514250176069968</v>
      </c>
      <c r="Q547" s="4">
        <f t="shared" ca="1" si="75"/>
        <v>1943.7176962791082</v>
      </c>
      <c r="R547" s="4">
        <f t="shared" ca="1" si="76"/>
        <v>20.047652279108206</v>
      </c>
      <c r="S547" s="4">
        <f t="shared" ca="1" si="77"/>
        <v>10.311922474238422</v>
      </c>
    </row>
    <row r="548" spans="15:19" x14ac:dyDescent="0.2">
      <c r="O548" s="4">
        <f t="shared" ca="1" si="73"/>
        <v>0.83666945810871429</v>
      </c>
      <c r="P548" s="4">
        <f t="shared" ca="1" si="74"/>
        <v>0.98086142221588046</v>
      </c>
      <c r="Q548" s="4">
        <f t="shared" ca="1" si="75"/>
        <v>1893.5491309271492</v>
      </c>
      <c r="R548" s="4">
        <f t="shared" ca="1" si="76"/>
        <v>-30.120913072850726</v>
      </c>
      <c r="S548" s="4">
        <f t="shared" ca="1" si="77"/>
        <v>-14.878179775017308</v>
      </c>
    </row>
    <row r="549" spans="15:19" x14ac:dyDescent="0.2">
      <c r="O549" s="4">
        <f t="shared" ca="1" si="73"/>
        <v>0.87039402514273301</v>
      </c>
      <c r="P549" s="4">
        <f t="shared" ca="1" si="74"/>
        <v>1.1282556925296605</v>
      </c>
      <c r="Q549" s="4">
        <f t="shared" ca="1" si="75"/>
        <v>1889.0838280521509</v>
      </c>
      <c r="R549" s="4">
        <f t="shared" ca="1" si="76"/>
        <v>-34.586215947849041</v>
      </c>
      <c r="S549" s="4">
        <f t="shared" ca="1" si="77"/>
        <v>-17.020942495486324</v>
      </c>
    </row>
    <row r="550" spans="15:19" x14ac:dyDescent="0.2">
      <c r="O550" s="4">
        <f t="shared" ca="1" si="73"/>
        <v>0.86708929568914084</v>
      </c>
      <c r="P550" s="4">
        <f t="shared" ca="1" si="74"/>
        <v>1.1127369793292325</v>
      </c>
      <c r="Q550" s="4">
        <f t="shared" ca="1" si="75"/>
        <v>1889.5539667795426</v>
      </c>
      <c r="R550" s="4">
        <f t="shared" ca="1" si="76"/>
        <v>-34.116077220457328</v>
      </c>
      <c r="S550" s="4">
        <f t="shared" ca="1" si="77"/>
        <v>-16.796101843412657</v>
      </c>
    </row>
    <row r="551" spans="15:19" x14ac:dyDescent="0.2">
      <c r="O551" s="4">
        <f t="shared" ca="1" si="73"/>
        <v>0.14266805559749129</v>
      </c>
      <c r="P551" s="4">
        <f t="shared" ca="1" si="74"/>
        <v>-1.0684088843228126</v>
      </c>
      <c r="Q551" s="4">
        <f t="shared" ca="1" si="75"/>
        <v>1955.631683878195</v>
      </c>
      <c r="R551" s="4">
        <f t="shared" ca="1" si="76"/>
        <v>31.961639878195001</v>
      </c>
      <c r="S551" s="4">
        <f t="shared" ca="1" si="77"/>
        <v>16.595135279328627</v>
      </c>
    </row>
    <row r="552" spans="15:19" x14ac:dyDescent="0.2">
      <c r="O552" s="4">
        <f t="shared" ca="1" si="73"/>
        <v>0.56702542100659203</v>
      </c>
      <c r="P552" s="4">
        <f t="shared" ca="1" si="74"/>
        <v>0.16880610266140794</v>
      </c>
      <c r="Q552" s="4">
        <f t="shared" ca="1" si="75"/>
        <v>1918.1503107786114</v>
      </c>
      <c r="R552" s="4">
        <f t="shared" ca="1" si="76"/>
        <v>-5.5197332213886057</v>
      </c>
      <c r="S552" s="4">
        <f t="shared" ca="1" si="77"/>
        <v>-2.7817406586821196</v>
      </c>
    </row>
    <row r="553" spans="15:19" x14ac:dyDescent="0.2">
      <c r="O553" s="4">
        <f t="shared" ca="1" si="73"/>
        <v>0.28997969539589163</v>
      </c>
      <c r="P553" s="4">
        <f t="shared" ca="1" si="74"/>
        <v>-0.55344403797879327</v>
      </c>
      <c r="Q553" s="4">
        <f t="shared" ca="1" si="75"/>
        <v>1940.0308467221248</v>
      </c>
      <c r="R553" s="4">
        <f t="shared" ca="1" si="76"/>
        <v>16.360802722124845</v>
      </c>
      <c r="S553" s="4">
        <f t="shared" ca="1" si="77"/>
        <v>8.3909611978578535</v>
      </c>
    </row>
    <row r="554" spans="15:19" x14ac:dyDescent="0.2">
      <c r="O554" s="4">
        <f t="shared" ca="1" si="73"/>
        <v>0.13800351127717037</v>
      </c>
      <c r="P554" s="4">
        <f t="shared" ca="1" si="74"/>
        <v>-1.0893330971879425</v>
      </c>
      <c r="Q554" s="4">
        <f t="shared" ca="1" si="75"/>
        <v>1956.26558197793</v>
      </c>
      <c r="R554" s="4">
        <f t="shared" ca="1" si="76"/>
        <v>32.595537977930007</v>
      </c>
      <c r="S554" s="4">
        <f t="shared" ca="1" si="77"/>
        <v>16.932679066941837</v>
      </c>
    </row>
    <row r="555" spans="15:19" x14ac:dyDescent="0.2">
      <c r="O555" s="4">
        <f t="shared" ca="1" si="73"/>
        <v>0.85751309006119936</v>
      </c>
      <c r="P555" s="4">
        <f t="shared" ca="1" si="74"/>
        <v>1.0692127388018771</v>
      </c>
      <c r="Q555" s="4">
        <f t="shared" ca="1" si="75"/>
        <v>1890.8725317138862</v>
      </c>
      <c r="R555" s="4">
        <f t="shared" ca="1" si="76"/>
        <v>-32.797512286113715</v>
      </c>
      <c r="S555" s="4">
        <f t="shared" ca="1" si="77"/>
        <v>-16.164547040700349</v>
      </c>
    </row>
    <row r="556" spans="15:19" x14ac:dyDescent="0.2">
      <c r="O556" s="4">
        <f t="shared" ca="1" si="73"/>
        <v>0.23144106191692848</v>
      </c>
      <c r="P556" s="4">
        <f t="shared" ca="1" si="74"/>
        <v>-0.73410930345245373</v>
      </c>
      <c r="Q556" s="4">
        <f t="shared" ca="1" si="75"/>
        <v>1945.5040929182931</v>
      </c>
      <c r="R556" s="4">
        <f t="shared" ca="1" si="76"/>
        <v>21.834048918293092</v>
      </c>
      <c r="S556" s="4">
        <f t="shared" ca="1" si="77"/>
        <v>11.246669783281192</v>
      </c>
    </row>
    <row r="557" spans="15:19" x14ac:dyDescent="0.2">
      <c r="O557" s="4">
        <f t="shared" ca="1" si="73"/>
        <v>0.88809687167272244</v>
      </c>
      <c r="P557" s="4">
        <f t="shared" ca="1" si="74"/>
        <v>1.2164691484078023</v>
      </c>
      <c r="Q557" s="4">
        <f t="shared" ca="1" si="75"/>
        <v>1886.4114053229114</v>
      </c>
      <c r="R557" s="4">
        <f t="shared" ca="1" si="76"/>
        <v>-37.258638677088584</v>
      </c>
      <c r="S557" s="4">
        <f t="shared" ca="1" si="77"/>
        <v>-18.295591838078408</v>
      </c>
    </row>
    <row r="558" spans="15:19" x14ac:dyDescent="0.2">
      <c r="O558" s="4">
        <f t="shared" ca="1" si="73"/>
        <v>0.3340097999430619</v>
      </c>
      <c r="P558" s="4">
        <f t="shared" ca="1" si="74"/>
        <v>-0.42886757289801791</v>
      </c>
      <c r="Q558" s="4">
        <f t="shared" ca="1" si="75"/>
        <v>1936.256808243573</v>
      </c>
      <c r="R558" s="4">
        <f t="shared" ca="1" si="76"/>
        <v>12.586764243573043</v>
      </c>
      <c r="S558" s="4">
        <f t="shared" ca="1" si="77"/>
        <v>6.4360339535501785</v>
      </c>
    </row>
    <row r="559" spans="15:19" x14ac:dyDescent="0.2">
      <c r="O559" s="4">
        <f t="shared" ca="1" si="73"/>
        <v>0.9586985186690925</v>
      </c>
      <c r="P559" s="4">
        <f t="shared" ca="1" si="74"/>
        <v>1.7357787511329561</v>
      </c>
      <c r="Q559" s="4">
        <f t="shared" ca="1" si="75"/>
        <v>1870.678943965178</v>
      </c>
      <c r="R559" s="4">
        <f t="shared" ca="1" si="76"/>
        <v>-52.991100034822011</v>
      </c>
      <c r="S559" s="4">
        <f t="shared" ca="1" si="77"/>
        <v>-25.681540420723294</v>
      </c>
    </row>
    <row r="560" spans="15:19" x14ac:dyDescent="0.2">
      <c r="O560" s="4">
        <f t="shared" ca="1" si="73"/>
        <v>0.18988091001451612</v>
      </c>
      <c r="P560" s="4">
        <f t="shared" ca="1" si="74"/>
        <v>-0.87833523454278106</v>
      </c>
      <c r="Q560" s="4">
        <f t="shared" ca="1" si="75"/>
        <v>1949.8734110971882</v>
      </c>
      <c r="R560" s="4">
        <f t="shared" ca="1" si="76"/>
        <v>26.20336709718822</v>
      </c>
      <c r="S560" s="4">
        <f t="shared" ca="1" si="77"/>
        <v>13.543901509648268</v>
      </c>
    </row>
    <row r="561" spans="15:19" x14ac:dyDescent="0.2">
      <c r="O561" s="4">
        <f t="shared" ca="1" si="73"/>
        <v>0.42413772900346447</v>
      </c>
      <c r="P561" s="4">
        <f t="shared" ca="1" si="74"/>
        <v>-0.19131927849048044</v>
      </c>
      <c r="Q561" s="4">
        <f t="shared" ca="1" si="75"/>
        <v>1929.0602932114025</v>
      </c>
      <c r="R561" s="4">
        <f t="shared" ca="1" si="76"/>
        <v>5.3902492114025335</v>
      </c>
      <c r="S561" s="4">
        <f t="shared" ca="1" si="77"/>
        <v>2.7404242572625352</v>
      </c>
    </row>
    <row r="562" spans="15:19" x14ac:dyDescent="0.2">
      <c r="O562" s="4">
        <f t="shared" ca="1" si="73"/>
        <v>0.2000121459209111</v>
      </c>
      <c r="P562" s="4">
        <f t="shared" ca="1" si="74"/>
        <v>-0.84157785017577158</v>
      </c>
      <c r="Q562" s="4">
        <f t="shared" ca="1" si="75"/>
        <v>1948.7598477697807</v>
      </c>
      <c r="R562" s="4">
        <f t="shared" ca="1" si="76"/>
        <v>25.089803769780701</v>
      </c>
      <c r="S562" s="4">
        <f t="shared" ca="1" si="77"/>
        <v>12.95695378705059</v>
      </c>
    </row>
    <row r="563" spans="15:19" x14ac:dyDescent="0.2">
      <c r="O563" s="4">
        <f t="shared" ca="1" si="73"/>
        <v>0.4670391370954865</v>
      </c>
      <c r="P563" s="4">
        <f t="shared" ca="1" si="74"/>
        <v>-8.271485321111699E-2</v>
      </c>
      <c r="Q563" s="4">
        <f t="shared" ca="1" si="75"/>
        <v>1925.7701269694917</v>
      </c>
      <c r="R563" s="4">
        <f t="shared" ca="1" si="76"/>
        <v>2.1000829694917229</v>
      </c>
      <c r="S563" s="4">
        <f t="shared" ca="1" si="77"/>
        <v>1.0648778864112864</v>
      </c>
    </row>
    <row r="564" spans="15:19" x14ac:dyDescent="0.2">
      <c r="O564" s="4">
        <f t="shared" ca="1" si="73"/>
        <v>0.66861427558409925</v>
      </c>
      <c r="P564" s="4">
        <f t="shared" ca="1" si="74"/>
        <v>0.43608997717236819</v>
      </c>
      <c r="Q564" s="4">
        <f t="shared" ca="1" si="75"/>
        <v>1910.0529576674373</v>
      </c>
      <c r="R564" s="4">
        <f t="shared" ca="1" si="76"/>
        <v>-13.617086332562621</v>
      </c>
      <c r="S564" s="4">
        <f t="shared" ca="1" si="77"/>
        <v>-6.8176216520756174</v>
      </c>
    </row>
    <row r="565" spans="15:19" x14ac:dyDescent="0.2">
      <c r="O565" s="4">
        <f t="shared" ca="1" si="73"/>
        <v>0.13376899053628166</v>
      </c>
      <c r="P565" s="4">
        <f t="shared" ca="1" si="74"/>
        <v>-1.1087501495549112</v>
      </c>
      <c r="Q565" s="4">
        <f t="shared" ca="1" si="75"/>
        <v>1956.8538207172896</v>
      </c>
      <c r="R565" s="4">
        <f t="shared" ca="1" si="76"/>
        <v>33.183776717289675</v>
      </c>
      <c r="S565" s="4">
        <f t="shared" ca="1" si="77"/>
        <v>17.246202391213881</v>
      </c>
    </row>
    <row r="566" spans="15:19" x14ac:dyDescent="0.2">
      <c r="O566" s="4">
        <f t="shared" ca="1" si="73"/>
        <v>0.18508700602768791</v>
      </c>
      <c r="P566" s="4">
        <f t="shared" ca="1" si="74"/>
        <v>-0.89614746024567005</v>
      </c>
      <c r="Q566" s="4">
        <f t="shared" ca="1" si="75"/>
        <v>1950.4130316840124</v>
      </c>
      <c r="R566" s="4">
        <f t="shared" ca="1" si="76"/>
        <v>26.742987684012405</v>
      </c>
      <c r="S566" s="4">
        <f t="shared" ca="1" si="77"/>
        <v>13.828693087891882</v>
      </c>
    </row>
    <row r="567" spans="15:19" x14ac:dyDescent="0.2">
      <c r="O567" s="4">
        <f t="shared" ca="1" si="73"/>
        <v>0.18186619345363908</v>
      </c>
      <c r="P567" s="4">
        <f t="shared" ca="1" si="74"/>
        <v>-0.90827606126341265</v>
      </c>
      <c r="Q567" s="4">
        <f t="shared" ca="1" si="75"/>
        <v>1950.7804671133472</v>
      </c>
      <c r="R567" s="4">
        <f t="shared" ca="1" si="76"/>
        <v>27.110423113347224</v>
      </c>
      <c r="S567" s="4">
        <f t="shared" ca="1" si="77"/>
        <v>14.02274744503589</v>
      </c>
    </row>
    <row r="568" spans="15:19" x14ac:dyDescent="0.2">
      <c r="O568" s="4">
        <f t="shared" ca="1" si="73"/>
        <v>0.55590382887200296</v>
      </c>
      <c r="P568" s="4">
        <f t="shared" ca="1" si="74"/>
        <v>0.14059190668931656</v>
      </c>
      <c r="Q568" s="4">
        <f t="shared" ca="1" si="75"/>
        <v>1919.0050585929037</v>
      </c>
      <c r="R568" s="4">
        <f t="shared" ca="1" si="76"/>
        <v>-4.6649854070963102</v>
      </c>
      <c r="S568" s="4">
        <f t="shared" ca="1" si="77"/>
        <v>-2.3526026295053217</v>
      </c>
    </row>
    <row r="569" spans="15:19" x14ac:dyDescent="0.2">
      <c r="O569" s="4">
        <f t="shared" ca="1" si="73"/>
        <v>0.42158854707519344</v>
      </c>
      <c r="P569" s="4">
        <f t="shared" ca="1" si="74"/>
        <v>-0.19783125157419018</v>
      </c>
      <c r="Q569" s="4">
        <f t="shared" ca="1" si="75"/>
        <v>1929.2575731468485</v>
      </c>
      <c r="R569" s="4">
        <f t="shared" ca="1" si="76"/>
        <v>5.5875291468485102</v>
      </c>
      <c r="S569" s="4">
        <f t="shared" ca="1" si="77"/>
        <v>2.841170880875636</v>
      </c>
    </row>
    <row r="570" spans="15:19" x14ac:dyDescent="0.2">
      <c r="O570" s="4">
        <f t="shared" ca="1" si="73"/>
        <v>0.60591980537263068</v>
      </c>
      <c r="P570" s="4">
        <f t="shared" ca="1" si="74"/>
        <v>0.26870021118763854</v>
      </c>
      <c r="Q570" s="4">
        <f t="shared" ca="1" si="75"/>
        <v>1915.1240231960073</v>
      </c>
      <c r="R570" s="4">
        <f t="shared" ca="1" si="76"/>
        <v>-8.5460208039926329</v>
      </c>
      <c r="S570" s="4">
        <f t="shared" ca="1" si="77"/>
        <v>-4.2963493526481331</v>
      </c>
    </row>
    <row r="571" spans="15:19" x14ac:dyDescent="0.2">
      <c r="O571" s="4">
        <f t="shared" ca="1" si="73"/>
        <v>0.10174299323558966</v>
      </c>
      <c r="P571" s="4">
        <f t="shared" ca="1" si="74"/>
        <v>-1.2716823998214339</v>
      </c>
      <c r="Q571" s="4">
        <f t="shared" ca="1" si="75"/>
        <v>1961.7898460050856</v>
      </c>
      <c r="R571" s="4">
        <f t="shared" ca="1" si="76"/>
        <v>38.119802005085603</v>
      </c>
      <c r="S571" s="4">
        <f t="shared" ca="1" si="77"/>
        <v>19.88813730517462</v>
      </c>
    </row>
    <row r="572" spans="15:19" x14ac:dyDescent="0.2">
      <c r="O572" s="4">
        <f t="shared" ca="1" si="73"/>
        <v>0.16563170679764616</v>
      </c>
      <c r="P572" s="4">
        <f t="shared" ca="1" si="74"/>
        <v>-0.97157220940920397</v>
      </c>
      <c r="Q572" s="4">
        <f t="shared" ca="1" si="75"/>
        <v>1952.6980211111384</v>
      </c>
      <c r="R572" s="4">
        <f t="shared" ca="1" si="76"/>
        <v>29.027977111138398</v>
      </c>
      <c r="S572" s="4">
        <f t="shared" ca="1" si="77"/>
        <v>15.037252417426552</v>
      </c>
    </row>
    <row r="573" spans="15:19" x14ac:dyDescent="0.2">
      <c r="O573" s="4">
        <f t="shared" ca="1" si="73"/>
        <v>0.62041407084785694</v>
      </c>
      <c r="P573" s="4">
        <f t="shared" ca="1" si="74"/>
        <v>0.30656846694316403</v>
      </c>
      <c r="Q573" s="4">
        <f t="shared" ca="1" si="75"/>
        <v>1913.9768060692061</v>
      </c>
      <c r="R573" s="4">
        <f t="shared" ca="1" si="76"/>
        <v>-9.6932379307938845</v>
      </c>
      <c r="S573" s="4">
        <f t="shared" ca="1" si="77"/>
        <v>-4.8685642238817257</v>
      </c>
    </row>
    <row r="574" spans="15:19" x14ac:dyDescent="0.2">
      <c r="O574" s="4">
        <f t="shared" ca="1" si="73"/>
        <v>0.50718999731007475</v>
      </c>
      <c r="P574" s="4">
        <f t="shared" ca="1" si="74"/>
        <v>1.8023626336898607E-2</v>
      </c>
      <c r="Q574" s="4">
        <f t="shared" ca="1" si="75"/>
        <v>1922.7182592042716</v>
      </c>
      <c r="R574" s="4">
        <f t="shared" ca="1" si="76"/>
        <v>-0.95178479572837205</v>
      </c>
      <c r="S574" s="4">
        <f t="shared" ca="1" si="77"/>
        <v>-0.48143402454955725</v>
      </c>
    </row>
    <row r="575" spans="15:19" x14ac:dyDescent="0.2">
      <c r="O575" s="4">
        <f t="shared" ca="1" si="73"/>
        <v>0.44264914535521205</v>
      </c>
      <c r="P575" s="4">
        <f t="shared" ca="1" si="74"/>
        <v>-0.14425603928151678</v>
      </c>
      <c r="Q575" s="4">
        <f t="shared" ca="1" si="75"/>
        <v>1927.6345144691275</v>
      </c>
      <c r="R575" s="4">
        <f t="shared" ca="1" si="76"/>
        <v>3.964470469127491</v>
      </c>
      <c r="S575" s="4">
        <f t="shared" ca="1" si="77"/>
        <v>2.0132517007313111</v>
      </c>
    </row>
    <row r="576" spans="15:19" x14ac:dyDescent="0.2">
      <c r="O576" s="4">
        <f t="shared" ca="1" si="73"/>
        <v>0.71001448704360293</v>
      </c>
      <c r="P576" s="4">
        <f t="shared" ca="1" si="74"/>
        <v>0.55342704220014416</v>
      </c>
      <c r="Q576" s="4">
        <f t="shared" ca="1" si="75"/>
        <v>1906.4982364920688</v>
      </c>
      <c r="R576" s="4">
        <f t="shared" ca="1" si="76"/>
        <v>-17.171807507931135</v>
      </c>
      <c r="S576" s="4">
        <f t="shared" ca="1" si="77"/>
        <v>-8.5725042580395243</v>
      </c>
    </row>
    <row r="577" spans="15:19" x14ac:dyDescent="0.2">
      <c r="O577" s="4">
        <f t="shared" ca="1" si="73"/>
        <v>0.1923312576818661</v>
      </c>
      <c r="P577" s="4">
        <f t="shared" ca="1" si="74"/>
        <v>-0.86933757689426905</v>
      </c>
      <c r="Q577" s="4">
        <f t="shared" ca="1" si="75"/>
        <v>1949.6008274582132</v>
      </c>
      <c r="R577" s="4">
        <f t="shared" ca="1" si="76"/>
        <v>25.930783458213227</v>
      </c>
      <c r="S577" s="4">
        <f t="shared" ca="1" si="77"/>
        <v>13.400132174902453</v>
      </c>
    </row>
    <row r="578" spans="15:19" x14ac:dyDescent="0.2">
      <c r="O578" s="4">
        <f t="shared" ca="1" si="73"/>
        <v>7.2949274267355091E-2</v>
      </c>
      <c r="P578" s="4">
        <f t="shared" ca="1" si="74"/>
        <v>-1.4541722787925522</v>
      </c>
      <c r="Q578" s="4">
        <f t="shared" ca="1" si="75"/>
        <v>1967.3183687861481</v>
      </c>
      <c r="R578" s="4">
        <f t="shared" ca="1" si="76"/>
        <v>43.648324786148123</v>
      </c>
      <c r="S578" s="4">
        <f t="shared" ca="1" si="77"/>
        <v>22.870748161633681</v>
      </c>
    </row>
    <row r="579" spans="15:19" x14ac:dyDescent="0.2">
      <c r="O579" s="4">
        <f t="shared" ref="O579:O642" ca="1" si="78">RAND()</f>
        <v>0.33545529024324949</v>
      </c>
      <c r="P579" s="4">
        <f t="shared" ref="P579:P642" ca="1" si="79">NORMSINV(O579)</f>
        <v>-0.42489862029817171</v>
      </c>
      <c r="Q579" s="4">
        <f t="shared" ref="Q579:Q642" ca="1" si="80">$B$4*(1+$B$17-$B$6/SQRT(252)*P579)</f>
        <v>1936.1365690007781</v>
      </c>
      <c r="R579" s="4">
        <f t="shared" ref="R579:R642" ca="1" si="81">Q579-$B$4</f>
        <v>12.46652500077812</v>
      </c>
      <c r="S579" s="4">
        <f t="shared" ref="S579:S642" ca="1" si="82">R579*$B$12+0.5*$B$13*R579^2</f>
        <v>6.3739414204495715</v>
      </c>
    </row>
    <row r="580" spans="15:19" x14ac:dyDescent="0.2">
      <c r="O580" s="4">
        <f t="shared" ca="1" si="78"/>
        <v>0.71867597568674746</v>
      </c>
      <c r="P580" s="4">
        <f t="shared" ca="1" si="79"/>
        <v>0.57891274709780194</v>
      </c>
      <c r="Q580" s="4">
        <f t="shared" ca="1" si="80"/>
        <v>1905.7261481937339</v>
      </c>
      <c r="R580" s="4">
        <f t="shared" ca="1" si="81"/>
        <v>-17.943895806266028</v>
      </c>
      <c r="S580" s="4">
        <f t="shared" ca="1" si="82"/>
        <v>-8.9523062838991816</v>
      </c>
    </row>
    <row r="581" spans="15:19" x14ac:dyDescent="0.2">
      <c r="O581" s="4">
        <f t="shared" ca="1" si="78"/>
        <v>0.84110966776469964</v>
      </c>
      <c r="P581" s="4">
        <f t="shared" ca="1" si="79"/>
        <v>0.99902895598619434</v>
      </c>
      <c r="Q581" s="4">
        <f t="shared" ca="1" si="80"/>
        <v>1892.9987462981978</v>
      </c>
      <c r="R581" s="4">
        <f t="shared" ca="1" si="81"/>
        <v>-30.671297701802132</v>
      </c>
      <c r="S581" s="4">
        <f t="shared" ca="1" si="82"/>
        <v>-15.143169695890627</v>
      </c>
    </row>
    <row r="582" spans="15:19" x14ac:dyDescent="0.2">
      <c r="O582" s="4">
        <f t="shared" ca="1" si="78"/>
        <v>0.61176145845118179</v>
      </c>
      <c r="P582" s="4">
        <f t="shared" ca="1" si="79"/>
        <v>0.28391296165637409</v>
      </c>
      <c r="Q582" s="4">
        <f t="shared" ca="1" si="80"/>
        <v>1914.6631535959878</v>
      </c>
      <c r="R582" s="4">
        <f t="shared" ca="1" si="81"/>
        <v>-9.0068904040122106</v>
      </c>
      <c r="S582" s="4">
        <f t="shared" ca="1" si="82"/>
        <v>-4.5263530298542864</v>
      </c>
    </row>
    <row r="583" spans="15:19" x14ac:dyDescent="0.2">
      <c r="O583" s="4">
        <f t="shared" ca="1" si="78"/>
        <v>0.35309422885798081</v>
      </c>
      <c r="P583" s="4">
        <f t="shared" ca="1" si="79"/>
        <v>-0.37698001382747265</v>
      </c>
      <c r="Q583" s="4">
        <f t="shared" ca="1" si="80"/>
        <v>1934.6848769452863</v>
      </c>
      <c r="R583" s="4">
        <f t="shared" ca="1" si="81"/>
        <v>11.014832945286344</v>
      </c>
      <c r="S583" s="4">
        <f t="shared" ca="1" si="82"/>
        <v>5.625204628808727</v>
      </c>
    </row>
    <row r="584" spans="15:19" x14ac:dyDescent="0.2">
      <c r="O584" s="4">
        <f t="shared" ca="1" si="78"/>
        <v>2.8457795228314819E-2</v>
      </c>
      <c r="P584" s="4">
        <f t="shared" ca="1" si="79"/>
        <v>-1.9039584905982052</v>
      </c>
      <c r="Q584" s="4">
        <f t="shared" ca="1" si="80"/>
        <v>1980.9446221027442</v>
      </c>
      <c r="R584" s="4">
        <f t="shared" ca="1" si="81"/>
        <v>57.274578102744272</v>
      </c>
      <c r="S584" s="4">
        <f t="shared" ca="1" si="82"/>
        <v>30.32829308102097</v>
      </c>
    </row>
    <row r="585" spans="15:19" x14ac:dyDescent="0.2">
      <c r="O585" s="4">
        <f t="shared" ca="1" si="78"/>
        <v>0.51596626267513546</v>
      </c>
      <c r="P585" s="4">
        <f t="shared" ca="1" si="79"/>
        <v>4.003217531949059E-2</v>
      </c>
      <c r="Q585" s="4">
        <f t="shared" ca="1" si="80"/>
        <v>1922.0515111900015</v>
      </c>
      <c r="R585" s="4">
        <f t="shared" ca="1" si="81"/>
        <v>-1.6185328099984417</v>
      </c>
      <c r="S585" s="4">
        <f t="shared" ca="1" si="82"/>
        <v>-0.81825078352795866</v>
      </c>
    </row>
    <row r="586" spans="15:19" x14ac:dyDescent="0.2">
      <c r="O586" s="4">
        <f t="shared" ca="1" si="78"/>
        <v>0.43772232557877089</v>
      </c>
      <c r="P586" s="4">
        <f t="shared" ca="1" si="79"/>
        <v>-0.15674648369941502</v>
      </c>
      <c r="Q586" s="4">
        <f t="shared" ca="1" si="80"/>
        <v>1928.0129119282042</v>
      </c>
      <c r="R586" s="4">
        <f t="shared" ca="1" si="81"/>
        <v>4.342867928204214</v>
      </c>
      <c r="S586" s="4">
        <f t="shared" ca="1" si="82"/>
        <v>2.2060798131193748</v>
      </c>
    </row>
    <row r="587" spans="15:19" x14ac:dyDescent="0.2">
      <c r="O587" s="4">
        <f t="shared" ca="1" si="78"/>
        <v>0.86101244726189619</v>
      </c>
      <c r="P587" s="4">
        <f t="shared" ca="1" si="79"/>
        <v>1.0848793264548999</v>
      </c>
      <c r="Q587" s="4">
        <f t="shared" ca="1" si="80"/>
        <v>1890.3979131365188</v>
      </c>
      <c r="R587" s="4">
        <f t="shared" ca="1" si="81"/>
        <v>-33.272130863481152</v>
      </c>
      <c r="S587" s="4">
        <f t="shared" ca="1" si="82"/>
        <v>-16.392038785459849</v>
      </c>
    </row>
    <row r="588" spans="15:19" x14ac:dyDescent="0.2">
      <c r="O588" s="4">
        <f t="shared" ca="1" si="78"/>
        <v>0.18942314097513668</v>
      </c>
      <c r="P588" s="4">
        <f t="shared" ca="1" si="79"/>
        <v>-0.88002404849363292</v>
      </c>
      <c r="Q588" s="4">
        <f t="shared" ca="1" si="80"/>
        <v>1949.9245736408477</v>
      </c>
      <c r="R588" s="4">
        <f t="shared" ca="1" si="81"/>
        <v>26.25452964084775</v>
      </c>
      <c r="S588" s="4">
        <f t="shared" ca="1" si="82"/>
        <v>13.570893015103401</v>
      </c>
    </row>
    <row r="589" spans="15:19" x14ac:dyDescent="0.2">
      <c r="O589" s="4">
        <f t="shared" ca="1" si="78"/>
        <v>0.15641791929661697</v>
      </c>
      <c r="P589" s="4">
        <f t="shared" ca="1" si="79"/>
        <v>-1.0092894493099125</v>
      </c>
      <c r="Q589" s="4">
        <f t="shared" ca="1" si="80"/>
        <v>1953.8406632193226</v>
      </c>
      <c r="R589" s="4">
        <f t="shared" ca="1" si="81"/>
        <v>30.170619219322589</v>
      </c>
      <c r="S589" s="4">
        <f t="shared" ca="1" si="82"/>
        <v>15.643204350511148</v>
      </c>
    </row>
    <row r="590" spans="15:19" x14ac:dyDescent="0.2">
      <c r="O590" s="4">
        <f t="shared" ca="1" si="78"/>
        <v>0.98925168282418419</v>
      </c>
      <c r="P590" s="4">
        <f t="shared" ca="1" si="79"/>
        <v>2.2991462785842058</v>
      </c>
      <c r="Q590" s="4">
        <f t="shared" ca="1" si="80"/>
        <v>1853.6117497339951</v>
      </c>
      <c r="R590" s="4">
        <f t="shared" ca="1" si="81"/>
        <v>-70.05829426600485</v>
      </c>
      <c r="S590" s="4">
        <f t="shared" ca="1" si="82"/>
        <v>-33.466232010183006</v>
      </c>
    </row>
    <row r="591" spans="15:19" x14ac:dyDescent="0.2">
      <c r="O591" s="4">
        <f t="shared" ca="1" si="78"/>
        <v>0.68369557936920589</v>
      </c>
      <c r="P591" s="4">
        <f t="shared" ca="1" si="79"/>
        <v>0.47805811668445997</v>
      </c>
      <c r="Q591" s="4">
        <f t="shared" ca="1" si="80"/>
        <v>1908.781534744262</v>
      </c>
      <c r="R591" s="4">
        <f t="shared" ca="1" si="81"/>
        <v>-14.888509255737972</v>
      </c>
      <c r="S591" s="4">
        <f t="shared" ca="1" si="82"/>
        <v>-7.4464751145875425</v>
      </c>
    </row>
    <row r="592" spans="15:19" x14ac:dyDescent="0.2">
      <c r="O592" s="4">
        <f t="shared" ca="1" si="78"/>
        <v>0.17193829263732652</v>
      </c>
      <c r="P592" s="4">
        <f t="shared" ca="1" si="79"/>
        <v>-0.94653341901761245</v>
      </c>
      <c r="Q592" s="4">
        <f t="shared" ca="1" si="80"/>
        <v>1951.9394720679225</v>
      </c>
      <c r="R592" s="4">
        <f t="shared" ca="1" si="81"/>
        <v>28.26942806792249</v>
      </c>
      <c r="S592" s="4">
        <f t="shared" ca="1" si="82"/>
        <v>14.63557505608995</v>
      </c>
    </row>
    <row r="593" spans="15:19" x14ac:dyDescent="0.2">
      <c r="O593" s="4">
        <f t="shared" ca="1" si="78"/>
        <v>3.1091022285752223E-2</v>
      </c>
      <c r="P593" s="4">
        <f t="shared" ca="1" si="79"/>
        <v>-1.8649954315260309</v>
      </c>
      <c r="Q593" s="4">
        <f t="shared" ca="1" si="80"/>
        <v>1979.7642379580736</v>
      </c>
      <c r="R593" s="4">
        <f t="shared" ca="1" si="81"/>
        <v>56.094193958073674</v>
      </c>
      <c r="S593" s="4">
        <f t="shared" ca="1" si="82"/>
        <v>29.676297590216329</v>
      </c>
    </row>
    <row r="594" spans="15:19" x14ac:dyDescent="0.2">
      <c r="O594" s="4">
        <f t="shared" ca="1" si="78"/>
        <v>5.1950303366241624E-3</v>
      </c>
      <c r="P594" s="4">
        <f t="shared" ca="1" si="79"/>
        <v>-2.5625701132759491</v>
      </c>
      <c r="Q594" s="4">
        <f t="shared" ca="1" si="80"/>
        <v>2000.8972319700717</v>
      </c>
      <c r="R594" s="4">
        <f t="shared" ca="1" si="81"/>
        <v>77.227187970071782</v>
      </c>
      <c r="S594" s="4">
        <f t="shared" ca="1" si="82"/>
        <v>41.520935543024628</v>
      </c>
    </row>
    <row r="595" spans="15:19" x14ac:dyDescent="0.2">
      <c r="O595" s="4">
        <f t="shared" ca="1" si="78"/>
        <v>0.32210042263127625</v>
      </c>
      <c r="P595" s="4">
        <f t="shared" ca="1" si="79"/>
        <v>-0.46183333282583328</v>
      </c>
      <c r="Q595" s="4">
        <f t="shared" ca="1" si="80"/>
        <v>1937.2555044769394</v>
      </c>
      <c r="R595" s="4">
        <f t="shared" ca="1" si="81"/>
        <v>13.585460476939488</v>
      </c>
      <c r="S595" s="4">
        <f t="shared" ca="1" si="82"/>
        <v>6.9522237860593084</v>
      </c>
    </row>
    <row r="596" spans="15:19" x14ac:dyDescent="0.2">
      <c r="O596" s="4">
        <f t="shared" ca="1" si="78"/>
        <v>6.2387560894003879E-3</v>
      </c>
      <c r="P596" s="4">
        <f t="shared" ca="1" si="79"/>
        <v>-2.498343787358702</v>
      </c>
      <c r="Q596" s="4">
        <f t="shared" ca="1" si="80"/>
        <v>1998.9514982779931</v>
      </c>
      <c r="R596" s="4">
        <f t="shared" ca="1" si="81"/>
        <v>75.281454277993134</v>
      </c>
      <c r="S596" s="4">
        <f t="shared" ca="1" si="82"/>
        <v>40.415191877843029</v>
      </c>
    </row>
    <row r="597" spans="15:19" x14ac:dyDescent="0.2">
      <c r="O597" s="4">
        <f t="shared" ca="1" si="78"/>
        <v>0.84174327967843732</v>
      </c>
      <c r="P597" s="4">
        <f t="shared" ca="1" si="79"/>
        <v>1.0016483909410134</v>
      </c>
      <c r="Q597" s="4">
        <f t="shared" ca="1" si="80"/>
        <v>1892.919390632542</v>
      </c>
      <c r="R597" s="4">
        <f t="shared" ca="1" si="81"/>
        <v>-30.750653367457971</v>
      </c>
      <c r="S597" s="4">
        <f t="shared" ca="1" si="82"/>
        <v>-15.18135618252431</v>
      </c>
    </row>
    <row r="598" spans="15:19" x14ac:dyDescent="0.2">
      <c r="O598" s="4">
        <f t="shared" ca="1" si="78"/>
        <v>0.45442854242903863</v>
      </c>
      <c r="P598" s="4">
        <f t="shared" ca="1" si="79"/>
        <v>-0.11448027121907055</v>
      </c>
      <c r="Q598" s="4">
        <f t="shared" ca="1" si="80"/>
        <v>1926.7324588976899</v>
      </c>
      <c r="R598" s="4">
        <f t="shared" ca="1" si="81"/>
        <v>3.062414897689905</v>
      </c>
      <c r="S598" s="4">
        <f t="shared" ca="1" si="82"/>
        <v>1.5540420691978436</v>
      </c>
    </row>
    <row r="599" spans="15:19" x14ac:dyDescent="0.2">
      <c r="O599" s="4">
        <f t="shared" ca="1" si="78"/>
        <v>0.33256422668804397</v>
      </c>
      <c r="P599" s="4">
        <f t="shared" ca="1" si="79"/>
        <v>-0.43284352117530472</v>
      </c>
      <c r="Q599" s="4">
        <f t="shared" ca="1" si="80"/>
        <v>1936.377259420105</v>
      </c>
      <c r="R599" s="4">
        <f t="shared" ca="1" si="81"/>
        <v>12.707215420105058</v>
      </c>
      <c r="S599" s="4">
        <f t="shared" ca="1" si="82"/>
        <v>6.4982477324990215</v>
      </c>
    </row>
    <row r="600" spans="15:19" x14ac:dyDescent="0.2">
      <c r="O600" s="4">
        <f t="shared" ca="1" si="78"/>
        <v>0.20087498409913707</v>
      </c>
      <c r="P600" s="4">
        <f t="shared" ca="1" si="79"/>
        <v>-0.83849996350489231</v>
      </c>
      <c r="Q600" s="4">
        <f t="shared" ca="1" si="80"/>
        <v>1948.6666033297415</v>
      </c>
      <c r="R600" s="4">
        <f t="shared" ca="1" si="81"/>
        <v>24.996559329741558</v>
      </c>
      <c r="S600" s="4">
        <f t="shared" ca="1" si="82"/>
        <v>12.907851413002616</v>
      </c>
    </row>
    <row r="601" spans="15:19" x14ac:dyDescent="0.2">
      <c r="O601" s="4">
        <f t="shared" ca="1" si="78"/>
        <v>0.5898967698042249</v>
      </c>
      <c r="P601" s="4">
        <f t="shared" ca="1" si="79"/>
        <v>0.22727943860385963</v>
      </c>
      <c r="Q601" s="4">
        <f t="shared" ca="1" si="80"/>
        <v>1916.378863662392</v>
      </c>
      <c r="R601" s="4">
        <f t="shared" ca="1" si="81"/>
        <v>-7.2911803376080115</v>
      </c>
      <c r="S601" s="4">
        <f t="shared" ca="1" si="82"/>
        <v>-3.6692265697273769</v>
      </c>
    </row>
    <row r="602" spans="15:19" x14ac:dyDescent="0.2">
      <c r="O602" s="4">
        <f t="shared" ca="1" si="78"/>
        <v>0.59799642460466473</v>
      </c>
      <c r="P602" s="4">
        <f t="shared" ca="1" si="79"/>
        <v>0.24816447599789895</v>
      </c>
      <c r="Q602" s="4">
        <f t="shared" ca="1" si="80"/>
        <v>1915.7461523818145</v>
      </c>
      <c r="R602" s="4">
        <f t="shared" ca="1" si="81"/>
        <v>-7.9238916181855075</v>
      </c>
      <c r="S602" s="4">
        <f t="shared" ca="1" si="82"/>
        <v>-3.9855924645861087</v>
      </c>
    </row>
    <row r="603" spans="15:19" x14ac:dyDescent="0.2">
      <c r="O603" s="4">
        <f t="shared" ca="1" si="78"/>
        <v>7.2767830812062839E-2</v>
      </c>
      <c r="P603" s="4">
        <f t="shared" ca="1" si="79"/>
        <v>-1.4554827526416123</v>
      </c>
      <c r="Q603" s="4">
        <f t="shared" ca="1" si="80"/>
        <v>1967.3580695332219</v>
      </c>
      <c r="R603" s="4">
        <f t="shared" ca="1" si="81"/>
        <v>43.688025533221889</v>
      </c>
      <c r="S603" s="4">
        <f t="shared" ca="1" si="82"/>
        <v>22.892256507265365</v>
      </c>
    </row>
    <row r="604" spans="15:19" x14ac:dyDescent="0.2">
      <c r="O604" s="4">
        <f t="shared" ca="1" si="78"/>
        <v>0.42404497796724028</v>
      </c>
      <c r="P604" s="4">
        <f t="shared" ca="1" si="79"/>
        <v>-0.19155607036783379</v>
      </c>
      <c r="Q604" s="4">
        <f t="shared" ca="1" si="80"/>
        <v>1929.0674668108136</v>
      </c>
      <c r="R604" s="4">
        <f t="shared" ca="1" si="81"/>
        <v>5.3974228108136231</v>
      </c>
      <c r="S604" s="4">
        <f t="shared" ca="1" si="82"/>
        <v>2.7440871051864195</v>
      </c>
    </row>
    <row r="605" spans="15:19" x14ac:dyDescent="0.2">
      <c r="O605" s="4">
        <f t="shared" ca="1" si="78"/>
        <v>0.79493688758030245</v>
      </c>
      <c r="P605" s="4">
        <f t="shared" ca="1" si="79"/>
        <v>0.82367152206624383</v>
      </c>
      <c r="Q605" s="4">
        <f t="shared" ca="1" si="80"/>
        <v>1898.3111919731089</v>
      </c>
      <c r="R605" s="4">
        <f t="shared" ca="1" si="81"/>
        <v>-25.3588520268911</v>
      </c>
      <c r="S605" s="4">
        <f t="shared" ca="1" si="82"/>
        <v>-12.575124716402319</v>
      </c>
    </row>
    <row r="606" spans="15:19" x14ac:dyDescent="0.2">
      <c r="O606" s="4">
        <f t="shared" ca="1" si="78"/>
        <v>0.74021804369527633</v>
      </c>
      <c r="P606" s="4">
        <f t="shared" ca="1" si="79"/>
        <v>0.64401776748058592</v>
      </c>
      <c r="Q606" s="4">
        <f t="shared" ca="1" si="80"/>
        <v>1903.7537944918352</v>
      </c>
      <c r="R606" s="4">
        <f t="shared" ca="1" si="81"/>
        <v>-19.91624950816481</v>
      </c>
      <c r="S606" s="4">
        <f t="shared" ca="1" si="82"/>
        <v>-9.9203337231934547</v>
      </c>
    </row>
    <row r="607" spans="15:19" x14ac:dyDescent="0.2">
      <c r="O607" s="4">
        <f t="shared" ca="1" si="78"/>
        <v>0.19168603446688814</v>
      </c>
      <c r="P607" s="4">
        <f t="shared" ca="1" si="79"/>
        <v>-0.87169998412172323</v>
      </c>
      <c r="Q607" s="4">
        <f t="shared" ca="1" si="80"/>
        <v>1949.6723964802804</v>
      </c>
      <c r="R607" s="4">
        <f t="shared" ca="1" si="81"/>
        <v>26.002352480280479</v>
      </c>
      <c r="S607" s="4">
        <f t="shared" ca="1" si="82"/>
        <v>13.437874111310222</v>
      </c>
    </row>
    <row r="608" spans="15:19" x14ac:dyDescent="0.2">
      <c r="O608" s="4">
        <f t="shared" ca="1" si="78"/>
        <v>0.96120313020466319</v>
      </c>
      <c r="P608" s="4">
        <f t="shared" ca="1" si="79"/>
        <v>1.7648216812388242</v>
      </c>
      <c r="Q608" s="4">
        <f t="shared" ca="1" si="80"/>
        <v>1869.7990896870976</v>
      </c>
      <c r="R608" s="4">
        <f t="shared" ca="1" si="81"/>
        <v>-53.870954312902313</v>
      </c>
      <c r="S608" s="4">
        <f t="shared" ca="1" si="82"/>
        <v>-26.0886573900409</v>
      </c>
    </row>
    <row r="609" spans="15:19" x14ac:dyDescent="0.2">
      <c r="O609" s="4">
        <f t="shared" ca="1" si="78"/>
        <v>3.7468434086376123E-2</v>
      </c>
      <c r="P609" s="4">
        <f t="shared" ca="1" si="79"/>
        <v>-1.7808505538492043</v>
      </c>
      <c r="Q609" s="4">
        <f t="shared" ca="1" si="80"/>
        <v>1977.2150726248021</v>
      </c>
      <c r="R609" s="4">
        <f t="shared" ca="1" si="81"/>
        <v>53.545028624802171</v>
      </c>
      <c r="S609" s="4">
        <f t="shared" ca="1" si="82"/>
        <v>28.272113960197</v>
      </c>
    </row>
    <row r="610" spans="15:19" x14ac:dyDescent="0.2">
      <c r="O610" s="4">
        <f t="shared" ca="1" si="78"/>
        <v>0.91517829047489452</v>
      </c>
      <c r="P610" s="4">
        <f t="shared" ca="1" si="79"/>
        <v>1.3733504718393466</v>
      </c>
      <c r="Q610" s="4">
        <f t="shared" ca="1" si="80"/>
        <v>1881.6586925949262</v>
      </c>
      <c r="R610" s="4">
        <f t="shared" ca="1" si="81"/>
        <v>-42.01135140507381</v>
      </c>
      <c r="S610" s="4">
        <f t="shared" ca="1" si="82"/>
        <v>-20.548099263975754</v>
      </c>
    </row>
    <row r="611" spans="15:19" x14ac:dyDescent="0.2">
      <c r="O611" s="4">
        <f t="shared" ca="1" si="78"/>
        <v>0.29025264830611153</v>
      </c>
      <c r="P611" s="4">
        <f t="shared" ca="1" si="79"/>
        <v>-0.55264678865600625</v>
      </c>
      <c r="Q611" s="4">
        <f t="shared" ca="1" si="80"/>
        <v>1940.0066940892884</v>
      </c>
      <c r="R611" s="4">
        <f t="shared" ca="1" si="81"/>
        <v>16.336650089288469</v>
      </c>
      <c r="S611" s="4">
        <f t="shared" ca="1" si="82"/>
        <v>8.3784134239377348</v>
      </c>
    </row>
    <row r="612" spans="15:19" x14ac:dyDescent="0.2">
      <c r="O612" s="4">
        <f t="shared" ca="1" si="78"/>
        <v>0.79282697786114487</v>
      </c>
      <c r="P612" s="4">
        <f t="shared" ca="1" si="79"/>
        <v>0.81626944800993007</v>
      </c>
      <c r="Q612" s="4">
        <f t="shared" ca="1" si="80"/>
        <v>1898.5354374780004</v>
      </c>
      <c r="R612" s="4">
        <f t="shared" ca="1" si="81"/>
        <v>-25.134606521999558</v>
      </c>
      <c r="S612" s="4">
        <f t="shared" ca="1" si="82"/>
        <v>-12.466218662161038</v>
      </c>
    </row>
    <row r="613" spans="15:19" x14ac:dyDescent="0.2">
      <c r="O613" s="4">
        <f t="shared" ca="1" si="78"/>
        <v>0.59065862453558826</v>
      </c>
      <c r="P613" s="4">
        <f t="shared" ca="1" si="79"/>
        <v>0.2292395288147972</v>
      </c>
      <c r="Q613" s="4">
        <f t="shared" ca="1" si="80"/>
        <v>1916.3194828164778</v>
      </c>
      <c r="R613" s="4">
        <f t="shared" ca="1" si="81"/>
        <v>-7.3505611835221316</v>
      </c>
      <c r="S613" s="4">
        <f t="shared" ca="1" si="82"/>
        <v>-3.6989318136994731</v>
      </c>
    </row>
    <row r="614" spans="15:19" x14ac:dyDescent="0.2">
      <c r="O614" s="4">
        <f t="shared" ca="1" si="78"/>
        <v>9.2430356554723203E-2</v>
      </c>
      <c r="P614" s="4">
        <f t="shared" ca="1" si="79"/>
        <v>-1.3259365559501974</v>
      </c>
      <c r="Q614" s="4">
        <f t="shared" ca="1" si="80"/>
        <v>1963.4334732561765</v>
      </c>
      <c r="R614" s="4">
        <f t="shared" ca="1" si="81"/>
        <v>39.763429256176551</v>
      </c>
      <c r="S614" s="4">
        <f t="shared" ca="1" si="82"/>
        <v>20.772266858036311</v>
      </c>
    </row>
    <row r="615" spans="15:19" x14ac:dyDescent="0.2">
      <c r="O615" s="4">
        <f t="shared" ca="1" si="78"/>
        <v>0.89129047345427526</v>
      </c>
      <c r="P615" s="4">
        <f t="shared" ca="1" si="79"/>
        <v>1.233420144520132</v>
      </c>
      <c r="Q615" s="4">
        <f t="shared" ca="1" si="80"/>
        <v>1885.8978756482957</v>
      </c>
      <c r="R615" s="4">
        <f t="shared" ca="1" si="81"/>
        <v>-37.772168351704295</v>
      </c>
      <c r="S615" s="4">
        <f t="shared" ca="1" si="82"/>
        <v>-18.539860989848968</v>
      </c>
    </row>
    <row r="616" spans="15:19" x14ac:dyDescent="0.2">
      <c r="O616" s="4">
        <f t="shared" ca="1" si="78"/>
        <v>0.69869266110914674</v>
      </c>
      <c r="P616" s="4">
        <f t="shared" ca="1" si="79"/>
        <v>0.52064416381058087</v>
      </c>
      <c r="Q616" s="4">
        <f t="shared" ca="1" si="80"/>
        <v>1907.4913923373538</v>
      </c>
      <c r="R616" s="4">
        <f t="shared" ca="1" si="81"/>
        <v>-16.178651662646189</v>
      </c>
      <c r="S616" s="4">
        <f t="shared" ca="1" si="82"/>
        <v>-8.0832420710089998</v>
      </c>
    </row>
    <row r="617" spans="15:19" x14ac:dyDescent="0.2">
      <c r="O617" s="4">
        <f t="shared" ca="1" si="78"/>
        <v>0.49571910132513319</v>
      </c>
      <c r="P617" s="4">
        <f t="shared" ca="1" si="79"/>
        <v>-1.0730827599342851E-2</v>
      </c>
      <c r="Q617" s="4">
        <f t="shared" ca="1" si="80"/>
        <v>1923.5893741096013</v>
      </c>
      <c r="R617" s="4">
        <f t="shared" ca="1" si="81"/>
        <v>-8.0669890398667121E-2</v>
      </c>
      <c r="S617" s="4">
        <f t="shared" ca="1" si="82"/>
        <v>-4.0833239617353703E-2</v>
      </c>
    </row>
    <row r="618" spans="15:19" x14ac:dyDescent="0.2">
      <c r="O618" s="4">
        <f t="shared" ca="1" si="78"/>
        <v>0.36813056853342463</v>
      </c>
      <c r="P618" s="4">
        <f t="shared" ca="1" si="79"/>
        <v>-0.33680866972021534</v>
      </c>
      <c r="Q618" s="4">
        <f t="shared" ca="1" si="80"/>
        <v>1933.4678878591244</v>
      </c>
      <c r="R618" s="4">
        <f t="shared" ca="1" si="81"/>
        <v>9.7978438591244412</v>
      </c>
      <c r="S618" s="4">
        <f t="shared" ca="1" si="82"/>
        <v>4.9988422578822087</v>
      </c>
    </row>
    <row r="619" spans="15:19" x14ac:dyDescent="0.2">
      <c r="O619" s="4">
        <f t="shared" ca="1" si="78"/>
        <v>5.0133727264440875E-2</v>
      </c>
      <c r="P619" s="4">
        <f t="shared" ca="1" si="79"/>
        <v>-1.6435583918532968</v>
      </c>
      <c r="Q619" s="4">
        <f t="shared" ca="1" si="80"/>
        <v>1973.0558126727701</v>
      </c>
      <c r="R619" s="4">
        <f t="shared" ca="1" si="81"/>
        <v>49.385768672770155</v>
      </c>
      <c r="S619" s="4">
        <f t="shared" ca="1" si="82"/>
        <v>25.992383007467712</v>
      </c>
    </row>
    <row r="620" spans="15:19" x14ac:dyDescent="0.2">
      <c r="O620" s="4">
        <f t="shared" ca="1" si="78"/>
        <v>0.14631681530317042</v>
      </c>
      <c r="P620" s="4">
        <f t="shared" ca="1" si="79"/>
        <v>-1.052361706637555</v>
      </c>
      <c r="Q620" s="4">
        <f t="shared" ca="1" si="80"/>
        <v>1955.1455353426986</v>
      </c>
      <c r="R620" s="4">
        <f t="shared" ca="1" si="81"/>
        <v>31.47549134269866</v>
      </c>
      <c r="S620" s="4">
        <f t="shared" ca="1" si="82"/>
        <v>16.336488167514265</v>
      </c>
    </row>
    <row r="621" spans="15:19" x14ac:dyDescent="0.2">
      <c r="O621" s="4">
        <f t="shared" ca="1" si="78"/>
        <v>0.57839661050291902</v>
      </c>
      <c r="P621" s="4">
        <f t="shared" ca="1" si="79"/>
        <v>0.19779331207337986</v>
      </c>
      <c r="Q621" s="4">
        <f t="shared" ca="1" si="80"/>
        <v>1917.2721445564785</v>
      </c>
      <c r="R621" s="4">
        <f t="shared" ca="1" si="81"/>
        <v>-6.39789944352151</v>
      </c>
      <c r="S621" s="4">
        <f t="shared" ca="1" si="82"/>
        <v>-3.2220167527689512</v>
      </c>
    </row>
    <row r="622" spans="15:19" x14ac:dyDescent="0.2">
      <c r="O622" s="4">
        <f t="shared" ca="1" si="78"/>
        <v>0.45929808498015956</v>
      </c>
      <c r="P622" s="4">
        <f t="shared" ca="1" si="79"/>
        <v>-0.10220221460672667</v>
      </c>
      <c r="Q622" s="4">
        <f t="shared" ca="1" si="80"/>
        <v>1926.360495717752</v>
      </c>
      <c r="R622" s="4">
        <f t="shared" ca="1" si="81"/>
        <v>2.690451717752012</v>
      </c>
      <c r="S622" s="4">
        <f t="shared" ca="1" si="82"/>
        <v>1.3648795952301707</v>
      </c>
    </row>
    <row r="623" spans="15:19" x14ac:dyDescent="0.2">
      <c r="O623" s="4">
        <f t="shared" ca="1" si="78"/>
        <v>0.52408214121862595</v>
      </c>
      <c r="P623" s="4">
        <f t="shared" ca="1" si="79"/>
        <v>6.0401683883782899E-2</v>
      </c>
      <c r="Q623" s="4">
        <f t="shared" ca="1" si="80"/>
        <v>1921.434417832432</v>
      </c>
      <c r="R623" s="4">
        <f t="shared" ca="1" si="81"/>
        <v>-2.2356261675679434</v>
      </c>
      <c r="S623" s="4">
        <f t="shared" ca="1" si="82"/>
        <v>-1.1296613218629632</v>
      </c>
    </row>
    <row r="624" spans="15:19" x14ac:dyDescent="0.2">
      <c r="O624" s="4">
        <f t="shared" ca="1" si="78"/>
        <v>0.5287948096559113</v>
      </c>
      <c r="P624" s="4">
        <f t="shared" ca="1" si="79"/>
        <v>7.224066879084412E-2</v>
      </c>
      <c r="Q624" s="4">
        <f t="shared" ca="1" si="80"/>
        <v>1921.0757563103116</v>
      </c>
      <c r="R624" s="4">
        <f t="shared" ca="1" si="81"/>
        <v>-2.5942876896883718</v>
      </c>
      <c r="S624" s="4">
        <f t="shared" ca="1" si="82"/>
        <v>-1.3105141296639011</v>
      </c>
    </row>
    <row r="625" spans="15:19" x14ac:dyDescent="0.2">
      <c r="O625" s="4">
        <f t="shared" ca="1" si="78"/>
        <v>0.474323859899346</v>
      </c>
      <c r="P625" s="4">
        <f t="shared" ca="1" si="79"/>
        <v>-6.4405036511836641E-2</v>
      </c>
      <c r="Q625" s="4">
        <f t="shared" ca="1" si="80"/>
        <v>1925.2154318855241</v>
      </c>
      <c r="R625" s="4">
        <f t="shared" ca="1" si="81"/>
        <v>1.5453878855241783</v>
      </c>
      <c r="S625" s="4">
        <f t="shared" ca="1" si="82"/>
        <v>0.78326265695980413</v>
      </c>
    </row>
    <row r="626" spans="15:19" x14ac:dyDescent="0.2">
      <c r="O626" s="4">
        <f t="shared" ca="1" si="78"/>
        <v>0.16033366284686035</v>
      </c>
      <c r="P626" s="4">
        <f t="shared" ca="1" si="79"/>
        <v>-0.99308747813898235</v>
      </c>
      <c r="Q626" s="4">
        <f t="shared" ca="1" si="80"/>
        <v>1953.3498252220504</v>
      </c>
      <c r="R626" s="4">
        <f t="shared" ca="1" si="81"/>
        <v>29.679781222050451</v>
      </c>
      <c r="S626" s="4">
        <f t="shared" ca="1" si="82"/>
        <v>15.382778936715988</v>
      </c>
    </row>
    <row r="627" spans="15:19" x14ac:dyDescent="0.2">
      <c r="O627" s="4">
        <f t="shared" ca="1" si="78"/>
        <v>0.79728061246103488</v>
      </c>
      <c r="P627" s="4">
        <f t="shared" ca="1" si="79"/>
        <v>0.83194715225239413</v>
      </c>
      <c r="Q627" s="4">
        <f t="shared" ca="1" si="80"/>
        <v>1898.060482124049</v>
      </c>
      <c r="R627" s="4">
        <f t="shared" ca="1" si="81"/>
        <v>-25.609561875950931</v>
      </c>
      <c r="S627" s="4">
        <f t="shared" ca="1" si="82"/>
        <v>-12.696834851763606</v>
      </c>
    </row>
    <row r="628" spans="15:19" x14ac:dyDescent="0.2">
      <c r="O628" s="4">
        <f t="shared" ca="1" si="78"/>
        <v>0.50123643247432614</v>
      </c>
      <c r="P628" s="4">
        <f t="shared" ca="1" si="79"/>
        <v>3.0992815615261014E-3</v>
      </c>
      <c r="Q628" s="4">
        <f t="shared" ca="1" si="80"/>
        <v>1923.1703915666158</v>
      </c>
      <c r="R628" s="4">
        <f t="shared" ca="1" si="81"/>
        <v>-0.49965243338419896</v>
      </c>
      <c r="S628" s="4">
        <f t="shared" ca="1" si="82"/>
        <v>-0.2528273299554904</v>
      </c>
    </row>
    <row r="629" spans="15:19" x14ac:dyDescent="0.2">
      <c r="O629" s="4">
        <f t="shared" ca="1" si="78"/>
        <v>0.18992389930305675</v>
      </c>
      <c r="P629" s="4">
        <f t="shared" ca="1" si="79"/>
        <v>-0.8781767659667179</v>
      </c>
      <c r="Q629" s="4">
        <f t="shared" ca="1" si="80"/>
        <v>1949.8686102987122</v>
      </c>
      <c r="R629" s="4">
        <f t="shared" ca="1" si="81"/>
        <v>26.198566298712194</v>
      </c>
      <c r="S629" s="4">
        <f t="shared" ca="1" si="82"/>
        <v>13.541368891574493</v>
      </c>
    </row>
    <row r="630" spans="15:19" x14ac:dyDescent="0.2">
      <c r="O630" s="4">
        <f t="shared" ca="1" si="78"/>
        <v>0.64086821707459152</v>
      </c>
      <c r="P630" s="4">
        <f t="shared" ca="1" si="79"/>
        <v>0.36078046697507421</v>
      </c>
      <c r="Q630" s="4">
        <f t="shared" ca="1" si="80"/>
        <v>1912.3344559351979</v>
      </c>
      <c r="R630" s="4">
        <f t="shared" ca="1" si="81"/>
        <v>-11.335588064802096</v>
      </c>
      <c r="S630" s="4">
        <f t="shared" ca="1" si="82"/>
        <v>-5.6858791226098733</v>
      </c>
    </row>
    <row r="631" spans="15:19" x14ac:dyDescent="0.2">
      <c r="O631" s="4">
        <f t="shared" ca="1" si="78"/>
        <v>0.56887762865935598</v>
      </c>
      <c r="P631" s="4">
        <f t="shared" ca="1" si="79"/>
        <v>0.17351741198776524</v>
      </c>
      <c r="Q631" s="4">
        <f t="shared" ca="1" si="80"/>
        <v>1918.0075818717467</v>
      </c>
      <c r="R631" s="4">
        <f t="shared" ca="1" si="81"/>
        <v>-5.6624621282533099</v>
      </c>
      <c r="S631" s="4">
        <f t="shared" ca="1" si="82"/>
        <v>-2.8533417377022841</v>
      </c>
    </row>
    <row r="632" spans="15:19" x14ac:dyDescent="0.2">
      <c r="O632" s="4">
        <f t="shared" ca="1" si="78"/>
        <v>2.5828673399019841E-4</v>
      </c>
      <c r="P632" s="4">
        <f t="shared" ca="1" si="79"/>
        <v>-3.4720118843584586</v>
      </c>
      <c r="Q632" s="4">
        <f t="shared" ca="1" si="80"/>
        <v>2028.4487300467149</v>
      </c>
      <c r="R632" s="4">
        <f t="shared" ca="1" si="81"/>
        <v>104.77868604671494</v>
      </c>
      <c r="S632" s="4">
        <f t="shared" ca="1" si="82"/>
        <v>57.509036405137564</v>
      </c>
    </row>
    <row r="633" spans="15:19" x14ac:dyDescent="0.2">
      <c r="O633" s="4">
        <f t="shared" ca="1" si="78"/>
        <v>0.51424014986131839</v>
      </c>
      <c r="P633" s="4">
        <f t="shared" ca="1" si="79"/>
        <v>3.5702345537677635E-2</v>
      </c>
      <c r="Q633" s="4">
        <f t="shared" ca="1" si="80"/>
        <v>1922.1826831910016</v>
      </c>
      <c r="R633" s="4">
        <f t="shared" ca="1" si="81"/>
        <v>-1.4873608089983463</v>
      </c>
      <c r="S633" s="4">
        <f t="shared" ca="1" si="82"/>
        <v>-0.75201607436368567</v>
      </c>
    </row>
    <row r="634" spans="15:19" x14ac:dyDescent="0.2">
      <c r="O634" s="4">
        <f t="shared" ca="1" si="78"/>
        <v>0.21969138157217794</v>
      </c>
      <c r="P634" s="4">
        <f t="shared" ca="1" si="79"/>
        <v>-0.77323593434292992</v>
      </c>
      <c r="Q634" s="4">
        <f t="shared" ca="1" si="80"/>
        <v>1946.6894324639372</v>
      </c>
      <c r="R634" s="4">
        <f t="shared" ca="1" si="81"/>
        <v>23.019388463937275</v>
      </c>
      <c r="S634" s="4">
        <f t="shared" ca="1" si="82"/>
        <v>11.86834273917508</v>
      </c>
    </row>
    <row r="635" spans="15:19" x14ac:dyDescent="0.2">
      <c r="O635" s="4">
        <f t="shared" ca="1" si="78"/>
        <v>0.31466139794955528</v>
      </c>
      <c r="P635" s="4">
        <f t="shared" ca="1" si="79"/>
        <v>-0.48268023974004776</v>
      </c>
      <c r="Q635" s="4">
        <f t="shared" ca="1" si="80"/>
        <v>1937.8870605963239</v>
      </c>
      <c r="R635" s="4">
        <f t="shared" ca="1" si="81"/>
        <v>14.217016596323901</v>
      </c>
      <c r="S635" s="4">
        <f t="shared" ca="1" si="82"/>
        <v>7.2790713368302189</v>
      </c>
    </row>
    <row r="636" spans="15:19" x14ac:dyDescent="0.2">
      <c r="O636" s="4">
        <f t="shared" ca="1" si="78"/>
        <v>0.18120593804957974</v>
      </c>
      <c r="P636" s="4">
        <f t="shared" ca="1" si="79"/>
        <v>-0.91077891145608403</v>
      </c>
      <c r="Q636" s="4">
        <f t="shared" ca="1" si="80"/>
        <v>1950.8562908488102</v>
      </c>
      <c r="R636" s="4">
        <f t="shared" ca="1" si="81"/>
        <v>27.186246848810242</v>
      </c>
      <c r="S636" s="4">
        <f t="shared" ca="1" si="82"/>
        <v>14.062806056984558</v>
      </c>
    </row>
    <row r="637" spans="15:19" x14ac:dyDescent="0.2">
      <c r="O637" s="4">
        <f t="shared" ca="1" si="78"/>
        <v>0.92267927866944588</v>
      </c>
      <c r="P637" s="4">
        <f t="shared" ca="1" si="79"/>
        <v>1.4233267957301654</v>
      </c>
      <c r="Q637" s="4">
        <f t="shared" ca="1" si="80"/>
        <v>1880.1446620815523</v>
      </c>
      <c r="R637" s="4">
        <f t="shared" ca="1" si="81"/>
        <v>-43.525381918447692</v>
      </c>
      <c r="S637" s="4">
        <f t="shared" ca="1" si="82"/>
        <v>-21.261798748261153</v>
      </c>
    </row>
    <row r="638" spans="15:19" x14ac:dyDescent="0.2">
      <c r="O638" s="4">
        <f t="shared" ca="1" si="78"/>
        <v>0.50145948045335653</v>
      </c>
      <c r="P638" s="4">
        <f t="shared" ca="1" si="79"/>
        <v>3.6583831311296907E-3</v>
      </c>
      <c r="Q638" s="4">
        <f t="shared" ca="1" si="80"/>
        <v>1923.1534536093882</v>
      </c>
      <c r="R638" s="4">
        <f t="shared" ca="1" si="81"/>
        <v>-0.51659039061178191</v>
      </c>
      <c r="S638" s="4">
        <f t="shared" ca="1" si="82"/>
        <v>-0.26139448289565792</v>
      </c>
    </row>
    <row r="639" spans="15:19" x14ac:dyDescent="0.2">
      <c r="O639" s="4">
        <f t="shared" ca="1" si="78"/>
        <v>0.72218495197983046</v>
      </c>
      <c r="P639" s="4">
        <f t="shared" ca="1" si="79"/>
        <v>0.58934465347123921</v>
      </c>
      <c r="Q639" s="4">
        <f t="shared" ca="1" si="80"/>
        <v>1905.4101140533166</v>
      </c>
      <c r="R639" s="4">
        <f t="shared" ca="1" si="81"/>
        <v>-18.259929946683314</v>
      </c>
      <c r="S639" s="4">
        <f t="shared" ca="1" si="82"/>
        <v>-9.1076283197513757</v>
      </c>
    </row>
    <row r="640" spans="15:19" x14ac:dyDescent="0.2">
      <c r="O640" s="4">
        <f t="shared" ca="1" si="78"/>
        <v>0.14480460905855486</v>
      </c>
      <c r="P640" s="4">
        <f t="shared" ca="1" si="79"/>
        <v>-1.0589792756971961</v>
      </c>
      <c r="Q640" s="4">
        <f t="shared" ca="1" si="80"/>
        <v>1955.346014303547</v>
      </c>
      <c r="R640" s="4">
        <f t="shared" ca="1" si="81"/>
        <v>31.675970303547047</v>
      </c>
      <c r="S640" s="4">
        <f t="shared" ca="1" si="82"/>
        <v>16.443126297141895</v>
      </c>
    </row>
    <row r="641" spans="15:19" x14ac:dyDescent="0.2">
      <c r="O641" s="4">
        <f t="shared" ca="1" si="78"/>
        <v>0.51796026064177914</v>
      </c>
      <c r="P641" s="4">
        <f t="shared" ca="1" si="79"/>
        <v>4.5034915393688674E-2</v>
      </c>
      <c r="Q641" s="4">
        <f t="shared" ca="1" si="80"/>
        <v>1921.8999534015704</v>
      </c>
      <c r="R641" s="4">
        <f t="shared" ca="1" si="81"/>
        <v>-1.7700905984295332</v>
      </c>
      <c r="S641" s="4">
        <f t="shared" ca="1" si="82"/>
        <v>-0.89476176105983929</v>
      </c>
    </row>
    <row r="642" spans="15:19" x14ac:dyDescent="0.2">
      <c r="O642" s="4">
        <f t="shared" ca="1" si="78"/>
        <v>0.79710663576526197</v>
      </c>
      <c r="P642" s="4">
        <f t="shared" ca="1" si="79"/>
        <v>0.83133089060416454</v>
      </c>
      <c r="Q642" s="4">
        <f t="shared" ca="1" si="80"/>
        <v>1898.0791517433208</v>
      </c>
      <c r="R642" s="4">
        <f t="shared" ca="1" si="81"/>
        <v>-25.590892256679126</v>
      </c>
      <c r="S642" s="4">
        <f t="shared" ca="1" si="82"/>
        <v>-12.68777322223843</v>
      </c>
    </row>
    <row r="643" spans="15:19" x14ac:dyDescent="0.2">
      <c r="O643" s="4">
        <f t="shared" ref="O643:O706" ca="1" si="83">RAND()</f>
        <v>0.70785272744646577</v>
      </c>
      <c r="P643" s="4">
        <f t="shared" ref="P643:P706" ca="1" si="84">NORMSINV(O643)</f>
        <v>0.54712254399037219</v>
      </c>
      <c r="Q643" s="4">
        <f t="shared" ref="Q643:Q706" ca="1" si="85">$B$4*(1+$B$17-$B$6/SQRT(252)*P643)</f>
        <v>1906.6892309854204</v>
      </c>
      <c r="R643" s="4">
        <f t="shared" ref="R643:R706" ca="1" si="86">Q643-$B$4</f>
        <v>-16.980813014579553</v>
      </c>
      <c r="S643" s="4">
        <f t="shared" ref="S643:S706" ca="1" si="87">R643*$B$12+0.5*$B$13*R643^2</f>
        <v>-8.478476272007299</v>
      </c>
    </row>
    <row r="644" spans="15:19" x14ac:dyDescent="0.2">
      <c r="O644" s="4">
        <f t="shared" ca="1" si="83"/>
        <v>0.23698438979106562</v>
      </c>
      <c r="P644" s="4">
        <f t="shared" ca="1" si="84"/>
        <v>-0.71603655158068369</v>
      </c>
      <c r="Q644" s="4">
        <f t="shared" ca="1" si="85"/>
        <v>1944.9565797027499</v>
      </c>
      <c r="R644" s="4">
        <f t="shared" ca="1" si="86"/>
        <v>21.286535702749916</v>
      </c>
      <c r="S644" s="4">
        <f t="shared" ca="1" si="87"/>
        <v>10.959902696770154</v>
      </c>
    </row>
    <row r="645" spans="15:19" x14ac:dyDescent="0.2">
      <c r="O645" s="4">
        <f t="shared" ca="1" si="83"/>
        <v>6.8236128175682698E-3</v>
      </c>
      <c r="P645" s="4">
        <f t="shared" ca="1" si="84"/>
        <v>-2.4664172529596642</v>
      </c>
      <c r="Q645" s="4">
        <f t="shared" ca="1" si="85"/>
        <v>1997.9842853358805</v>
      </c>
      <c r="R645" s="4">
        <f t="shared" ca="1" si="86"/>
        <v>74.314241335880524</v>
      </c>
      <c r="S645" s="4">
        <f t="shared" ca="1" si="87"/>
        <v>39.866680003050419</v>
      </c>
    </row>
    <row r="646" spans="15:19" x14ac:dyDescent="0.2">
      <c r="O646" s="4">
        <f t="shared" ca="1" si="83"/>
        <v>4.0928570850447654E-2</v>
      </c>
      <c r="P646" s="4">
        <f t="shared" ca="1" si="84"/>
        <v>-1.7400106854107971</v>
      </c>
      <c r="Q646" s="4">
        <f t="shared" ca="1" si="85"/>
        <v>1975.9778306237097</v>
      </c>
      <c r="R646" s="4">
        <f t="shared" ca="1" si="86"/>
        <v>52.307786623709717</v>
      </c>
      <c r="S646" s="4">
        <f t="shared" ca="1" si="87"/>
        <v>27.592497895963213</v>
      </c>
    </row>
    <row r="647" spans="15:19" x14ac:dyDescent="0.2">
      <c r="O647" s="4">
        <f t="shared" ca="1" si="83"/>
        <v>0.99293310979072513</v>
      </c>
      <c r="P647" s="4">
        <f t="shared" ca="1" si="84"/>
        <v>2.4538452148745331</v>
      </c>
      <c r="Q647" s="4">
        <f t="shared" ca="1" si="85"/>
        <v>1848.9251523275568</v>
      </c>
      <c r="R647" s="4">
        <f t="shared" ca="1" si="86"/>
        <v>-74.744891672443146</v>
      </c>
      <c r="S647" s="4">
        <f t="shared" ca="1" si="87"/>
        <v>-35.562382409234345</v>
      </c>
    </row>
    <row r="648" spans="15:19" x14ac:dyDescent="0.2">
      <c r="O648" s="4">
        <f t="shared" ca="1" si="83"/>
        <v>0.56640295304637744</v>
      </c>
      <c r="P648" s="4">
        <f t="shared" ca="1" si="84"/>
        <v>0.1672236277667333</v>
      </c>
      <c r="Q648" s="4">
        <f t="shared" ca="1" si="85"/>
        <v>1918.1982517852853</v>
      </c>
      <c r="R648" s="4">
        <f t="shared" ca="1" si="86"/>
        <v>-5.4717922147146965</v>
      </c>
      <c r="S648" s="4">
        <f t="shared" ca="1" si="87"/>
        <v>-2.7576869545355738</v>
      </c>
    </row>
    <row r="649" spans="15:19" x14ac:dyDescent="0.2">
      <c r="O649" s="4">
        <f t="shared" ca="1" si="83"/>
        <v>0.36815114712826869</v>
      </c>
      <c r="P649" s="4">
        <f t="shared" ca="1" si="84"/>
        <v>-0.3367540769843923</v>
      </c>
      <c r="Q649" s="4">
        <f t="shared" ca="1" si="85"/>
        <v>1933.4662339746162</v>
      </c>
      <c r="R649" s="4">
        <f t="shared" ca="1" si="86"/>
        <v>9.7961899746162544</v>
      </c>
      <c r="S649" s="4">
        <f t="shared" ca="1" si="87"/>
        <v>4.9979918537496877</v>
      </c>
    </row>
    <row r="650" spans="15:19" x14ac:dyDescent="0.2">
      <c r="O650" s="4">
        <f t="shared" ca="1" si="83"/>
        <v>0.84591532045284368</v>
      </c>
      <c r="P650" s="4">
        <f t="shared" ca="1" si="84"/>
        <v>1.0190707926500948</v>
      </c>
      <c r="Q650" s="4">
        <f t="shared" ca="1" si="85"/>
        <v>1892.3915797463026</v>
      </c>
      <c r="R650" s="4">
        <f t="shared" ca="1" si="86"/>
        <v>-31.278464253697393</v>
      </c>
      <c r="S650" s="4">
        <f t="shared" ca="1" si="87"/>
        <v>-15.435211921648143</v>
      </c>
    </row>
    <row r="651" spans="15:19" x14ac:dyDescent="0.2">
      <c r="O651" s="4">
        <f t="shared" ca="1" si="83"/>
        <v>0.96801729144179882</v>
      </c>
      <c r="P651" s="4">
        <f t="shared" ca="1" si="84"/>
        <v>1.8524208254068038</v>
      </c>
      <c r="Q651" s="4">
        <f t="shared" ca="1" si="85"/>
        <v>1867.1452775038426</v>
      </c>
      <c r="R651" s="4">
        <f t="shared" ca="1" si="86"/>
        <v>-56.524766496157326</v>
      </c>
      <c r="S651" s="4">
        <f t="shared" ca="1" si="87"/>
        <v>-27.31278423990852</v>
      </c>
    </row>
    <row r="652" spans="15:19" x14ac:dyDescent="0.2">
      <c r="O652" s="4">
        <f t="shared" ca="1" si="83"/>
        <v>0.6273035375119661</v>
      </c>
      <c r="P652" s="4">
        <f t="shared" ca="1" si="84"/>
        <v>0.32472009441419658</v>
      </c>
      <c r="Q652" s="4">
        <f t="shared" ca="1" si="85"/>
        <v>1913.426903320885</v>
      </c>
      <c r="R652" s="4">
        <f t="shared" ca="1" si="86"/>
        <v>-10.243140679114958</v>
      </c>
      <c r="S652" s="4">
        <f t="shared" ca="1" si="87"/>
        <v>-5.1424676531593958</v>
      </c>
    </row>
    <row r="653" spans="15:19" x14ac:dyDescent="0.2">
      <c r="O653" s="4">
        <f t="shared" ca="1" si="83"/>
        <v>0.9404316200815569</v>
      </c>
      <c r="P653" s="4">
        <f t="shared" ca="1" si="84"/>
        <v>1.5584071624132838</v>
      </c>
      <c r="Q653" s="4">
        <f t="shared" ca="1" si="85"/>
        <v>1876.0524083703199</v>
      </c>
      <c r="R653" s="4">
        <f t="shared" ca="1" si="86"/>
        <v>-47.61763562968008</v>
      </c>
      <c r="S653" s="4">
        <f t="shared" ca="1" si="87"/>
        <v>-23.18150883709912</v>
      </c>
    </row>
    <row r="654" spans="15:19" x14ac:dyDescent="0.2">
      <c r="O654" s="4">
        <f t="shared" ca="1" si="83"/>
        <v>0.40214684453913485</v>
      </c>
      <c r="P654" s="4">
        <f t="shared" ca="1" si="84"/>
        <v>-0.247794140112233</v>
      </c>
      <c r="Q654" s="4">
        <f t="shared" ca="1" si="85"/>
        <v>1930.7711966368061</v>
      </c>
      <c r="R654" s="4">
        <f t="shared" ca="1" si="86"/>
        <v>7.1011526368060913</v>
      </c>
      <c r="S654" s="4">
        <f t="shared" ca="1" si="87"/>
        <v>3.6152000427620625</v>
      </c>
    </row>
    <row r="655" spans="15:19" x14ac:dyDescent="0.2">
      <c r="O655" s="4">
        <f t="shared" ca="1" si="83"/>
        <v>0.56077581362143347</v>
      </c>
      <c r="P655" s="4">
        <f t="shared" ca="1" si="84"/>
        <v>0.15293647322719187</v>
      </c>
      <c r="Q655" s="4">
        <f t="shared" ca="1" si="85"/>
        <v>1918.6310804977252</v>
      </c>
      <c r="R655" s="4">
        <f t="shared" ca="1" si="86"/>
        <v>-5.0389635022747825</v>
      </c>
      <c r="S655" s="4">
        <f t="shared" ca="1" si="87"/>
        <v>-2.5404367239582792</v>
      </c>
    </row>
    <row r="656" spans="15:19" x14ac:dyDescent="0.2">
      <c r="O656" s="4">
        <f t="shared" ca="1" si="83"/>
        <v>0.64446338647049628</v>
      </c>
      <c r="P656" s="4">
        <f t="shared" ca="1" si="84"/>
        <v>0.37041509662310523</v>
      </c>
      <c r="Q656" s="4">
        <f t="shared" ca="1" si="85"/>
        <v>1912.0425752577785</v>
      </c>
      <c r="R656" s="4">
        <f t="shared" ca="1" si="86"/>
        <v>-11.627468742221481</v>
      </c>
      <c r="S656" s="4">
        <f t="shared" ca="1" si="87"/>
        <v>-5.8309036101410214</v>
      </c>
    </row>
    <row r="657" spans="15:19" x14ac:dyDescent="0.2">
      <c r="O657" s="4">
        <f t="shared" ca="1" si="83"/>
        <v>5.5843036935433021E-2</v>
      </c>
      <c r="P657" s="4">
        <f t="shared" ca="1" si="84"/>
        <v>-1.5906601761244143</v>
      </c>
      <c r="Q657" s="4">
        <f t="shared" ca="1" si="85"/>
        <v>1971.4532635758915</v>
      </c>
      <c r="R657" s="4">
        <f t="shared" ca="1" si="86"/>
        <v>47.783219575891508</v>
      </c>
      <c r="S657" s="4">
        <f t="shared" ca="1" si="87"/>
        <v>25.117768921847727</v>
      </c>
    </row>
    <row r="658" spans="15:19" x14ac:dyDescent="0.2">
      <c r="O658" s="4">
        <f t="shared" ca="1" si="83"/>
        <v>0.54218595580422602</v>
      </c>
      <c r="P658" s="4">
        <f t="shared" ca="1" si="84"/>
        <v>0.10594235540424229</v>
      </c>
      <c r="Q658" s="4">
        <f t="shared" ca="1" si="85"/>
        <v>1920.0547652106798</v>
      </c>
      <c r="R658" s="4">
        <f t="shared" ca="1" si="86"/>
        <v>-3.6152787893202003</v>
      </c>
      <c r="S658" s="4">
        <f t="shared" ca="1" si="87"/>
        <v>-1.8247690416959583</v>
      </c>
    </row>
    <row r="659" spans="15:19" x14ac:dyDescent="0.2">
      <c r="O659" s="4">
        <f t="shared" ca="1" si="83"/>
        <v>0.73448825963636399</v>
      </c>
      <c r="P659" s="4">
        <f t="shared" ca="1" si="84"/>
        <v>0.62644442144861046</v>
      </c>
      <c r="Q659" s="4">
        <f t="shared" ca="1" si="85"/>
        <v>1904.2861782296347</v>
      </c>
      <c r="R659" s="4">
        <f t="shared" ca="1" si="86"/>
        <v>-19.383865770365219</v>
      </c>
      <c r="S659" s="4">
        <f t="shared" ca="1" si="87"/>
        <v>-9.6593528649661149</v>
      </c>
    </row>
    <row r="660" spans="15:19" x14ac:dyDescent="0.2">
      <c r="O660" s="4">
        <f t="shared" ca="1" si="83"/>
        <v>0.21069537856056098</v>
      </c>
      <c r="P660" s="4">
        <f t="shared" ca="1" si="84"/>
        <v>-0.80401076644205749</v>
      </c>
      <c r="Q660" s="4">
        <f t="shared" ca="1" si="85"/>
        <v>1947.6217546360083</v>
      </c>
      <c r="R660" s="4">
        <f t="shared" ca="1" si="86"/>
        <v>23.951710636008329</v>
      </c>
      <c r="S660" s="4">
        <f t="shared" ca="1" si="87"/>
        <v>12.358119810466784</v>
      </c>
    </row>
    <row r="661" spans="15:19" x14ac:dyDescent="0.2">
      <c r="O661" s="4">
        <f t="shared" ca="1" si="83"/>
        <v>0.65362707463571024</v>
      </c>
      <c r="P661" s="4">
        <f t="shared" ca="1" si="84"/>
        <v>0.39513148919594693</v>
      </c>
      <c r="Q661" s="4">
        <f t="shared" ca="1" si="85"/>
        <v>1911.2937932421673</v>
      </c>
      <c r="R661" s="4">
        <f t="shared" ca="1" si="86"/>
        <v>-12.376250757832622</v>
      </c>
      <c r="S661" s="4">
        <f t="shared" ca="1" si="87"/>
        <v>-6.2026279201979913</v>
      </c>
    </row>
    <row r="662" spans="15:19" x14ac:dyDescent="0.2">
      <c r="O662" s="4">
        <f t="shared" ca="1" si="83"/>
        <v>0.32809060448084593</v>
      </c>
      <c r="P662" s="4">
        <f t="shared" ca="1" si="84"/>
        <v>-0.44519172132378032</v>
      </c>
      <c r="Q662" s="4">
        <f t="shared" ca="1" si="85"/>
        <v>1936.7513475953558</v>
      </c>
      <c r="R662" s="4">
        <f t="shared" ca="1" si="86"/>
        <v>13.081303595355848</v>
      </c>
      <c r="S662" s="4">
        <f t="shared" ca="1" si="87"/>
        <v>6.6915419010708836</v>
      </c>
    </row>
    <row r="663" spans="15:19" x14ac:dyDescent="0.2">
      <c r="O663" s="4">
        <f t="shared" ca="1" si="83"/>
        <v>0.53829939390169435</v>
      </c>
      <c r="P663" s="4">
        <f t="shared" ca="1" si="84"/>
        <v>9.6150288049409879E-2</v>
      </c>
      <c r="Q663" s="4">
        <f t="shared" ca="1" si="85"/>
        <v>1920.3514154564366</v>
      </c>
      <c r="R663" s="4">
        <f t="shared" ca="1" si="86"/>
        <v>-3.3186285435633636</v>
      </c>
      <c r="S663" s="4">
        <f t="shared" ca="1" si="87"/>
        <v>-1.6754391007692246</v>
      </c>
    </row>
    <row r="664" spans="15:19" x14ac:dyDescent="0.2">
      <c r="O664" s="4">
        <f t="shared" ca="1" si="83"/>
        <v>1.1085922606515308E-2</v>
      </c>
      <c r="P664" s="4">
        <f t="shared" ca="1" si="84"/>
        <v>-2.2874109935887863</v>
      </c>
      <c r="Q664" s="4">
        <f t="shared" ca="1" si="85"/>
        <v>1992.5612986559381</v>
      </c>
      <c r="R664" s="4">
        <f t="shared" ca="1" si="86"/>
        <v>68.891254655938155</v>
      </c>
      <c r="S664" s="4">
        <f t="shared" ca="1" si="87"/>
        <v>36.805380457831063</v>
      </c>
    </row>
    <row r="665" spans="15:19" x14ac:dyDescent="0.2">
      <c r="O665" s="4">
        <f t="shared" ca="1" si="83"/>
        <v>0.21553360811370925</v>
      </c>
      <c r="P665" s="4">
        <f t="shared" ca="1" si="84"/>
        <v>-0.78736673101846855</v>
      </c>
      <c r="Q665" s="4">
        <f t="shared" ca="1" si="85"/>
        <v>1947.1175243218295</v>
      </c>
      <c r="R665" s="4">
        <f t="shared" ca="1" si="86"/>
        <v>23.447480321829516</v>
      </c>
      <c r="S665" s="4">
        <f t="shared" ca="1" si="87"/>
        <v>12.093144487696655</v>
      </c>
    </row>
    <row r="666" spans="15:19" x14ac:dyDescent="0.2">
      <c r="O666" s="4">
        <f t="shared" ca="1" si="83"/>
        <v>0.83290489729634398</v>
      </c>
      <c r="P666" s="4">
        <f t="shared" ca="1" si="84"/>
        <v>0.96570821945154683</v>
      </c>
      <c r="Q666" s="4">
        <f t="shared" ca="1" si="85"/>
        <v>1894.0081965321078</v>
      </c>
      <c r="R666" s="4">
        <f t="shared" ca="1" si="86"/>
        <v>-29.66184746789213</v>
      </c>
      <c r="S666" s="4">
        <f t="shared" ca="1" si="87"/>
        <v>-14.65696796224595</v>
      </c>
    </row>
    <row r="667" spans="15:19" x14ac:dyDescent="0.2">
      <c r="O667" s="4">
        <f t="shared" ca="1" si="83"/>
        <v>0.19593098438075585</v>
      </c>
      <c r="P667" s="4">
        <f t="shared" ca="1" si="84"/>
        <v>-0.85624555632349264</v>
      </c>
      <c r="Q667" s="4">
        <f t="shared" ca="1" si="85"/>
        <v>1949.2042052762945</v>
      </c>
      <c r="R667" s="4">
        <f t="shared" ca="1" si="86"/>
        <v>25.534161276294526</v>
      </c>
      <c r="S667" s="4">
        <f t="shared" ca="1" si="87"/>
        <v>13.191048988053325</v>
      </c>
    </row>
    <row r="668" spans="15:19" x14ac:dyDescent="0.2">
      <c r="O668" s="4">
        <f t="shared" ca="1" si="83"/>
        <v>0.81741929006862946</v>
      </c>
      <c r="P668" s="4">
        <f t="shared" ca="1" si="84"/>
        <v>0.9055739164447717</v>
      </c>
      <c r="Q668" s="4">
        <f t="shared" ca="1" si="85"/>
        <v>1895.8299625717955</v>
      </c>
      <c r="R668" s="4">
        <f t="shared" ca="1" si="86"/>
        <v>-27.840081428204485</v>
      </c>
      <c r="S668" s="4">
        <f t="shared" ca="1" si="87"/>
        <v>-13.777414710616419</v>
      </c>
    </row>
    <row r="669" spans="15:19" x14ac:dyDescent="0.2">
      <c r="O669" s="4">
        <f t="shared" ca="1" si="83"/>
        <v>0.66911845275606019</v>
      </c>
      <c r="P669" s="4">
        <f t="shared" ca="1" si="84"/>
        <v>0.43748025232014293</v>
      </c>
      <c r="Q669" s="4">
        <f t="shared" ca="1" si="85"/>
        <v>1910.0108393435623</v>
      </c>
      <c r="R669" s="4">
        <f t="shared" ca="1" si="86"/>
        <v>-13.659204656437623</v>
      </c>
      <c r="S669" s="4">
        <f t="shared" ca="1" si="87"/>
        <v>-6.8384747061526321</v>
      </c>
    </row>
    <row r="670" spans="15:19" x14ac:dyDescent="0.2">
      <c r="O670" s="4">
        <f t="shared" ca="1" si="83"/>
        <v>0.83517282951906979</v>
      </c>
      <c r="P670" s="4">
        <f t="shared" ca="1" si="84"/>
        <v>0.97481035241566993</v>
      </c>
      <c r="Q670" s="4">
        <f t="shared" ca="1" si="85"/>
        <v>1893.7324478180853</v>
      </c>
      <c r="R670" s="4">
        <f t="shared" ca="1" si="86"/>
        <v>-29.937596181914614</v>
      </c>
      <c r="S670" s="4">
        <f t="shared" ca="1" si="87"/>
        <v>-14.789864695261755</v>
      </c>
    </row>
    <row r="671" spans="15:19" x14ac:dyDescent="0.2">
      <c r="O671" s="4">
        <f t="shared" ca="1" si="83"/>
        <v>0.86300006006182273</v>
      </c>
      <c r="P671" s="4">
        <f t="shared" ca="1" si="84"/>
        <v>1.0938976264639242</v>
      </c>
      <c r="Q671" s="4">
        <f t="shared" ca="1" si="85"/>
        <v>1890.1247041381489</v>
      </c>
      <c r="R671" s="4">
        <f t="shared" ca="1" si="86"/>
        <v>-33.545339861851062</v>
      </c>
      <c r="S671" s="4">
        <f t="shared" ca="1" si="87"/>
        <v>-16.522908753126043</v>
      </c>
    </row>
    <row r="672" spans="15:19" x14ac:dyDescent="0.2">
      <c r="O672" s="4">
        <f t="shared" ca="1" si="83"/>
        <v>0.11415873579635238</v>
      </c>
      <c r="P672" s="4">
        <f t="shared" ca="1" si="84"/>
        <v>-1.2047043099978223</v>
      </c>
      <c r="Q672" s="4">
        <f t="shared" ca="1" si="85"/>
        <v>1959.7607477476392</v>
      </c>
      <c r="R672" s="4">
        <f t="shared" ca="1" si="86"/>
        <v>36.090703747639282</v>
      </c>
      <c r="S672" s="4">
        <f t="shared" ca="1" si="87"/>
        <v>18.79969124237266</v>
      </c>
    </row>
    <row r="673" spans="15:19" x14ac:dyDescent="0.2">
      <c r="O673" s="4">
        <f t="shared" ca="1" si="83"/>
        <v>0.56622825087086504</v>
      </c>
      <c r="P673" s="4">
        <f t="shared" ca="1" si="84"/>
        <v>0.16677956497391605</v>
      </c>
      <c r="Q673" s="4">
        <f t="shared" ca="1" si="85"/>
        <v>1918.2117046478775</v>
      </c>
      <c r="R673" s="4">
        <f t="shared" ca="1" si="86"/>
        <v>-5.4583393521224934</v>
      </c>
      <c r="S673" s="4">
        <f t="shared" ca="1" si="87"/>
        <v>-2.7509368398150826</v>
      </c>
    </row>
    <row r="674" spans="15:19" x14ac:dyDescent="0.2">
      <c r="O674" s="4">
        <f t="shared" ca="1" si="83"/>
        <v>2.8666102578482122E-2</v>
      </c>
      <c r="P674" s="4">
        <f t="shared" ca="1" si="84"/>
        <v>-1.9007695422085258</v>
      </c>
      <c r="Q674" s="4">
        <f t="shared" ca="1" si="85"/>
        <v>1980.8480130528651</v>
      </c>
      <c r="R674" s="4">
        <f t="shared" ca="1" si="86"/>
        <v>57.177969052865137</v>
      </c>
      <c r="S674" s="4">
        <f t="shared" ca="1" si="87"/>
        <v>30.274887607458581</v>
      </c>
    </row>
    <row r="675" spans="15:19" x14ac:dyDescent="0.2">
      <c r="O675" s="4">
        <f t="shared" ca="1" si="83"/>
        <v>0.33073988401416676</v>
      </c>
      <c r="P675" s="4">
        <f t="shared" ca="1" si="84"/>
        <v>-0.43787104263776888</v>
      </c>
      <c r="Q675" s="4">
        <f t="shared" ca="1" si="85"/>
        <v>1936.5295679595936</v>
      </c>
      <c r="R675" s="4">
        <f t="shared" ca="1" si="86"/>
        <v>12.859523959593616</v>
      </c>
      <c r="S675" s="4">
        <f t="shared" ca="1" si="87"/>
        <v>6.576932947926041</v>
      </c>
    </row>
    <row r="676" spans="15:19" x14ac:dyDescent="0.2">
      <c r="O676" s="4">
        <f t="shared" ca="1" si="83"/>
        <v>0.41544172403321378</v>
      </c>
      <c r="P676" s="4">
        <f t="shared" ca="1" si="84"/>
        <v>-0.21356865119077442</v>
      </c>
      <c r="Q676" s="4">
        <f t="shared" ca="1" si="85"/>
        <v>1929.7343369695081</v>
      </c>
      <c r="R676" s="4">
        <f t="shared" ca="1" si="86"/>
        <v>6.0642929695081875</v>
      </c>
      <c r="S676" s="4">
        <f t="shared" ca="1" si="87"/>
        <v>3.0847747353950763</v>
      </c>
    </row>
    <row r="677" spans="15:19" x14ac:dyDescent="0.2">
      <c r="O677" s="4">
        <f t="shared" ca="1" si="83"/>
        <v>0.1659860801223324</v>
      </c>
      <c r="P677" s="4">
        <f t="shared" ca="1" si="84"/>
        <v>-0.97014913525551538</v>
      </c>
      <c r="Q677" s="4">
        <f t="shared" ca="1" si="85"/>
        <v>1952.6549091428355</v>
      </c>
      <c r="R677" s="4">
        <f t="shared" ca="1" si="86"/>
        <v>28.984865142835588</v>
      </c>
      <c r="S677" s="4">
        <f t="shared" ca="1" si="87"/>
        <v>15.014410617195875</v>
      </c>
    </row>
    <row r="678" spans="15:19" x14ac:dyDescent="0.2">
      <c r="O678" s="4">
        <f t="shared" ca="1" si="83"/>
        <v>0.94895147484202003</v>
      </c>
      <c r="P678" s="4">
        <f t="shared" ca="1" si="84"/>
        <v>1.6347710568274223</v>
      </c>
      <c r="Q678" s="4">
        <f t="shared" ca="1" si="85"/>
        <v>1873.7389675795239</v>
      </c>
      <c r="R678" s="4">
        <f t="shared" ca="1" si="86"/>
        <v>-49.931076420476074</v>
      </c>
      <c r="S678" s="4">
        <f t="shared" ca="1" si="87"/>
        <v>-24.26073062293824</v>
      </c>
    </row>
    <row r="679" spans="15:19" x14ac:dyDescent="0.2">
      <c r="O679" s="4">
        <f t="shared" ca="1" si="83"/>
        <v>0.76760205529253989</v>
      </c>
      <c r="P679" s="4">
        <f t="shared" ca="1" si="84"/>
        <v>0.73097259974102802</v>
      </c>
      <c r="Q679" s="4">
        <f t="shared" ca="1" si="85"/>
        <v>1901.119501709212</v>
      </c>
      <c r="R679" s="4">
        <f t="shared" ca="1" si="86"/>
        <v>-22.550542290787916</v>
      </c>
      <c r="S679" s="4">
        <f t="shared" ca="1" si="87"/>
        <v>-11.208299713129172</v>
      </c>
    </row>
    <row r="680" spans="15:19" x14ac:dyDescent="0.2">
      <c r="O680" s="4">
        <f t="shared" ca="1" si="83"/>
        <v>4.9567731089024125E-2</v>
      </c>
      <c r="P680" s="4">
        <f t="shared" ca="1" si="84"/>
        <v>-1.6490594195302324</v>
      </c>
      <c r="Q680" s="4">
        <f t="shared" ca="1" si="85"/>
        <v>1973.2224660620029</v>
      </c>
      <c r="R680" s="4">
        <f t="shared" ca="1" si="86"/>
        <v>49.552422062002961</v>
      </c>
      <c r="S680" s="4">
        <f t="shared" ca="1" si="87"/>
        <v>26.083456499489927</v>
      </c>
    </row>
    <row r="681" spans="15:19" x14ac:dyDescent="0.2">
      <c r="O681" s="4">
        <f t="shared" ca="1" si="83"/>
        <v>0.79080061222434139</v>
      </c>
      <c r="P681" s="4">
        <f t="shared" ca="1" si="84"/>
        <v>0.80920232891640853</v>
      </c>
      <c r="Q681" s="4">
        <f t="shared" ca="1" si="85"/>
        <v>1898.7495355371655</v>
      </c>
      <c r="R681" s="4">
        <f t="shared" ca="1" si="86"/>
        <v>-24.920508462834505</v>
      </c>
      <c r="S681" s="4">
        <f t="shared" ca="1" si="87"/>
        <v>-12.362202567521644</v>
      </c>
    </row>
    <row r="682" spans="15:19" x14ac:dyDescent="0.2">
      <c r="O682" s="4">
        <f t="shared" ca="1" si="83"/>
        <v>0.4866432791131714</v>
      </c>
      <c r="P682" s="4">
        <f t="shared" ca="1" si="84"/>
        <v>-3.3486591553773468E-2</v>
      </c>
      <c r="Q682" s="4">
        <f t="shared" ca="1" si="85"/>
        <v>1924.2787589682675</v>
      </c>
      <c r="R682" s="4">
        <f t="shared" ca="1" si="86"/>
        <v>0.60871496826757721</v>
      </c>
      <c r="S682" s="4">
        <f t="shared" ca="1" si="87"/>
        <v>0.30828831219551506</v>
      </c>
    </row>
    <row r="683" spans="15:19" x14ac:dyDescent="0.2">
      <c r="O683" s="4">
        <f t="shared" ca="1" si="83"/>
        <v>0.18644937289763353</v>
      </c>
      <c r="P683" s="4">
        <f t="shared" ca="1" si="84"/>
        <v>-0.89105671299178202</v>
      </c>
      <c r="Q683" s="4">
        <f t="shared" ca="1" si="85"/>
        <v>1950.2588077219798</v>
      </c>
      <c r="R683" s="4">
        <f t="shared" ca="1" si="86"/>
        <v>26.588763721979831</v>
      </c>
      <c r="S683" s="4">
        <f t="shared" ca="1" si="87"/>
        <v>13.747275249478255</v>
      </c>
    </row>
    <row r="684" spans="15:19" x14ac:dyDescent="0.2">
      <c r="O684" s="4">
        <f t="shared" ca="1" si="83"/>
        <v>0.59602646737926412</v>
      </c>
      <c r="P684" s="4">
        <f t="shared" ca="1" si="84"/>
        <v>0.24307529994674543</v>
      </c>
      <c r="Q684" s="4">
        <f t="shared" ca="1" si="85"/>
        <v>1915.9003287443297</v>
      </c>
      <c r="R684" s="4">
        <f t="shared" ca="1" si="86"/>
        <v>-7.7697152556702349</v>
      </c>
      <c r="S684" s="4">
        <f t="shared" ca="1" si="87"/>
        <v>-3.9085318176069825</v>
      </c>
    </row>
    <row r="685" spans="15:19" x14ac:dyDescent="0.2">
      <c r="O685" s="4">
        <f t="shared" ca="1" si="83"/>
        <v>0.20544087151649837</v>
      </c>
      <c r="P685" s="4">
        <f t="shared" ca="1" si="84"/>
        <v>-0.82234294245175299</v>
      </c>
      <c r="Q685" s="4">
        <f t="shared" ca="1" si="85"/>
        <v>1948.177127094292</v>
      </c>
      <c r="R685" s="4">
        <f t="shared" ca="1" si="86"/>
        <v>24.507083094292057</v>
      </c>
      <c r="S685" s="4">
        <f t="shared" ca="1" si="87"/>
        <v>12.65021011223622</v>
      </c>
    </row>
    <row r="686" spans="15:19" x14ac:dyDescent="0.2">
      <c r="O686" s="4">
        <f t="shared" ca="1" si="83"/>
        <v>0.25584419726307395</v>
      </c>
      <c r="P686" s="4">
        <f t="shared" ca="1" si="84"/>
        <v>-0.65621096535298029</v>
      </c>
      <c r="Q686" s="4">
        <f t="shared" ca="1" si="85"/>
        <v>1943.1441662241775</v>
      </c>
      <c r="R686" s="4">
        <f t="shared" ca="1" si="86"/>
        <v>19.474122224177563</v>
      </c>
      <c r="S686" s="4">
        <f t="shared" ca="1" si="87"/>
        <v>10.012368934946128</v>
      </c>
    </row>
    <row r="687" spans="15:19" x14ac:dyDescent="0.2">
      <c r="O687" s="4">
        <f t="shared" ca="1" si="83"/>
        <v>0.30673989235573551</v>
      </c>
      <c r="P687" s="4">
        <f t="shared" ca="1" si="84"/>
        <v>-0.50511255352161299</v>
      </c>
      <c r="Q687" s="4">
        <f t="shared" ca="1" si="85"/>
        <v>1938.5666465463639</v>
      </c>
      <c r="R687" s="4">
        <f t="shared" ca="1" si="86"/>
        <v>14.896602546363965</v>
      </c>
      <c r="S687" s="4">
        <f t="shared" ca="1" si="87"/>
        <v>7.631138349921363</v>
      </c>
    </row>
    <row r="688" spans="15:19" x14ac:dyDescent="0.2">
      <c r="O688" s="4">
        <f t="shared" ca="1" si="83"/>
        <v>6.6085223980606789E-2</v>
      </c>
      <c r="P688" s="4">
        <f t="shared" ca="1" si="84"/>
        <v>-1.5055978219033479</v>
      </c>
      <c r="Q688" s="4">
        <f t="shared" ca="1" si="85"/>
        <v>1968.8763033314472</v>
      </c>
      <c r="R688" s="4">
        <f t="shared" ca="1" si="86"/>
        <v>45.2062593314472</v>
      </c>
      <c r="S688" s="4">
        <f t="shared" ca="1" si="87"/>
        <v>23.71574032900249</v>
      </c>
    </row>
    <row r="689" spans="15:19" x14ac:dyDescent="0.2">
      <c r="O689" s="4">
        <f t="shared" ca="1" si="83"/>
        <v>0.25661567997936796</v>
      </c>
      <c r="P689" s="4">
        <f t="shared" ca="1" si="84"/>
        <v>-0.65381444344522077</v>
      </c>
      <c r="Q689" s="4">
        <f t="shared" ca="1" si="85"/>
        <v>1943.0715636993853</v>
      </c>
      <c r="R689" s="4">
        <f t="shared" ca="1" si="86"/>
        <v>19.40151969938529</v>
      </c>
      <c r="S689" s="4">
        <f t="shared" ca="1" si="87"/>
        <v>9.9744678851829569</v>
      </c>
    </row>
    <row r="690" spans="15:19" x14ac:dyDescent="0.2">
      <c r="O690" s="4">
        <f t="shared" ca="1" si="83"/>
        <v>0.34427237745936401</v>
      </c>
      <c r="P690" s="4">
        <f t="shared" ca="1" si="84"/>
        <v>-0.40083072656594432</v>
      </c>
      <c r="Q690" s="4">
        <f t="shared" ca="1" si="85"/>
        <v>1935.4074332287507</v>
      </c>
      <c r="R690" s="4">
        <f t="shared" ca="1" si="86"/>
        <v>11.737389228750772</v>
      </c>
      <c r="S690" s="4">
        <f t="shared" ca="1" si="87"/>
        <v>5.9976618176888996</v>
      </c>
    </row>
    <row r="691" spans="15:19" x14ac:dyDescent="0.2">
      <c r="O691" s="4">
        <f t="shared" ca="1" si="83"/>
        <v>0.97383744189343857</v>
      </c>
      <c r="P691" s="4">
        <f t="shared" ca="1" si="84"/>
        <v>1.9404492495922787</v>
      </c>
      <c r="Q691" s="4">
        <f t="shared" ca="1" si="85"/>
        <v>1864.4784603015175</v>
      </c>
      <c r="R691" s="4">
        <f t="shared" ca="1" si="86"/>
        <v>-59.191583698482418</v>
      </c>
      <c r="S691" s="4">
        <f t="shared" ca="1" si="87"/>
        <v>-28.537133964489261</v>
      </c>
    </row>
    <row r="692" spans="15:19" x14ac:dyDescent="0.2">
      <c r="O692" s="4">
        <f t="shared" ca="1" si="83"/>
        <v>0.28514593811896094</v>
      </c>
      <c r="P692" s="4">
        <f t="shared" ca="1" si="84"/>
        <v>-0.56762168955289916</v>
      </c>
      <c r="Q692" s="4">
        <f t="shared" ca="1" si="85"/>
        <v>1940.4603580470889</v>
      </c>
      <c r="R692" s="4">
        <f t="shared" ca="1" si="86"/>
        <v>16.790314047088941</v>
      </c>
      <c r="S692" s="4">
        <f t="shared" ca="1" si="87"/>
        <v>8.614180206763109</v>
      </c>
    </row>
    <row r="693" spans="15:19" x14ac:dyDescent="0.2">
      <c r="O693" s="4">
        <f t="shared" ca="1" si="83"/>
        <v>0.37067918636218666</v>
      </c>
      <c r="P693" s="4">
        <f t="shared" ca="1" si="84"/>
        <v>-0.3300550419502094</v>
      </c>
      <c r="Q693" s="4">
        <f t="shared" ca="1" si="85"/>
        <v>1933.2632870056862</v>
      </c>
      <c r="R693" s="4">
        <f t="shared" ca="1" si="86"/>
        <v>9.5932430056861904</v>
      </c>
      <c r="S693" s="4">
        <f t="shared" ca="1" si="87"/>
        <v>4.8936562819781999</v>
      </c>
    </row>
    <row r="694" spans="15:19" x14ac:dyDescent="0.2">
      <c r="O694" s="4">
        <f t="shared" ca="1" si="83"/>
        <v>0.58145020015618654</v>
      </c>
      <c r="P694" s="4">
        <f t="shared" ca="1" si="84"/>
        <v>0.20560483595859366</v>
      </c>
      <c r="Q694" s="4">
        <f t="shared" ca="1" si="85"/>
        <v>1917.0354947871999</v>
      </c>
      <c r="R694" s="4">
        <f t="shared" ca="1" si="86"/>
        <v>-6.6345492128000387</v>
      </c>
      <c r="S694" s="4">
        <f t="shared" ca="1" si="87"/>
        <v>-3.3405557311701468</v>
      </c>
    </row>
    <row r="695" spans="15:19" x14ac:dyDescent="0.2">
      <c r="O695" s="4">
        <f t="shared" ca="1" si="83"/>
        <v>0.86627477015421961</v>
      </c>
      <c r="P695" s="4">
        <f t="shared" ca="1" si="84"/>
        <v>1.1089529962253135</v>
      </c>
      <c r="Q695" s="4">
        <f t="shared" ca="1" si="85"/>
        <v>1889.668602379671</v>
      </c>
      <c r="R695" s="4">
        <f t="shared" ca="1" si="86"/>
        <v>-34.001441620328933</v>
      </c>
      <c r="S695" s="4">
        <f t="shared" ca="1" si="87"/>
        <v>-16.74125085825445</v>
      </c>
    </row>
    <row r="696" spans="15:19" x14ac:dyDescent="0.2">
      <c r="O696" s="4">
        <f t="shared" ca="1" si="83"/>
        <v>0.85648223067638218</v>
      </c>
      <c r="P696" s="4">
        <f t="shared" ca="1" si="84"/>
        <v>1.0646473618373342</v>
      </c>
      <c r="Q696" s="4">
        <f t="shared" ca="1" si="85"/>
        <v>1891.010839606329</v>
      </c>
      <c r="R696" s="4">
        <f t="shared" ca="1" si="86"/>
        <v>-32.659204393670962</v>
      </c>
      <c r="S696" s="4">
        <f t="shared" ca="1" si="87"/>
        <v>-16.098219502021937</v>
      </c>
    </row>
    <row r="697" spans="15:19" x14ac:dyDescent="0.2">
      <c r="O697" s="4">
        <f t="shared" ca="1" si="83"/>
        <v>0.59517086722254386</v>
      </c>
      <c r="P697" s="4">
        <f t="shared" ca="1" si="84"/>
        <v>0.24086691464831225</v>
      </c>
      <c r="Q697" s="4">
        <f t="shared" ca="1" si="85"/>
        <v>1915.9672316788956</v>
      </c>
      <c r="R697" s="4">
        <f t="shared" ca="1" si="86"/>
        <v>-7.7028123211043749</v>
      </c>
      <c r="S697" s="4">
        <f t="shared" ca="1" si="87"/>
        <v>-3.8750862775838759</v>
      </c>
    </row>
    <row r="698" spans="15:19" x14ac:dyDescent="0.2">
      <c r="O698" s="4">
        <f t="shared" ca="1" si="83"/>
        <v>0.54612126295355468</v>
      </c>
      <c r="P698" s="4">
        <f t="shared" ca="1" si="84"/>
        <v>0.11586760008180377</v>
      </c>
      <c r="Q698" s="4">
        <f t="shared" ca="1" si="85"/>
        <v>1919.754080363844</v>
      </c>
      <c r="R698" s="4">
        <f t="shared" ca="1" si="86"/>
        <v>-3.9159636361559933</v>
      </c>
      <c r="S698" s="4">
        <f t="shared" ca="1" si="87"/>
        <v>-1.9760568356767023</v>
      </c>
    </row>
    <row r="699" spans="15:19" x14ac:dyDescent="0.2">
      <c r="O699" s="4">
        <f t="shared" ca="1" si="83"/>
        <v>0.52567991290853999</v>
      </c>
      <c r="P699" s="4">
        <f t="shared" ca="1" si="84"/>
        <v>6.4414513175919438E-2</v>
      </c>
      <c r="Q699" s="4">
        <f t="shared" ca="1" si="85"/>
        <v>1921.3128493471925</v>
      </c>
      <c r="R699" s="4">
        <f t="shared" ca="1" si="86"/>
        <v>-2.3571946528074932</v>
      </c>
      <c r="S699" s="4">
        <f t="shared" ca="1" si="87"/>
        <v>-1.1909731958874554</v>
      </c>
    </row>
    <row r="700" spans="15:19" x14ac:dyDescent="0.2">
      <c r="O700" s="4">
        <f t="shared" ca="1" si="83"/>
        <v>0.89435521011823638</v>
      </c>
      <c r="P700" s="4">
        <f t="shared" ca="1" si="84"/>
        <v>1.2500272865866053</v>
      </c>
      <c r="Q700" s="4">
        <f t="shared" ca="1" si="85"/>
        <v>1885.3947630167324</v>
      </c>
      <c r="R700" s="4">
        <f t="shared" ca="1" si="86"/>
        <v>-38.275280983267521</v>
      </c>
      <c r="S700" s="4">
        <f t="shared" ca="1" si="87"/>
        <v>-18.778966887310574</v>
      </c>
    </row>
    <row r="701" spans="15:19" x14ac:dyDescent="0.2">
      <c r="O701" s="4">
        <f t="shared" ca="1" si="83"/>
        <v>0.46518675207701354</v>
      </c>
      <c r="P701" s="4">
        <f t="shared" ca="1" si="84"/>
        <v>-8.7374919885429614E-2</v>
      </c>
      <c r="Q701" s="4">
        <f t="shared" ca="1" si="85"/>
        <v>1925.9113034824875</v>
      </c>
      <c r="R701" s="4">
        <f t="shared" ca="1" si="86"/>
        <v>2.2412594824875214</v>
      </c>
      <c r="S701" s="4">
        <f t="shared" ca="1" si="87"/>
        <v>1.1365923110332619</v>
      </c>
    </row>
    <row r="702" spans="15:19" x14ac:dyDescent="0.2">
      <c r="O702" s="4">
        <f t="shared" ca="1" si="83"/>
        <v>0.99525855042711009</v>
      </c>
      <c r="P702" s="4">
        <f t="shared" ca="1" si="84"/>
        <v>2.5941359137320124</v>
      </c>
      <c r="Q702" s="4">
        <f t="shared" ca="1" si="85"/>
        <v>1844.6750518344356</v>
      </c>
      <c r="R702" s="4">
        <f t="shared" ca="1" si="86"/>
        <v>-78.994992165564327</v>
      </c>
      <c r="S702" s="4">
        <f t="shared" ca="1" si="87"/>
        <v>-37.447841823264945</v>
      </c>
    </row>
    <row r="703" spans="15:19" x14ac:dyDescent="0.2">
      <c r="O703" s="4">
        <f t="shared" ca="1" si="83"/>
        <v>0.87309859252956723</v>
      </c>
      <c r="P703" s="4">
        <f t="shared" ca="1" si="84"/>
        <v>1.1411612777350575</v>
      </c>
      <c r="Q703" s="4">
        <f t="shared" ca="1" si="85"/>
        <v>1888.6928539213486</v>
      </c>
      <c r="R703" s="4">
        <f t="shared" ca="1" si="86"/>
        <v>-34.977190078651347</v>
      </c>
      <c r="S703" s="4">
        <f t="shared" ca="1" si="87"/>
        <v>-17.207786167958613</v>
      </c>
    </row>
    <row r="704" spans="15:19" x14ac:dyDescent="0.2">
      <c r="O704" s="4">
        <f t="shared" ca="1" si="83"/>
        <v>0.84152532806399782</v>
      </c>
      <c r="P704" s="4">
        <f t="shared" ca="1" si="84"/>
        <v>1.0007465755621165</v>
      </c>
      <c r="Q704" s="4">
        <f t="shared" ca="1" si="85"/>
        <v>1892.9467110894061</v>
      </c>
      <c r="R704" s="4">
        <f t="shared" ca="1" si="86"/>
        <v>-30.723332910593854</v>
      </c>
      <c r="S704" s="4">
        <f t="shared" ca="1" si="87"/>
        <v>-15.168209971360719</v>
      </c>
    </row>
    <row r="705" spans="15:19" x14ac:dyDescent="0.2">
      <c r="O705" s="4">
        <f t="shared" ca="1" si="83"/>
        <v>0.35199690549771534</v>
      </c>
      <c r="P705" s="4">
        <f t="shared" ca="1" si="84"/>
        <v>-0.37993480433992943</v>
      </c>
      <c r="Q705" s="4">
        <f t="shared" ca="1" si="85"/>
        <v>1934.7743921926715</v>
      </c>
      <c r="R705" s="4">
        <f t="shared" ca="1" si="86"/>
        <v>11.104348192671523</v>
      </c>
      <c r="S705" s="4">
        <f t="shared" ca="1" si="87"/>
        <v>5.6713241225121216</v>
      </c>
    </row>
    <row r="706" spans="15:19" x14ac:dyDescent="0.2">
      <c r="O706" s="4">
        <f t="shared" ca="1" si="83"/>
        <v>0.501819132784733</v>
      </c>
      <c r="P706" s="4">
        <f t="shared" ca="1" si="84"/>
        <v>4.5599054756239564E-3</v>
      </c>
      <c r="Q706" s="4">
        <f t="shared" ca="1" si="85"/>
        <v>1923.1261420299884</v>
      </c>
      <c r="R706" s="4">
        <f t="shared" ca="1" si="86"/>
        <v>-0.54390197001157503</v>
      </c>
      <c r="S706" s="4">
        <f t="shared" ca="1" si="87"/>
        <v>-0.27520808166256316</v>
      </c>
    </row>
    <row r="707" spans="15:19" x14ac:dyDescent="0.2">
      <c r="O707" s="4">
        <f t="shared" ref="O707:O770" ca="1" si="88">RAND()</f>
        <v>0.40120378508195043</v>
      </c>
      <c r="P707" s="4">
        <f t="shared" ref="P707:P770" ca="1" si="89">NORMSINV(O707)</f>
        <v>-0.25023247804567739</v>
      </c>
      <c r="Q707" s="4">
        <f t="shared" ref="Q707:Q770" ca="1" si="90">$B$4*(1+$B$17-$B$6/SQRT(252)*P707)</f>
        <v>1930.8450659762402</v>
      </c>
      <c r="R707" s="4">
        <f t="shared" ref="R707:R770" ca="1" si="91">Q707-$B$4</f>
        <v>7.1750219762402594</v>
      </c>
      <c r="S707" s="4">
        <f t="shared" ref="S707:S770" ca="1" si="92">R707*$B$12+0.5*$B$13*R707^2</f>
        <v>3.6530227095667671</v>
      </c>
    </row>
    <row r="708" spans="15:19" x14ac:dyDescent="0.2">
      <c r="O708" s="4">
        <f t="shared" ca="1" si="88"/>
        <v>0.21232468830610474</v>
      </c>
      <c r="P708" s="4">
        <f t="shared" ca="1" si="89"/>
        <v>-0.79838108466529356</v>
      </c>
      <c r="Q708" s="4">
        <f t="shared" ca="1" si="90"/>
        <v>1947.4512036765336</v>
      </c>
      <c r="R708" s="4">
        <f t="shared" ca="1" si="91"/>
        <v>23.781159676533662</v>
      </c>
      <c r="S708" s="4">
        <f t="shared" ca="1" si="92"/>
        <v>12.268471339751413</v>
      </c>
    </row>
    <row r="709" spans="15:19" x14ac:dyDescent="0.2">
      <c r="O709" s="4">
        <f t="shared" ca="1" si="88"/>
        <v>2.2546057497729644E-2</v>
      </c>
      <c r="P709" s="4">
        <f t="shared" ca="1" si="89"/>
        <v>-2.0037941571345788</v>
      </c>
      <c r="Q709" s="4">
        <f t="shared" ca="1" si="90"/>
        <v>1983.9691391878607</v>
      </c>
      <c r="R709" s="4">
        <f t="shared" ca="1" si="91"/>
        <v>60.299095187860758</v>
      </c>
      <c r="S709" s="4">
        <f t="shared" ca="1" si="92"/>
        <v>32.004088529820315</v>
      </c>
    </row>
    <row r="710" spans="15:19" x14ac:dyDescent="0.2">
      <c r="O710" s="4">
        <f t="shared" ca="1" si="88"/>
        <v>0.74036053538957702</v>
      </c>
      <c r="P710" s="4">
        <f t="shared" ca="1" si="89"/>
        <v>0.64445731386680705</v>
      </c>
      <c r="Q710" s="4">
        <f t="shared" ca="1" si="90"/>
        <v>1903.74047845358</v>
      </c>
      <c r="R710" s="4">
        <f t="shared" ca="1" si="91"/>
        <v>-19.929565546420008</v>
      </c>
      <c r="S710" s="4">
        <f t="shared" ca="1" si="92"/>
        <v>-9.9268584459793878</v>
      </c>
    </row>
    <row r="711" spans="15:19" x14ac:dyDescent="0.2">
      <c r="O711" s="4">
        <f t="shared" ca="1" si="88"/>
        <v>0.27571467679848227</v>
      </c>
      <c r="P711" s="4">
        <f t="shared" ca="1" si="89"/>
        <v>-0.59561963942262786</v>
      </c>
      <c r="Q711" s="4">
        <f t="shared" ca="1" si="90"/>
        <v>1941.3085546953116</v>
      </c>
      <c r="R711" s="4">
        <f t="shared" ca="1" si="91"/>
        <v>17.638510695311652</v>
      </c>
      <c r="S711" s="4">
        <f t="shared" ca="1" si="92"/>
        <v>9.055433062053611</v>
      </c>
    </row>
    <row r="712" spans="15:19" x14ac:dyDescent="0.2">
      <c r="O712" s="4">
        <f t="shared" ca="1" si="88"/>
        <v>0.66718486908730068</v>
      </c>
      <c r="P712" s="4">
        <f t="shared" ca="1" si="89"/>
        <v>0.4321529374630379</v>
      </c>
      <c r="Q712" s="4">
        <f t="shared" ca="1" si="90"/>
        <v>1910.1722301106308</v>
      </c>
      <c r="R712" s="4">
        <f t="shared" ca="1" si="91"/>
        <v>-13.497813889369127</v>
      </c>
      <c r="S712" s="4">
        <f t="shared" ca="1" si="92"/>
        <v>-6.7585612595303033</v>
      </c>
    </row>
    <row r="713" spans="15:19" x14ac:dyDescent="0.2">
      <c r="O713" s="4">
        <f t="shared" ca="1" si="88"/>
        <v>0.26464701855997907</v>
      </c>
      <c r="P713" s="4">
        <f t="shared" ca="1" si="89"/>
        <v>-0.62908404215873259</v>
      </c>
      <c r="Q713" s="4">
        <f t="shared" ca="1" si="90"/>
        <v>1942.3223572904162</v>
      </c>
      <c r="R713" s="4">
        <f t="shared" ca="1" si="91"/>
        <v>18.652313290416259</v>
      </c>
      <c r="S713" s="4">
        <f t="shared" ca="1" si="92"/>
        <v>9.5836066474654871</v>
      </c>
    </row>
    <row r="714" spans="15:19" x14ac:dyDescent="0.2">
      <c r="O714" s="4">
        <f t="shared" ca="1" si="88"/>
        <v>0.11025279183020376</v>
      </c>
      <c r="P714" s="4">
        <f t="shared" ca="1" si="89"/>
        <v>-1.2251848437524167</v>
      </c>
      <c r="Q714" s="4">
        <f t="shared" ca="1" si="90"/>
        <v>1960.3812046084197</v>
      </c>
      <c r="R714" s="4">
        <f t="shared" ca="1" si="91"/>
        <v>36.711160608419732</v>
      </c>
      <c r="S714" s="4">
        <f t="shared" ca="1" si="92"/>
        <v>19.132160068971565</v>
      </c>
    </row>
    <row r="715" spans="15:19" x14ac:dyDescent="0.2">
      <c r="O715" s="4">
        <f t="shared" ca="1" si="88"/>
        <v>0.26003118190367236</v>
      </c>
      <c r="P715" s="4">
        <f t="shared" ca="1" si="89"/>
        <v>-0.64324927628290751</v>
      </c>
      <c r="Q715" s="4">
        <f t="shared" ca="1" si="90"/>
        <v>1942.7514924292857</v>
      </c>
      <c r="R715" s="4">
        <f t="shared" ca="1" si="91"/>
        <v>19.081448429285729</v>
      </c>
      <c r="S715" s="4">
        <f t="shared" ca="1" si="92"/>
        <v>9.8074306824752888</v>
      </c>
    </row>
    <row r="716" spans="15:19" x14ac:dyDescent="0.2">
      <c r="O716" s="4">
        <f t="shared" ca="1" si="88"/>
        <v>0.72131503574911937</v>
      </c>
      <c r="P716" s="4">
        <f t="shared" ca="1" si="89"/>
        <v>0.58675252088756513</v>
      </c>
      <c r="Q716" s="4">
        <f t="shared" ca="1" si="90"/>
        <v>1905.4886425948509</v>
      </c>
      <c r="R716" s="4">
        <f t="shared" ca="1" si="91"/>
        <v>-18.181401405149018</v>
      </c>
      <c r="S716" s="4">
        <f t="shared" ca="1" si="92"/>
        <v>-9.0690413065825535</v>
      </c>
    </row>
    <row r="717" spans="15:19" x14ac:dyDescent="0.2">
      <c r="O717" s="4">
        <f t="shared" ca="1" si="88"/>
        <v>0.61553393060806305</v>
      </c>
      <c r="P717" s="4">
        <f t="shared" ca="1" si="89"/>
        <v>0.2937719914399286</v>
      </c>
      <c r="Q717" s="4">
        <f t="shared" ca="1" si="90"/>
        <v>1914.3644747264261</v>
      </c>
      <c r="R717" s="4">
        <f t="shared" ca="1" si="91"/>
        <v>-9.3055692735738376</v>
      </c>
      <c r="S717" s="4">
        <f t="shared" ca="1" si="92"/>
        <v>-4.6753207158089873</v>
      </c>
    </row>
    <row r="718" spans="15:19" x14ac:dyDescent="0.2">
      <c r="O718" s="4">
        <f t="shared" ca="1" si="88"/>
        <v>4.9655728580344505E-2</v>
      </c>
      <c r="P718" s="4">
        <f t="shared" ca="1" si="89"/>
        <v>-1.6482008759272384</v>
      </c>
      <c r="Q718" s="4">
        <f t="shared" ca="1" si="90"/>
        <v>1973.1964565216688</v>
      </c>
      <c r="R718" s="4">
        <f t="shared" ca="1" si="91"/>
        <v>49.526412521668817</v>
      </c>
      <c r="S718" s="4">
        <f t="shared" ca="1" si="92"/>
        <v>26.06924120007508</v>
      </c>
    </row>
    <row r="719" spans="15:19" x14ac:dyDescent="0.2">
      <c r="O719" s="4">
        <f t="shared" ca="1" si="88"/>
        <v>0.62747893536239208</v>
      </c>
      <c r="P719" s="4">
        <f t="shared" ca="1" si="89"/>
        <v>0.32518358784659945</v>
      </c>
      <c r="Q719" s="4">
        <f t="shared" ca="1" si="90"/>
        <v>1913.4128618079292</v>
      </c>
      <c r="R719" s="4">
        <f t="shared" ca="1" si="91"/>
        <v>-10.257182192070786</v>
      </c>
      <c r="S719" s="4">
        <f t="shared" ca="1" si="92"/>
        <v>-5.1494584274173949</v>
      </c>
    </row>
    <row r="720" spans="15:19" x14ac:dyDescent="0.2">
      <c r="O720" s="4">
        <f t="shared" ca="1" si="88"/>
        <v>0.1205596825418449</v>
      </c>
      <c r="P720" s="4">
        <f t="shared" ca="1" si="89"/>
        <v>-1.17219353087606</v>
      </c>
      <c r="Q720" s="4">
        <f t="shared" ca="1" si="90"/>
        <v>1958.7758351375917</v>
      </c>
      <c r="R720" s="4">
        <f t="shared" ca="1" si="91"/>
        <v>35.105791137591723</v>
      </c>
      <c r="S720" s="4">
        <f t="shared" ca="1" si="92"/>
        <v>18.27257419125073</v>
      </c>
    </row>
    <row r="721" spans="15:19" x14ac:dyDescent="0.2">
      <c r="O721" s="4">
        <f t="shared" ca="1" si="88"/>
        <v>5.4883358994060272E-2</v>
      </c>
      <c r="P721" s="4">
        <f t="shared" ca="1" si="89"/>
        <v>-1.5992425555394953</v>
      </c>
      <c r="Q721" s="4">
        <f t="shared" ca="1" si="90"/>
        <v>1971.7132663792222</v>
      </c>
      <c r="R721" s="4">
        <f t="shared" ca="1" si="91"/>
        <v>48.043222379222243</v>
      </c>
      <c r="S721" s="4">
        <f t="shared" ca="1" si="92"/>
        <v>25.259527075787066</v>
      </c>
    </row>
    <row r="722" spans="15:19" x14ac:dyDescent="0.2">
      <c r="O722" s="4">
        <f t="shared" ca="1" si="88"/>
        <v>0.12355179355603074</v>
      </c>
      <c r="P722" s="4">
        <f t="shared" ca="1" si="89"/>
        <v>-1.1574131913980494</v>
      </c>
      <c r="Q722" s="4">
        <f t="shared" ca="1" si="90"/>
        <v>1958.3280654093371</v>
      </c>
      <c r="R722" s="4">
        <f t="shared" ca="1" si="91"/>
        <v>34.658021409337152</v>
      </c>
      <c r="S722" s="4">
        <f t="shared" ca="1" si="92"/>
        <v>18.033192690246015</v>
      </c>
    </row>
    <row r="723" spans="15:19" x14ac:dyDescent="0.2">
      <c r="O723" s="4">
        <f t="shared" ca="1" si="88"/>
        <v>0.99839613832685759</v>
      </c>
      <c r="P723" s="4">
        <f t="shared" ca="1" si="89"/>
        <v>2.9470972212944577</v>
      </c>
      <c r="Q723" s="4">
        <f t="shared" ca="1" si="90"/>
        <v>1833.9821046929592</v>
      </c>
      <c r="R723" s="4">
        <f t="shared" ca="1" si="91"/>
        <v>-89.687939307040779</v>
      </c>
      <c r="S723" s="4">
        <f t="shared" ca="1" si="92"/>
        <v>-42.126478447359936</v>
      </c>
    </row>
    <row r="724" spans="15:19" x14ac:dyDescent="0.2">
      <c r="O724" s="4">
        <f t="shared" ca="1" si="88"/>
        <v>0.871883757465578</v>
      </c>
      <c r="P724" s="4">
        <f t="shared" ca="1" si="89"/>
        <v>1.1353409635699101</v>
      </c>
      <c r="Q724" s="4">
        <f t="shared" ca="1" si="90"/>
        <v>1888.8691800805655</v>
      </c>
      <c r="R724" s="4">
        <f t="shared" ca="1" si="91"/>
        <v>-34.800863919434505</v>
      </c>
      <c r="S724" s="4">
        <f t="shared" ca="1" si="92"/>
        <v>-17.123536595174816</v>
      </c>
    </row>
    <row r="725" spans="15:19" x14ac:dyDescent="0.2">
      <c r="O725" s="4">
        <f t="shared" ca="1" si="88"/>
        <v>5.0082559182095143E-2</v>
      </c>
      <c r="P725" s="4">
        <f t="shared" ca="1" si="89"/>
        <v>-1.6440536621111064</v>
      </c>
      <c r="Q725" s="4">
        <f t="shared" ca="1" si="90"/>
        <v>1973.0708168632409</v>
      </c>
      <c r="R725" s="4">
        <f t="shared" ca="1" si="91"/>
        <v>49.400772863240945</v>
      </c>
      <c r="S725" s="4">
        <f t="shared" ca="1" si="92"/>
        <v>26.000581638574531</v>
      </c>
    </row>
    <row r="726" spans="15:19" x14ac:dyDescent="0.2">
      <c r="O726" s="4">
        <f t="shared" ca="1" si="88"/>
        <v>0.80878661540289309</v>
      </c>
      <c r="P726" s="4">
        <f t="shared" ca="1" si="89"/>
        <v>0.87343362643779909</v>
      </c>
      <c r="Q726" s="4">
        <f t="shared" ca="1" si="90"/>
        <v>1896.80365123056</v>
      </c>
      <c r="R726" s="4">
        <f t="shared" ca="1" si="91"/>
        <v>-26.866392769439926</v>
      </c>
      <c r="S726" s="4">
        <f t="shared" ca="1" si="92"/>
        <v>-13.306207360722878</v>
      </c>
    </row>
    <row r="727" spans="15:19" x14ac:dyDescent="0.2">
      <c r="O727" s="4">
        <f t="shared" ca="1" si="88"/>
        <v>0.3849542340679929</v>
      </c>
      <c r="P727" s="4">
        <f t="shared" ca="1" si="89"/>
        <v>-0.29249462602834864</v>
      </c>
      <c r="Q727" s="4">
        <f t="shared" ca="1" si="90"/>
        <v>1932.1253958729781</v>
      </c>
      <c r="R727" s="4">
        <f t="shared" ca="1" si="91"/>
        <v>8.455351872978099</v>
      </c>
      <c r="S727" s="4">
        <f t="shared" ca="1" si="92"/>
        <v>4.3092845275725935</v>
      </c>
    </row>
    <row r="728" spans="15:19" x14ac:dyDescent="0.2">
      <c r="O728" s="4">
        <f t="shared" ca="1" si="88"/>
        <v>0.60628946959667251</v>
      </c>
      <c r="P728" s="4">
        <f t="shared" ca="1" si="89"/>
        <v>0.26966100781466013</v>
      </c>
      <c r="Q728" s="4">
        <f t="shared" ca="1" si="90"/>
        <v>1915.09491590485</v>
      </c>
      <c r="R728" s="4">
        <f t="shared" ca="1" si="91"/>
        <v>-8.5751280951499211</v>
      </c>
      <c r="S728" s="4">
        <f t="shared" ca="1" si="92"/>
        <v>-4.3108808854782108</v>
      </c>
    </row>
    <row r="729" spans="15:19" x14ac:dyDescent="0.2">
      <c r="O729" s="4">
        <f t="shared" ca="1" si="88"/>
        <v>0.22383919408271824</v>
      </c>
      <c r="P729" s="4">
        <f t="shared" ca="1" si="89"/>
        <v>-0.75929118718081223</v>
      </c>
      <c r="Q729" s="4">
        <f t="shared" ca="1" si="90"/>
        <v>1946.2669769677934</v>
      </c>
      <c r="R729" s="4">
        <f t="shared" ca="1" si="91"/>
        <v>22.596932967793464</v>
      </c>
      <c r="S729" s="4">
        <f t="shared" ca="1" si="92"/>
        <v>11.64664705273467</v>
      </c>
    </row>
    <row r="730" spans="15:19" x14ac:dyDescent="0.2">
      <c r="O730" s="4">
        <f t="shared" ca="1" si="88"/>
        <v>0.20695537467163161</v>
      </c>
      <c r="P730" s="4">
        <f t="shared" ca="1" si="89"/>
        <v>-0.81703093564923412</v>
      </c>
      <c r="Q730" s="4">
        <f t="shared" ca="1" si="90"/>
        <v>1948.0162000840576</v>
      </c>
      <c r="R730" s="4">
        <f t="shared" ca="1" si="91"/>
        <v>24.346156084057611</v>
      </c>
      <c r="S730" s="4">
        <f t="shared" ca="1" si="92"/>
        <v>12.565546984222898</v>
      </c>
    </row>
    <row r="731" spans="15:19" x14ac:dyDescent="0.2">
      <c r="O731" s="4">
        <f t="shared" ca="1" si="88"/>
        <v>0.51837257968119232</v>
      </c>
      <c r="P731" s="4">
        <f t="shared" ca="1" si="89"/>
        <v>4.6069518848818394E-2</v>
      </c>
      <c r="Q731" s="4">
        <f t="shared" ca="1" si="90"/>
        <v>1921.8686101358323</v>
      </c>
      <c r="R731" s="4">
        <f t="shared" ca="1" si="91"/>
        <v>-1.8014338641676204</v>
      </c>
      <c r="S731" s="4">
        <f t="shared" ca="1" si="92"/>
        <v>-0.91058246053261993</v>
      </c>
    </row>
    <row r="732" spans="15:19" x14ac:dyDescent="0.2">
      <c r="O732" s="4">
        <f t="shared" ca="1" si="88"/>
        <v>0.116907149441696</v>
      </c>
      <c r="P732" s="4">
        <f t="shared" ca="1" si="89"/>
        <v>-1.1905907138494747</v>
      </c>
      <c r="Q732" s="4">
        <f t="shared" ca="1" si="90"/>
        <v>1959.3331769789545</v>
      </c>
      <c r="R732" s="4">
        <f t="shared" ca="1" si="91"/>
        <v>35.663132978954536</v>
      </c>
      <c r="S732" s="4">
        <f t="shared" ca="1" si="92"/>
        <v>18.570761911262625</v>
      </c>
    </row>
    <row r="733" spans="15:19" x14ac:dyDescent="0.2">
      <c r="O733" s="4">
        <f t="shared" ca="1" si="88"/>
        <v>0.86654859532290918</v>
      </c>
      <c r="P733" s="4">
        <f t="shared" ca="1" si="89"/>
        <v>1.1102233126302168</v>
      </c>
      <c r="Q733" s="4">
        <f t="shared" ca="1" si="90"/>
        <v>1889.630118200585</v>
      </c>
      <c r="R733" s="4">
        <f t="shared" ca="1" si="91"/>
        <v>-34.039925799414959</v>
      </c>
      <c r="S733" s="4">
        <f t="shared" ca="1" si="92"/>
        <v>-16.759666009307196</v>
      </c>
    </row>
    <row r="734" spans="15:19" x14ac:dyDescent="0.2">
      <c r="O734" s="4">
        <f t="shared" ca="1" si="88"/>
        <v>0.90887024517872184</v>
      </c>
      <c r="P734" s="4">
        <f t="shared" ca="1" si="89"/>
        <v>1.3338302046147508</v>
      </c>
      <c r="Q734" s="4">
        <f t="shared" ca="1" si="90"/>
        <v>1882.855957335835</v>
      </c>
      <c r="R734" s="4">
        <f t="shared" ca="1" si="91"/>
        <v>-40.814086664164961</v>
      </c>
      <c r="S734" s="4">
        <f t="shared" ca="1" si="92"/>
        <v>-19.982398728228375</v>
      </c>
    </row>
    <row r="735" spans="15:19" x14ac:dyDescent="0.2">
      <c r="O735" s="4">
        <f t="shared" ca="1" si="88"/>
        <v>0.19596254925626211</v>
      </c>
      <c r="P735" s="4">
        <f t="shared" ca="1" si="89"/>
        <v>-0.85613140638217233</v>
      </c>
      <c r="Q735" s="4">
        <f t="shared" ca="1" si="90"/>
        <v>1949.20074710889</v>
      </c>
      <c r="R735" s="4">
        <f t="shared" ca="1" si="91"/>
        <v>25.530703108890066</v>
      </c>
      <c r="S735" s="4">
        <f t="shared" ca="1" si="92"/>
        <v>13.189226545140375</v>
      </c>
    </row>
    <row r="736" spans="15:19" x14ac:dyDescent="0.2">
      <c r="O736" s="4">
        <f t="shared" ca="1" si="88"/>
        <v>9.3012621611013424E-2</v>
      </c>
      <c r="P736" s="4">
        <f t="shared" ca="1" si="89"/>
        <v>-1.3224292828629876</v>
      </c>
      <c r="Q736" s="4">
        <f t="shared" ca="1" si="90"/>
        <v>1963.3272205737192</v>
      </c>
      <c r="R736" s="4">
        <f t="shared" ca="1" si="91"/>
        <v>39.657176573719198</v>
      </c>
      <c r="S736" s="4">
        <f t="shared" ca="1" si="92"/>
        <v>20.715045593737926</v>
      </c>
    </row>
    <row r="737" spans="15:19" x14ac:dyDescent="0.2">
      <c r="O737" s="4">
        <f t="shared" ca="1" si="88"/>
        <v>0.72568530535934517</v>
      </c>
      <c r="P737" s="4">
        <f t="shared" ca="1" si="89"/>
        <v>0.59981521929355153</v>
      </c>
      <c r="Q737" s="4">
        <f t="shared" ca="1" si="90"/>
        <v>1905.0929087266127</v>
      </c>
      <c r="R737" s="4">
        <f t="shared" ca="1" si="91"/>
        <v>-18.577135273387285</v>
      </c>
      <c r="S737" s="4">
        <f t="shared" ca="1" si="92"/>
        <v>-9.2634441945121022</v>
      </c>
    </row>
    <row r="738" spans="15:19" x14ac:dyDescent="0.2">
      <c r="O738" s="4">
        <f t="shared" ca="1" si="88"/>
        <v>0.42439356011352714</v>
      </c>
      <c r="P738" s="4">
        <f t="shared" ca="1" si="89"/>
        <v>-0.19066620140917132</v>
      </c>
      <c r="Q738" s="4">
        <f t="shared" ca="1" si="90"/>
        <v>1929.0405082702202</v>
      </c>
      <c r="R738" s="4">
        <f t="shared" ca="1" si="91"/>
        <v>5.3704642702202818</v>
      </c>
      <c r="S738" s="4">
        <f t="shared" ca="1" si="92"/>
        <v>2.730322261172379</v>
      </c>
    </row>
    <row r="739" spans="15:19" x14ac:dyDescent="0.2">
      <c r="O739" s="4">
        <f t="shared" ca="1" si="88"/>
        <v>0.55043926581042735</v>
      </c>
      <c r="P739" s="4">
        <f t="shared" ca="1" si="89"/>
        <v>0.12677122840841179</v>
      </c>
      <c r="Q739" s="4">
        <f t="shared" ca="1" si="90"/>
        <v>1919.4237554277995</v>
      </c>
      <c r="R739" s="4">
        <f t="shared" ca="1" si="91"/>
        <v>-4.2462885722004557</v>
      </c>
      <c r="S739" s="4">
        <f t="shared" ca="1" si="92"/>
        <v>-2.1421730156142722</v>
      </c>
    </row>
    <row r="740" spans="15:19" x14ac:dyDescent="0.2">
      <c r="O740" s="4">
        <f t="shared" ca="1" si="88"/>
        <v>8.9924061949195555E-2</v>
      </c>
      <c r="P740" s="4">
        <f t="shared" ca="1" si="89"/>
        <v>-1.3412228061845601</v>
      </c>
      <c r="Q740" s="4">
        <f t="shared" ca="1" si="90"/>
        <v>1963.8965695283323</v>
      </c>
      <c r="R740" s="4">
        <f t="shared" ca="1" si="91"/>
        <v>40.226525528332331</v>
      </c>
      <c r="S740" s="4">
        <f t="shared" ca="1" si="92"/>
        <v>21.021769812615329</v>
      </c>
    </row>
    <row r="741" spans="15:19" x14ac:dyDescent="0.2">
      <c r="O741" s="4">
        <f t="shared" ca="1" si="88"/>
        <v>0.28674714933701495</v>
      </c>
      <c r="P741" s="4">
        <f t="shared" ca="1" si="89"/>
        <v>-0.56291274860682106</v>
      </c>
      <c r="Q741" s="4">
        <f t="shared" ca="1" si="90"/>
        <v>1940.3177008901998</v>
      </c>
      <c r="R741" s="4">
        <f t="shared" ca="1" si="91"/>
        <v>16.647656890199869</v>
      </c>
      <c r="S741" s="4">
        <f t="shared" ca="1" si="92"/>
        <v>8.5400239689067927</v>
      </c>
    </row>
    <row r="742" spans="15:19" x14ac:dyDescent="0.2">
      <c r="O742" s="4">
        <f t="shared" ca="1" si="88"/>
        <v>0.11626965310858461</v>
      </c>
      <c r="P742" s="4">
        <f t="shared" ca="1" si="89"/>
        <v>-1.1938432083308685</v>
      </c>
      <c r="Q742" s="4">
        <f t="shared" ca="1" si="90"/>
        <v>1959.431711154861</v>
      </c>
      <c r="R742" s="4">
        <f t="shared" ca="1" si="91"/>
        <v>35.761667154861016</v>
      </c>
      <c r="S742" s="4">
        <f t="shared" ca="1" si="92"/>
        <v>18.623505741450085</v>
      </c>
    </row>
    <row r="743" spans="15:19" x14ac:dyDescent="0.2">
      <c r="O743" s="4">
        <f t="shared" ca="1" si="88"/>
        <v>0.15197170811434568</v>
      </c>
      <c r="P743" s="4">
        <f t="shared" ca="1" si="89"/>
        <v>-1.0280136300600431</v>
      </c>
      <c r="Q743" s="4">
        <f t="shared" ca="1" si="90"/>
        <v>1954.407911443813</v>
      </c>
      <c r="R743" s="4">
        <f t="shared" ca="1" si="91"/>
        <v>30.737867443813002</v>
      </c>
      <c r="S743" s="4">
        <f t="shared" ca="1" si="92"/>
        <v>15.944415293638762</v>
      </c>
    </row>
    <row r="744" spans="15:19" x14ac:dyDescent="0.2">
      <c r="O744" s="4">
        <f t="shared" ca="1" si="88"/>
        <v>6.4838026822298112E-2</v>
      </c>
      <c r="P744" s="4">
        <f t="shared" ca="1" si="89"/>
        <v>-1.5153805754464207</v>
      </c>
      <c r="Q744" s="4">
        <f t="shared" ca="1" si="90"/>
        <v>1969.1726714156903</v>
      </c>
      <c r="R744" s="4">
        <f t="shared" ca="1" si="91"/>
        <v>45.502627415690313</v>
      </c>
      <c r="S744" s="4">
        <f t="shared" ca="1" si="92"/>
        <v>23.876708087282768</v>
      </c>
    </row>
    <row r="745" spans="15:19" x14ac:dyDescent="0.2">
      <c r="O745" s="4">
        <f t="shared" ca="1" si="88"/>
        <v>0.61331116757421711</v>
      </c>
      <c r="P745" s="4">
        <f t="shared" ca="1" si="89"/>
        <v>0.28795959874885435</v>
      </c>
      <c r="Q745" s="4">
        <f t="shared" ca="1" si="90"/>
        <v>1914.5405609049376</v>
      </c>
      <c r="R745" s="4">
        <f t="shared" ca="1" si="91"/>
        <v>-9.1294830950623691</v>
      </c>
      <c r="S745" s="4">
        <f t="shared" ca="1" si="92"/>
        <v>-4.5875055784910259</v>
      </c>
    </row>
    <row r="746" spans="15:19" x14ac:dyDescent="0.2">
      <c r="O746" s="4">
        <f t="shared" ca="1" si="88"/>
        <v>0.47662975436874511</v>
      </c>
      <c r="P746" s="4">
        <f t="shared" ca="1" si="89"/>
        <v>-5.8614063690846076E-2</v>
      </c>
      <c r="Q746" s="4">
        <f t="shared" ca="1" si="90"/>
        <v>1925.0399946210257</v>
      </c>
      <c r="R746" s="4">
        <f t="shared" ca="1" si="91"/>
        <v>1.3699506210257368</v>
      </c>
      <c r="S746" s="4">
        <f t="shared" ca="1" si="92"/>
        <v>0.69424639605499117</v>
      </c>
    </row>
    <row r="747" spans="15:19" x14ac:dyDescent="0.2">
      <c r="O747" s="4">
        <f t="shared" ca="1" si="88"/>
        <v>0.58286342198008856</v>
      </c>
      <c r="P747" s="4">
        <f t="shared" ca="1" si="89"/>
        <v>0.20922428398274878</v>
      </c>
      <c r="Q747" s="4">
        <f t="shared" ca="1" si="90"/>
        <v>1916.9258437700078</v>
      </c>
      <c r="R747" s="4">
        <f t="shared" ca="1" si="91"/>
        <v>-6.7442002299922024</v>
      </c>
      <c r="S747" s="4">
        <f t="shared" ca="1" si="92"/>
        <v>-3.3954649821920082</v>
      </c>
    </row>
    <row r="748" spans="15:19" x14ac:dyDescent="0.2">
      <c r="O748" s="4">
        <f t="shared" ca="1" si="88"/>
        <v>0.24386508458422351</v>
      </c>
      <c r="P748" s="4">
        <f t="shared" ca="1" si="89"/>
        <v>-0.69392352565556881</v>
      </c>
      <c r="Q748" s="4">
        <f t="shared" ca="1" si="90"/>
        <v>1944.2866665641448</v>
      </c>
      <c r="R748" s="4">
        <f t="shared" ca="1" si="91"/>
        <v>20.616622564144791</v>
      </c>
      <c r="S748" s="4">
        <f t="shared" ca="1" si="92"/>
        <v>10.609359070161188</v>
      </c>
    </row>
    <row r="749" spans="15:19" x14ac:dyDescent="0.2">
      <c r="O749" s="4">
        <f t="shared" ca="1" si="88"/>
        <v>0.75160104669339167</v>
      </c>
      <c r="P749" s="4">
        <f t="shared" ca="1" si="89"/>
        <v>0.67953662972117956</v>
      </c>
      <c r="Q749" s="4">
        <f t="shared" ca="1" si="90"/>
        <v>1902.677752137258</v>
      </c>
      <c r="R749" s="4">
        <f t="shared" ca="1" si="91"/>
        <v>-20.992291862741922</v>
      </c>
      <c r="S749" s="4">
        <f t="shared" ca="1" si="92"/>
        <v>-10.447117991009792</v>
      </c>
    </row>
    <row r="750" spans="15:19" x14ac:dyDescent="0.2">
      <c r="O750" s="4">
        <f t="shared" ca="1" si="88"/>
        <v>0.51811571776669796</v>
      </c>
      <c r="P750" s="4">
        <f t="shared" ca="1" si="89"/>
        <v>4.5424987411600871E-2</v>
      </c>
      <c r="Q750" s="4">
        <f t="shared" ca="1" si="90"/>
        <v>1921.8881361871065</v>
      </c>
      <c r="R750" s="4">
        <f t="shared" ca="1" si="91"/>
        <v>-1.7819078128934507</v>
      </c>
      <c r="S750" s="4">
        <f t="shared" ca="1" si="92"/>
        <v>-0.90072666415035163</v>
      </c>
    </row>
    <row r="751" spans="15:19" x14ac:dyDescent="0.2">
      <c r="O751" s="4">
        <f t="shared" ca="1" si="88"/>
        <v>0.74578857225525097</v>
      </c>
      <c r="P751" s="4">
        <f t="shared" ca="1" si="89"/>
        <v>0.66129545521807975</v>
      </c>
      <c r="Q751" s="4">
        <f t="shared" ca="1" si="90"/>
        <v>1903.2303677089396</v>
      </c>
      <c r="R751" s="4">
        <f t="shared" ca="1" si="91"/>
        <v>-20.439676291060323</v>
      </c>
      <c r="S751" s="4">
        <f t="shared" ca="1" si="92"/>
        <v>-10.176698812758481</v>
      </c>
    </row>
    <row r="752" spans="15:19" x14ac:dyDescent="0.2">
      <c r="O752" s="4">
        <f t="shared" ca="1" si="88"/>
        <v>0.27392964642355133</v>
      </c>
      <c r="P752" s="4">
        <f t="shared" ca="1" si="89"/>
        <v>-0.6009710135812858</v>
      </c>
      <c r="Q752" s="4">
        <f t="shared" ca="1" si="90"/>
        <v>1941.4706743378524</v>
      </c>
      <c r="R752" s="4">
        <f t="shared" ca="1" si="91"/>
        <v>17.800630337852454</v>
      </c>
      <c r="S752" s="4">
        <f t="shared" ca="1" si="92"/>
        <v>9.1398383807991639</v>
      </c>
    </row>
    <row r="753" spans="15:19" x14ac:dyDescent="0.2">
      <c r="O753" s="4">
        <f t="shared" ca="1" si="88"/>
        <v>0.77063407952326535</v>
      </c>
      <c r="P753" s="4">
        <f t="shared" ca="1" si="89"/>
        <v>0.74093666852422491</v>
      </c>
      <c r="Q753" s="4">
        <f t="shared" ca="1" si="90"/>
        <v>1900.8176406878199</v>
      </c>
      <c r="R753" s="4">
        <f t="shared" ca="1" si="91"/>
        <v>-22.852403312180058</v>
      </c>
      <c r="S753" s="4">
        <f t="shared" ca="1" si="92"/>
        <v>-11.355525680622808</v>
      </c>
    </row>
    <row r="754" spans="15:19" x14ac:dyDescent="0.2">
      <c r="O754" s="4">
        <f t="shared" ca="1" si="88"/>
        <v>0.29138769336105208</v>
      </c>
      <c r="P754" s="4">
        <f t="shared" ca="1" si="89"/>
        <v>-0.54933527045621378</v>
      </c>
      <c r="Q754" s="4">
        <f t="shared" ca="1" si="90"/>
        <v>1939.9063717924537</v>
      </c>
      <c r="R754" s="4">
        <f t="shared" ca="1" si="91"/>
        <v>16.236327792453721</v>
      </c>
      <c r="S754" s="4">
        <f t="shared" ca="1" si="92"/>
        <v>8.3262990754629804</v>
      </c>
    </row>
    <row r="755" spans="15:19" x14ac:dyDescent="0.2">
      <c r="O755" s="4">
        <f t="shared" ca="1" si="88"/>
        <v>0.50861581226230324</v>
      </c>
      <c r="P755" s="4">
        <f t="shared" ca="1" si="89"/>
        <v>2.1598317731698836E-2</v>
      </c>
      <c r="Q755" s="4">
        <f t="shared" ca="1" si="90"/>
        <v>1922.6099640871789</v>
      </c>
      <c r="R755" s="4">
        <f t="shared" ca="1" si="91"/>
        <v>-1.0600799128210383</v>
      </c>
      <c r="S755" s="4">
        <f t="shared" ca="1" si="92"/>
        <v>-0.53616538330418873</v>
      </c>
    </row>
    <row r="756" spans="15:19" x14ac:dyDescent="0.2">
      <c r="O756" s="4">
        <f t="shared" ca="1" si="88"/>
        <v>0.39854525709698707</v>
      </c>
      <c r="P756" s="4">
        <f t="shared" ca="1" si="89"/>
        <v>-0.257114331810672</v>
      </c>
      <c r="Q756" s="4">
        <f t="shared" ca="1" si="90"/>
        <v>1931.0535514305034</v>
      </c>
      <c r="R756" s="4">
        <f t="shared" ca="1" si="91"/>
        <v>7.3835074305034141</v>
      </c>
      <c r="S756" s="4">
        <f t="shared" ca="1" si="92"/>
        <v>3.7597956420649341</v>
      </c>
    </row>
    <row r="757" spans="15:19" x14ac:dyDescent="0.2">
      <c r="O757" s="4">
        <f t="shared" ca="1" si="88"/>
        <v>0.21572816484806212</v>
      </c>
      <c r="P757" s="4">
        <f t="shared" ca="1" si="89"/>
        <v>-0.78670200569856152</v>
      </c>
      <c r="Q757" s="4">
        <f t="shared" ca="1" si="90"/>
        <v>1947.0973864977759</v>
      </c>
      <c r="R757" s="4">
        <f t="shared" ca="1" si="91"/>
        <v>23.427342497775953</v>
      </c>
      <c r="S757" s="4">
        <f t="shared" ca="1" si="92"/>
        <v>12.082566268094215</v>
      </c>
    </row>
    <row r="758" spans="15:19" x14ac:dyDescent="0.2">
      <c r="O758" s="4">
        <f t="shared" ca="1" si="88"/>
        <v>0.41320425809210248</v>
      </c>
      <c r="P758" s="4">
        <f t="shared" ca="1" si="89"/>
        <v>-0.21931007247535092</v>
      </c>
      <c r="Q758" s="4">
        <f t="shared" ca="1" si="90"/>
        <v>1929.9082730724106</v>
      </c>
      <c r="R758" s="4">
        <f t="shared" ca="1" si="91"/>
        <v>6.2382290724106042</v>
      </c>
      <c r="S758" s="4">
        <f t="shared" ca="1" si="92"/>
        <v>3.1736939625699492</v>
      </c>
    </row>
    <row r="759" spans="15:19" x14ac:dyDescent="0.2">
      <c r="O759" s="4">
        <f t="shared" ca="1" si="88"/>
        <v>0.88576370616321587</v>
      </c>
      <c r="P759" s="4">
        <f t="shared" ca="1" si="89"/>
        <v>1.2043027409607483</v>
      </c>
      <c r="Q759" s="4">
        <f t="shared" ca="1" si="90"/>
        <v>1886.7799860963437</v>
      </c>
      <c r="R759" s="4">
        <f t="shared" ca="1" si="91"/>
        <v>-36.89005790365627</v>
      </c>
      <c r="S759" s="4">
        <f t="shared" ca="1" si="92"/>
        <v>-18.12013775433886</v>
      </c>
    </row>
    <row r="760" spans="15:19" x14ac:dyDescent="0.2">
      <c r="O760" s="4">
        <f t="shared" ca="1" si="88"/>
        <v>0.12679432105845567</v>
      </c>
      <c r="P760" s="4">
        <f t="shared" ca="1" si="89"/>
        <v>-1.1416761881783077</v>
      </c>
      <c r="Q760" s="4">
        <f t="shared" ca="1" si="90"/>
        <v>1957.8513135955022</v>
      </c>
      <c r="R760" s="4">
        <f t="shared" ca="1" si="91"/>
        <v>34.181269595502272</v>
      </c>
      <c r="S760" s="4">
        <f t="shared" ca="1" si="92"/>
        <v>17.778496542868986</v>
      </c>
    </row>
    <row r="761" spans="15:19" x14ac:dyDescent="0.2">
      <c r="O761" s="4">
        <f t="shared" ca="1" si="88"/>
        <v>0.52356487103363947</v>
      </c>
      <c r="P761" s="4">
        <f t="shared" ca="1" si="89"/>
        <v>5.9102763003194184E-2</v>
      </c>
      <c r="Q761" s="4">
        <f t="shared" ca="1" si="90"/>
        <v>1921.4737685828386</v>
      </c>
      <c r="R761" s="4">
        <f t="shared" ca="1" si="91"/>
        <v>-2.1962754171613597</v>
      </c>
      <c r="S761" s="4">
        <f t="shared" ca="1" si="92"/>
        <v>-1.1098125788949518</v>
      </c>
    </row>
    <row r="762" spans="15:19" x14ac:dyDescent="0.2">
      <c r="O762" s="4">
        <f t="shared" ca="1" si="88"/>
        <v>0.77431988379559868</v>
      </c>
      <c r="P762" s="4">
        <f t="shared" ca="1" si="89"/>
        <v>0.75314924926061932</v>
      </c>
      <c r="Q762" s="4">
        <f t="shared" ca="1" si="90"/>
        <v>1900.4476610966371</v>
      </c>
      <c r="R762" s="4">
        <f t="shared" ca="1" si="91"/>
        <v>-23.222382903362814</v>
      </c>
      <c r="S762" s="4">
        <f t="shared" ca="1" si="92"/>
        <v>-11.535873774181123</v>
      </c>
    </row>
    <row r="763" spans="15:19" x14ac:dyDescent="0.2">
      <c r="O763" s="4">
        <f t="shared" ca="1" si="88"/>
        <v>0.99608608641545926</v>
      </c>
      <c r="P763" s="4">
        <f t="shared" ca="1" si="89"/>
        <v>2.6594072838753084</v>
      </c>
      <c r="Q763" s="4">
        <f t="shared" ca="1" si="90"/>
        <v>1842.6976585739278</v>
      </c>
      <c r="R763" s="4">
        <f t="shared" ca="1" si="91"/>
        <v>-80.972385426072151</v>
      </c>
      <c r="S763" s="4">
        <f t="shared" ca="1" si="92"/>
        <v>-38.320054168099659</v>
      </c>
    </row>
    <row r="764" spans="15:19" x14ac:dyDescent="0.2">
      <c r="O764" s="4">
        <f t="shared" ca="1" si="88"/>
        <v>0.49786167671152304</v>
      </c>
      <c r="P764" s="4">
        <f t="shared" ca="1" si="89"/>
        <v>-5.3600072803016065E-3</v>
      </c>
      <c r="Q764" s="4">
        <f t="shared" ca="1" si="90"/>
        <v>1923.4266653464947</v>
      </c>
      <c r="R764" s="4">
        <f t="shared" ca="1" si="91"/>
        <v>-0.24337865350526044</v>
      </c>
      <c r="S764" s="4">
        <f t="shared" ca="1" si="92"/>
        <v>-0.12317654627502767</v>
      </c>
    </row>
    <row r="765" spans="15:19" x14ac:dyDescent="0.2">
      <c r="O765" s="4">
        <f t="shared" ca="1" si="88"/>
        <v>0.64343345405405605</v>
      </c>
      <c r="P765" s="4">
        <f t="shared" ca="1" si="89"/>
        <v>0.36765152258082184</v>
      </c>
      <c r="Q765" s="4">
        <f t="shared" ca="1" si="90"/>
        <v>1912.1262976106896</v>
      </c>
      <c r="R765" s="4">
        <f t="shared" ca="1" si="91"/>
        <v>-11.5437463893104</v>
      </c>
      <c r="S765" s="4">
        <f t="shared" ca="1" si="92"/>
        <v>-5.7893122284400684</v>
      </c>
    </row>
    <row r="766" spans="15:19" x14ac:dyDescent="0.2">
      <c r="O766" s="4">
        <f t="shared" ca="1" si="88"/>
        <v>0.50285250011769744</v>
      </c>
      <c r="P766" s="4">
        <f t="shared" ca="1" si="89"/>
        <v>7.1502183745026978E-3</v>
      </c>
      <c r="Q766" s="4">
        <f t="shared" ca="1" si="90"/>
        <v>1923.0476686157242</v>
      </c>
      <c r="R766" s="4">
        <f t="shared" ca="1" si="91"/>
        <v>-0.62237538427575601</v>
      </c>
      <c r="S766" s="4">
        <f t="shared" ca="1" si="92"/>
        <v>-0.31489483690835379</v>
      </c>
    </row>
    <row r="767" spans="15:19" x14ac:dyDescent="0.2">
      <c r="O767" s="4">
        <f t="shared" ca="1" si="88"/>
        <v>0.31353323049603166</v>
      </c>
      <c r="P767" s="4">
        <f t="shared" ca="1" si="89"/>
        <v>-0.48585995678571231</v>
      </c>
      <c r="Q767" s="4">
        <f t="shared" ca="1" si="90"/>
        <v>1937.983389983046</v>
      </c>
      <c r="R767" s="4">
        <f t="shared" ca="1" si="91"/>
        <v>14.31334598304602</v>
      </c>
      <c r="S767" s="4">
        <f t="shared" ca="1" si="92"/>
        <v>7.3289529692985251</v>
      </c>
    </row>
    <row r="768" spans="15:19" x14ac:dyDescent="0.2">
      <c r="O768" s="4">
        <f t="shared" ca="1" si="88"/>
        <v>0.81289559937224087</v>
      </c>
      <c r="P768" s="4">
        <f t="shared" ca="1" si="89"/>
        <v>0.88861727954935199</v>
      </c>
      <c r="Q768" s="4">
        <f t="shared" ca="1" si="90"/>
        <v>1896.3436631336845</v>
      </c>
      <c r="R768" s="4">
        <f t="shared" ca="1" si="91"/>
        <v>-27.326380866315503</v>
      </c>
      <c r="S768" s="4">
        <f t="shared" ca="1" si="92"/>
        <v>-13.528910406700735</v>
      </c>
    </row>
    <row r="769" spans="15:19" x14ac:dyDescent="0.2">
      <c r="O769" s="4">
        <f t="shared" ca="1" si="88"/>
        <v>0.46422227290687024</v>
      </c>
      <c r="P769" s="4">
        <f t="shared" ca="1" si="89"/>
        <v>-8.980201639682002E-2</v>
      </c>
      <c r="Q769" s="4">
        <f t="shared" ca="1" si="90"/>
        <v>1925.9848322635396</v>
      </c>
      <c r="R769" s="4">
        <f t="shared" ca="1" si="91"/>
        <v>2.31478826353964</v>
      </c>
      <c r="S769" s="4">
        <f t="shared" ca="1" si="92"/>
        <v>1.1739496686592992</v>
      </c>
    </row>
    <row r="770" spans="15:19" x14ac:dyDescent="0.2">
      <c r="O770" s="4">
        <f t="shared" ca="1" si="88"/>
        <v>0.40927119138685963</v>
      </c>
      <c r="P770" s="4">
        <f t="shared" ca="1" si="89"/>
        <v>-0.22942014171912631</v>
      </c>
      <c r="Q770" s="4">
        <f t="shared" ca="1" si="90"/>
        <v>1930.214557171274</v>
      </c>
      <c r="R770" s="4">
        <f t="shared" ca="1" si="91"/>
        <v>6.5445131712740476</v>
      </c>
      <c r="S770" s="4">
        <f t="shared" ca="1" si="92"/>
        <v>3.3303317107980517</v>
      </c>
    </row>
    <row r="771" spans="15:19" x14ac:dyDescent="0.2">
      <c r="O771" s="4">
        <f t="shared" ref="O771:O834" ca="1" si="93">RAND()</f>
        <v>0.28605161324651396</v>
      </c>
      <c r="P771" s="4">
        <f t="shared" ref="P771:P834" ca="1" si="94">NORMSINV(O771)</f>
        <v>-0.56495668480314876</v>
      </c>
      <c r="Q771" s="4">
        <f t="shared" ref="Q771:Q834" ca="1" si="95">$B$4*(1+$B$17-$B$6/SQRT(252)*P771)</f>
        <v>1940.3796218465188</v>
      </c>
      <c r="R771" s="4">
        <f t="shared" ref="R771:R834" ca="1" si="96">Q771-$B$4</f>
        <v>16.709577846518869</v>
      </c>
      <c r="S771" s="4">
        <f t="shared" ref="S771:S834" ca="1" si="97">R771*$B$12+0.5*$B$13*R771^2</f>
        <v>8.5722097698251005</v>
      </c>
    </row>
    <row r="772" spans="15:19" x14ac:dyDescent="0.2">
      <c r="O772" s="4">
        <f t="shared" ca="1" si="93"/>
        <v>0.50126749951577221</v>
      </c>
      <c r="P772" s="4">
        <f t="shared" ca="1" si="94"/>
        <v>3.1771554695099713E-3</v>
      </c>
      <c r="Q772" s="4">
        <f t="shared" ca="1" si="95"/>
        <v>1923.1680323800308</v>
      </c>
      <c r="R772" s="4">
        <f t="shared" ca="1" si="96"/>
        <v>-0.50201161996915289</v>
      </c>
      <c r="S772" s="4">
        <f t="shared" ca="1" si="97"/>
        <v>-0.25402061136246973</v>
      </c>
    </row>
    <row r="773" spans="15:19" x14ac:dyDescent="0.2">
      <c r="O773" s="4">
        <f t="shared" ca="1" si="93"/>
        <v>0.87565492350803453</v>
      </c>
      <c r="P773" s="4">
        <f t="shared" ca="1" si="94"/>
        <v>1.1535367243531864</v>
      </c>
      <c r="Q773" s="4">
        <f t="shared" ca="1" si="95"/>
        <v>1888.3179403155098</v>
      </c>
      <c r="R773" s="4">
        <f t="shared" ca="1" si="96"/>
        <v>-35.352103684490203</v>
      </c>
      <c r="S773" s="4">
        <f t="shared" ca="1" si="97"/>
        <v>-17.386837746662199</v>
      </c>
    </row>
    <row r="774" spans="15:19" x14ac:dyDescent="0.2">
      <c r="O774" s="4">
        <f t="shared" ca="1" si="93"/>
        <v>0.31653156991633302</v>
      </c>
      <c r="P774" s="4">
        <f t="shared" ca="1" si="94"/>
        <v>-0.47741990930580402</v>
      </c>
      <c r="Q774" s="4">
        <f t="shared" ca="1" si="95"/>
        <v>1937.7276991193719</v>
      </c>
      <c r="R774" s="4">
        <f t="shared" ca="1" si="96"/>
        <v>14.05765511937193</v>
      </c>
      <c r="S774" s="4">
        <f t="shared" ca="1" si="97"/>
        <v>7.1965667857106697</v>
      </c>
    </row>
    <row r="775" spans="15:19" x14ac:dyDescent="0.2">
      <c r="O775" s="4">
        <f t="shared" ca="1" si="93"/>
        <v>0.92621405864564266</v>
      </c>
      <c r="P775" s="4">
        <f t="shared" ca="1" si="94"/>
        <v>1.4481615228446802</v>
      </c>
      <c r="Q775" s="4">
        <f t="shared" ca="1" si="95"/>
        <v>1879.3922951262552</v>
      </c>
      <c r="R775" s="4">
        <f t="shared" ca="1" si="96"/>
        <v>-44.277748873744713</v>
      </c>
      <c r="S775" s="4">
        <f t="shared" ca="1" si="97"/>
        <v>-21.615763206440697</v>
      </c>
    </row>
    <row r="776" spans="15:19" x14ac:dyDescent="0.2">
      <c r="O776" s="4">
        <f t="shared" ca="1" si="93"/>
        <v>0.77893394321869325</v>
      </c>
      <c r="P776" s="4">
        <f t="shared" ca="1" si="94"/>
        <v>0.76859779725707411</v>
      </c>
      <c r="Q776" s="4">
        <f t="shared" ca="1" si="95"/>
        <v>1899.9796480209845</v>
      </c>
      <c r="R776" s="4">
        <f t="shared" ca="1" si="96"/>
        <v>-23.69039597901542</v>
      </c>
      <c r="S776" s="4">
        <f t="shared" ca="1" si="97"/>
        <v>-11.763849049184019</v>
      </c>
    </row>
    <row r="777" spans="15:19" x14ac:dyDescent="0.2">
      <c r="O777" s="4">
        <f t="shared" ca="1" si="93"/>
        <v>0.98590207133917684</v>
      </c>
      <c r="P777" s="4">
        <f t="shared" ca="1" si="94"/>
        <v>2.1945505046166258</v>
      </c>
      <c r="Q777" s="4">
        <f t="shared" ca="1" si="95"/>
        <v>1856.7804740623956</v>
      </c>
      <c r="R777" s="4">
        <f t="shared" ca="1" si="96"/>
        <v>-66.889569937604392</v>
      </c>
      <c r="S777" s="4">
        <f t="shared" ca="1" si="97"/>
        <v>-32.038840420112599</v>
      </c>
    </row>
    <row r="778" spans="15:19" x14ac:dyDescent="0.2">
      <c r="O778" s="4">
        <f t="shared" ca="1" si="93"/>
        <v>0.81172874593310951</v>
      </c>
      <c r="P778" s="4">
        <f t="shared" ca="1" si="94"/>
        <v>0.88428476904274544</v>
      </c>
      <c r="Q778" s="4">
        <f t="shared" ca="1" si="95"/>
        <v>1896.4749163471231</v>
      </c>
      <c r="R778" s="4">
        <f t="shared" ca="1" si="96"/>
        <v>-27.195127652876863</v>
      </c>
      <c r="S778" s="4">
        <f t="shared" ca="1" si="97"/>
        <v>-13.46538178197337</v>
      </c>
    </row>
    <row r="779" spans="15:19" x14ac:dyDescent="0.2">
      <c r="O779" s="4">
        <f t="shared" ca="1" si="93"/>
        <v>0.71843494574927436</v>
      </c>
      <c r="P779" s="4">
        <f t="shared" ca="1" si="94"/>
        <v>0.57819850426891073</v>
      </c>
      <c r="Q779" s="4">
        <f t="shared" ca="1" si="95"/>
        <v>1905.7477861485233</v>
      </c>
      <c r="R779" s="4">
        <f t="shared" ca="1" si="96"/>
        <v>-17.922257851476616</v>
      </c>
      <c r="S779" s="4">
        <f t="shared" ca="1" si="97"/>
        <v>-8.9416688535430939</v>
      </c>
    </row>
    <row r="780" spans="15:19" x14ac:dyDescent="0.2">
      <c r="O780" s="4">
        <f t="shared" ca="1" si="93"/>
        <v>0.70674825726108825</v>
      </c>
      <c r="P780" s="4">
        <f t="shared" ca="1" si="94"/>
        <v>0.54390988623581615</v>
      </c>
      <c r="Q780" s="4">
        <f t="shared" ca="1" si="95"/>
        <v>1906.786558309456</v>
      </c>
      <c r="R780" s="4">
        <f t="shared" ca="1" si="96"/>
        <v>-16.883485690543921</v>
      </c>
      <c r="S780" s="4">
        <f t="shared" ca="1" si="97"/>
        <v>-8.4305498955114473</v>
      </c>
    </row>
    <row r="781" spans="15:19" x14ac:dyDescent="0.2">
      <c r="O781" s="4">
        <f t="shared" ca="1" si="93"/>
        <v>8.5241767463856255E-2</v>
      </c>
      <c r="P781" s="4">
        <f t="shared" ca="1" si="94"/>
        <v>-1.3706517745297955</v>
      </c>
      <c r="Q781" s="4">
        <f t="shared" ca="1" si="95"/>
        <v>1964.7881188177348</v>
      </c>
      <c r="R781" s="4">
        <f t="shared" ca="1" si="96"/>
        <v>41.118074817734851</v>
      </c>
      <c r="S781" s="4">
        <f t="shared" ca="1" si="97"/>
        <v>21.502602563288814</v>
      </c>
    </row>
    <row r="782" spans="15:19" x14ac:dyDescent="0.2">
      <c r="O782" s="4">
        <f t="shared" ca="1" si="93"/>
        <v>0.40075118862771164</v>
      </c>
      <c r="P782" s="4">
        <f t="shared" ca="1" si="94"/>
        <v>-0.2514032215298958</v>
      </c>
      <c r="Q782" s="4">
        <f t="shared" ca="1" si="95"/>
        <v>1930.8805335981147</v>
      </c>
      <c r="R782" s="4">
        <f t="shared" ca="1" si="96"/>
        <v>7.210489598114691</v>
      </c>
      <c r="S782" s="4">
        <f t="shared" ca="1" si="97"/>
        <v>3.6711844619751428</v>
      </c>
    </row>
    <row r="783" spans="15:19" x14ac:dyDescent="0.2">
      <c r="O783" s="4">
        <f t="shared" ca="1" si="93"/>
        <v>0.97549153790393006</v>
      </c>
      <c r="P783" s="4">
        <f t="shared" ca="1" si="94"/>
        <v>1.968444428718082</v>
      </c>
      <c r="Q783" s="4">
        <f t="shared" ca="1" si="95"/>
        <v>1863.6303475928592</v>
      </c>
      <c r="R783" s="4">
        <f t="shared" ca="1" si="96"/>
        <v>-60.039696407140809</v>
      </c>
      <c r="S783" s="4">
        <f t="shared" ca="1" si="97"/>
        <v>-28.925293448063343</v>
      </c>
    </row>
    <row r="784" spans="15:19" x14ac:dyDescent="0.2">
      <c r="O784" s="4">
        <f t="shared" ca="1" si="93"/>
        <v>0.57726681257950174</v>
      </c>
      <c r="P784" s="4">
        <f t="shared" ca="1" si="94"/>
        <v>0.19490620707595169</v>
      </c>
      <c r="Q784" s="4">
        <f t="shared" ca="1" si="95"/>
        <v>1917.3596092741909</v>
      </c>
      <c r="R784" s="4">
        <f t="shared" ca="1" si="96"/>
        <v>-6.3104347258090456</v>
      </c>
      <c r="S784" s="4">
        <f t="shared" ca="1" si="97"/>
        <v>-3.1781937259611097</v>
      </c>
    </row>
    <row r="785" spans="15:19" x14ac:dyDescent="0.2">
      <c r="O785" s="4">
        <f t="shared" ca="1" si="93"/>
        <v>0.22348510892765439</v>
      </c>
      <c r="P785" s="4">
        <f t="shared" ca="1" si="94"/>
        <v>-0.76047581918737184</v>
      </c>
      <c r="Q785" s="4">
        <f t="shared" ca="1" si="95"/>
        <v>1946.3028653418357</v>
      </c>
      <c r="R785" s="4">
        <f t="shared" ca="1" si="96"/>
        <v>22.632821341835779</v>
      </c>
      <c r="S785" s="4">
        <f t="shared" ca="1" si="97"/>
        <v>11.66547486305946</v>
      </c>
    </row>
    <row r="786" spans="15:19" x14ac:dyDescent="0.2">
      <c r="O786" s="4">
        <f t="shared" ca="1" si="93"/>
        <v>0.49044607707932397</v>
      </c>
      <c r="P786" s="4">
        <f t="shared" ca="1" si="94"/>
        <v>-2.3950422880871233E-2</v>
      </c>
      <c r="Q786" s="4">
        <f t="shared" ca="1" si="95"/>
        <v>1923.9898611617184</v>
      </c>
      <c r="R786" s="4">
        <f t="shared" ca="1" si="96"/>
        <v>0.3198171617184471</v>
      </c>
      <c r="S786" s="4">
        <f t="shared" ca="1" si="97"/>
        <v>0.16193621610924572</v>
      </c>
    </row>
    <row r="787" spans="15:19" x14ac:dyDescent="0.2">
      <c r="O787" s="4">
        <f t="shared" ca="1" si="93"/>
        <v>0.13689538843293503</v>
      </c>
      <c r="P787" s="4">
        <f t="shared" ca="1" si="94"/>
        <v>-1.0943744684641679</v>
      </c>
      <c r="Q787" s="4">
        <f t="shared" ca="1" si="95"/>
        <v>1956.4183100969117</v>
      </c>
      <c r="R787" s="4">
        <f t="shared" ca="1" si="96"/>
        <v>32.748266096911721</v>
      </c>
      <c r="S787" s="4">
        <f t="shared" ca="1" si="97"/>
        <v>17.014054020956699</v>
      </c>
    </row>
    <row r="788" spans="15:19" x14ac:dyDescent="0.2">
      <c r="O788" s="4">
        <f t="shared" ca="1" si="93"/>
        <v>0.91394961635654981</v>
      </c>
      <c r="P788" s="4">
        <f t="shared" ca="1" si="94"/>
        <v>1.3654846725640972</v>
      </c>
      <c r="Q788" s="4">
        <f t="shared" ca="1" si="95"/>
        <v>1881.8969866347363</v>
      </c>
      <c r="R788" s="4">
        <f t="shared" ca="1" si="96"/>
        <v>-41.773057365263639</v>
      </c>
      <c r="S788" s="4">
        <f t="shared" ca="1" si="97"/>
        <v>-20.435599756442766</v>
      </c>
    </row>
    <row r="789" spans="15:19" x14ac:dyDescent="0.2">
      <c r="O789" s="4">
        <f t="shared" ca="1" si="93"/>
        <v>0.21046723174161042</v>
      </c>
      <c r="P789" s="4">
        <f t="shared" ca="1" si="94"/>
        <v>-0.80480110575387764</v>
      </c>
      <c r="Q789" s="4">
        <f t="shared" ca="1" si="95"/>
        <v>1947.6456979303698</v>
      </c>
      <c r="R789" s="4">
        <f t="shared" ca="1" si="96"/>
        <v>23.975653930369845</v>
      </c>
      <c r="S789" s="4">
        <f t="shared" ca="1" si="97"/>
        <v>12.37070726840621</v>
      </c>
    </row>
    <row r="790" spans="15:19" x14ac:dyDescent="0.2">
      <c r="O790" s="4">
        <f t="shared" ca="1" si="93"/>
        <v>0.34079547829561885</v>
      </c>
      <c r="P790" s="4">
        <f t="shared" ca="1" si="94"/>
        <v>-0.41029309517948925</v>
      </c>
      <c r="Q790" s="4">
        <f t="shared" ca="1" si="95"/>
        <v>1935.6940952657783</v>
      </c>
      <c r="R790" s="4">
        <f t="shared" ca="1" si="96"/>
        <v>12.024051265778326</v>
      </c>
      <c r="S790" s="4">
        <f t="shared" ca="1" si="97"/>
        <v>6.1455457018855624</v>
      </c>
    </row>
    <row r="791" spans="15:19" x14ac:dyDescent="0.2">
      <c r="O791" s="4">
        <f t="shared" ca="1" si="93"/>
        <v>0.39603857408480347</v>
      </c>
      <c r="P791" s="4">
        <f t="shared" ca="1" si="94"/>
        <v>-0.26361428731374525</v>
      </c>
      <c r="Q791" s="4">
        <f t="shared" ca="1" si="95"/>
        <v>1931.2504672938774</v>
      </c>
      <c r="R791" s="4">
        <f t="shared" ca="1" si="96"/>
        <v>7.5804232938774021</v>
      </c>
      <c r="S791" s="4">
        <f t="shared" ca="1" si="97"/>
        <v>3.8606758654426874</v>
      </c>
    </row>
    <row r="792" spans="15:19" x14ac:dyDescent="0.2">
      <c r="O792" s="4">
        <f t="shared" ca="1" si="93"/>
        <v>0.35897434384586302</v>
      </c>
      <c r="P792" s="4">
        <f t="shared" ca="1" si="94"/>
        <v>-0.36120167818905008</v>
      </c>
      <c r="Q792" s="4">
        <f t="shared" ca="1" si="95"/>
        <v>1934.2068729676625</v>
      </c>
      <c r="R792" s="4">
        <f t="shared" ca="1" si="96"/>
        <v>10.536828967662586</v>
      </c>
      <c r="S792" s="4">
        <f t="shared" ca="1" si="97"/>
        <v>5.379040795675202</v>
      </c>
    </row>
    <row r="793" spans="15:19" x14ac:dyDescent="0.2">
      <c r="O793" s="4">
        <f t="shared" ca="1" si="93"/>
        <v>0.71472236958406188</v>
      </c>
      <c r="P793" s="4">
        <f t="shared" ca="1" si="94"/>
        <v>0.56723392675228357</v>
      </c>
      <c r="Q793" s="4">
        <f t="shared" ca="1" si="95"/>
        <v>1906.0799575375734</v>
      </c>
      <c r="R793" s="4">
        <f t="shared" ca="1" si="96"/>
        <v>-17.590086462426598</v>
      </c>
      <c r="S793" s="4">
        <f t="shared" ca="1" si="97"/>
        <v>-8.7783223066069844</v>
      </c>
    </row>
    <row r="794" spans="15:19" x14ac:dyDescent="0.2">
      <c r="O794" s="4">
        <f t="shared" ca="1" si="93"/>
        <v>0.60765852383914387</v>
      </c>
      <c r="P794" s="4">
        <f t="shared" ca="1" si="94"/>
        <v>0.27322150205728934</v>
      </c>
      <c r="Q794" s="4">
        <f t="shared" ca="1" si="95"/>
        <v>1914.9870508898521</v>
      </c>
      <c r="R794" s="4">
        <f t="shared" ca="1" si="96"/>
        <v>-8.6829931101478905</v>
      </c>
      <c r="S794" s="4">
        <f t="shared" ca="1" si="97"/>
        <v>-4.3647254338972417</v>
      </c>
    </row>
    <row r="795" spans="15:19" x14ac:dyDescent="0.2">
      <c r="O795" s="4">
        <f t="shared" ca="1" si="93"/>
        <v>0.98626413562094761</v>
      </c>
      <c r="P795" s="4">
        <f t="shared" ca="1" si="94"/>
        <v>2.2047487700867507</v>
      </c>
      <c r="Q795" s="4">
        <f t="shared" ca="1" si="95"/>
        <v>1856.4715180627709</v>
      </c>
      <c r="R795" s="4">
        <f t="shared" ca="1" si="96"/>
        <v>-67.198525937229078</v>
      </c>
      <c r="S795" s="4">
        <f t="shared" ca="1" si="97"/>
        <v>-32.178373185549376</v>
      </c>
    </row>
    <row r="796" spans="15:19" x14ac:dyDescent="0.2">
      <c r="O796" s="4">
        <f t="shared" ca="1" si="93"/>
        <v>0.26291253785522484</v>
      </c>
      <c r="P796" s="4">
        <f t="shared" ca="1" si="94"/>
        <v>-0.63439192870803507</v>
      </c>
      <c r="Q796" s="4">
        <f t="shared" ca="1" si="95"/>
        <v>1942.4831594777625</v>
      </c>
      <c r="R796" s="4">
        <f t="shared" ca="1" si="96"/>
        <v>18.813115477762494</v>
      </c>
      <c r="S796" s="4">
        <f t="shared" ca="1" si="97"/>
        <v>9.667458687612962</v>
      </c>
    </row>
    <row r="797" spans="15:19" x14ac:dyDescent="0.2">
      <c r="O797" s="4">
        <f t="shared" ca="1" si="93"/>
        <v>0.42292197764589812</v>
      </c>
      <c r="P797" s="4">
        <f t="shared" ca="1" si="94"/>
        <v>-0.19442392832568428</v>
      </c>
      <c r="Q797" s="4">
        <f t="shared" ca="1" si="95"/>
        <v>1929.1543484403164</v>
      </c>
      <c r="R797" s="4">
        <f t="shared" ca="1" si="96"/>
        <v>5.484304440316464</v>
      </c>
      <c r="S797" s="4">
        <f t="shared" ca="1" si="97"/>
        <v>2.7884522893191686</v>
      </c>
    </row>
    <row r="798" spans="15:19" x14ac:dyDescent="0.2">
      <c r="O798" s="4">
        <f t="shared" ca="1" si="93"/>
        <v>0.7766494954484634</v>
      </c>
      <c r="P798" s="4">
        <f t="shared" ca="1" si="94"/>
        <v>0.76092643339917954</v>
      </c>
      <c r="Q798" s="4">
        <f t="shared" ca="1" si="95"/>
        <v>1900.2120516484586</v>
      </c>
      <c r="R798" s="4">
        <f t="shared" ca="1" si="96"/>
        <v>-23.457992351541407</v>
      </c>
      <c r="S798" s="4">
        <f t="shared" ca="1" si="97"/>
        <v>-11.650664499909428</v>
      </c>
    </row>
    <row r="799" spans="15:19" x14ac:dyDescent="0.2">
      <c r="O799" s="4">
        <f t="shared" ca="1" si="93"/>
        <v>0.31644651722413686</v>
      </c>
      <c r="P799" s="4">
        <f t="shared" ca="1" si="94"/>
        <v>-0.4776588538370441</v>
      </c>
      <c r="Q799" s="4">
        <f t="shared" ca="1" si="95"/>
        <v>1937.7349379333366</v>
      </c>
      <c r="R799" s="4">
        <f t="shared" ca="1" si="96"/>
        <v>14.064893933336634</v>
      </c>
      <c r="S799" s="4">
        <f t="shared" ca="1" si="97"/>
        <v>7.2003140129132817</v>
      </c>
    </row>
    <row r="800" spans="15:19" x14ac:dyDescent="0.2">
      <c r="O800" s="4">
        <f t="shared" ca="1" si="93"/>
        <v>0.9123906058896728</v>
      </c>
      <c r="P800" s="4">
        <f t="shared" ca="1" si="94"/>
        <v>1.355624136517414</v>
      </c>
      <c r="Q800" s="4">
        <f t="shared" ca="1" si="95"/>
        <v>1882.1957111364727</v>
      </c>
      <c r="R800" s="4">
        <f t="shared" ca="1" si="96"/>
        <v>-41.474332863527252</v>
      </c>
      <c r="S800" s="4">
        <f t="shared" ca="1" si="97"/>
        <v>-20.294505499506432</v>
      </c>
    </row>
    <row r="801" spans="15:19" x14ac:dyDescent="0.2">
      <c r="O801" s="4">
        <f t="shared" ca="1" si="93"/>
        <v>0.54839958788307075</v>
      </c>
      <c r="P801" s="4">
        <f t="shared" ca="1" si="94"/>
        <v>0.12161892567490221</v>
      </c>
      <c r="Q801" s="4">
        <f t="shared" ca="1" si="95"/>
        <v>1919.5798442103542</v>
      </c>
      <c r="R801" s="4">
        <f t="shared" ca="1" si="96"/>
        <v>-4.0901997896457942</v>
      </c>
      <c r="S801" s="4">
        <f t="shared" ca="1" si="97"/>
        <v>-2.0636890366429017</v>
      </c>
    </row>
    <row r="802" spans="15:19" x14ac:dyDescent="0.2">
      <c r="O802" s="4">
        <f t="shared" ca="1" si="93"/>
        <v>0.11256328582568964</v>
      </c>
      <c r="P802" s="4">
        <f t="shared" ca="1" si="94"/>
        <v>-1.2130084976160773</v>
      </c>
      <c r="Q802" s="4">
        <f t="shared" ca="1" si="95"/>
        <v>1960.0123227428367</v>
      </c>
      <c r="R802" s="4">
        <f t="shared" ca="1" si="96"/>
        <v>36.342278742836697</v>
      </c>
      <c r="S802" s="4">
        <f t="shared" ca="1" si="97"/>
        <v>18.934458717728241</v>
      </c>
    </row>
    <row r="803" spans="15:19" x14ac:dyDescent="0.2">
      <c r="O803" s="4">
        <f t="shared" ca="1" si="93"/>
        <v>0.44096827310646947</v>
      </c>
      <c r="P803" s="4">
        <f t="shared" ca="1" si="94"/>
        <v>-0.14851475001156411</v>
      </c>
      <c r="Q803" s="4">
        <f t="shared" ca="1" si="95"/>
        <v>1927.7635319216115</v>
      </c>
      <c r="R803" s="4">
        <f t="shared" ca="1" si="96"/>
        <v>4.0934879216115405</v>
      </c>
      <c r="S803" s="4">
        <f t="shared" ca="1" si="97"/>
        <v>2.0789847950871159</v>
      </c>
    </row>
    <row r="804" spans="15:19" x14ac:dyDescent="0.2">
      <c r="O804" s="4">
        <f t="shared" ca="1" si="93"/>
        <v>0.91682614764805204</v>
      </c>
      <c r="P804" s="4">
        <f t="shared" ca="1" si="94"/>
        <v>1.3840351088297169</v>
      </c>
      <c r="Q804" s="4">
        <f t="shared" ca="1" si="95"/>
        <v>1881.33500199169</v>
      </c>
      <c r="R804" s="4">
        <f t="shared" ca="1" si="96"/>
        <v>-42.335042008309983</v>
      </c>
      <c r="S804" s="4">
        <f t="shared" ca="1" si="97"/>
        <v>-20.700840758911834</v>
      </c>
    </row>
    <row r="805" spans="15:19" x14ac:dyDescent="0.2">
      <c r="O805" s="4">
        <f t="shared" ca="1" si="93"/>
        <v>0.87729347486637088</v>
      </c>
      <c r="P805" s="4">
        <f t="shared" ca="1" si="94"/>
        <v>1.1615629224306792</v>
      </c>
      <c r="Q805" s="4">
        <f t="shared" ca="1" si="95"/>
        <v>1888.0747870011071</v>
      </c>
      <c r="R805" s="4">
        <f t="shared" ca="1" si="96"/>
        <v>-35.595256998892864</v>
      </c>
      <c r="S805" s="4">
        <f t="shared" ca="1" si="97"/>
        <v>-17.502901949896909</v>
      </c>
    </row>
    <row r="806" spans="15:19" x14ac:dyDescent="0.2">
      <c r="O806" s="4">
        <f t="shared" ca="1" si="93"/>
        <v>0.73413708626690066</v>
      </c>
      <c r="P806" s="4">
        <f t="shared" ca="1" si="94"/>
        <v>0.62537368745662636</v>
      </c>
      <c r="Q806" s="4">
        <f t="shared" ca="1" si="95"/>
        <v>1904.3186160683824</v>
      </c>
      <c r="R806" s="4">
        <f t="shared" ca="1" si="96"/>
        <v>-19.351427931617536</v>
      </c>
      <c r="S806" s="4">
        <f t="shared" ca="1" si="97"/>
        <v>-9.6434439913567136</v>
      </c>
    </row>
    <row r="807" spans="15:19" x14ac:dyDescent="0.2">
      <c r="O807" s="4">
        <f t="shared" ca="1" si="93"/>
        <v>0.85563890759663264</v>
      </c>
      <c r="P807" s="4">
        <f t="shared" ca="1" si="94"/>
        <v>1.0609289648639981</v>
      </c>
      <c r="Q807" s="4">
        <f t="shared" ca="1" si="95"/>
        <v>1891.1234882775432</v>
      </c>
      <c r="R807" s="4">
        <f t="shared" ca="1" si="96"/>
        <v>-32.546555722456787</v>
      </c>
      <c r="S807" s="4">
        <f t="shared" ca="1" si="97"/>
        <v>-16.044185704045592</v>
      </c>
    </row>
    <row r="808" spans="15:19" x14ac:dyDescent="0.2">
      <c r="O808" s="4">
        <f t="shared" ca="1" si="93"/>
        <v>6.6035047428753879E-2</v>
      </c>
      <c r="P808" s="4">
        <f t="shared" ca="1" si="94"/>
        <v>-1.505988620746846</v>
      </c>
      <c r="Q808" s="4">
        <f t="shared" ca="1" si="95"/>
        <v>1968.88814256506</v>
      </c>
      <c r="R808" s="4">
        <f t="shared" ca="1" si="96"/>
        <v>45.218098565060018</v>
      </c>
      <c r="S808" s="4">
        <f t="shared" ca="1" si="97"/>
        <v>23.722169255056084</v>
      </c>
    </row>
    <row r="809" spans="15:19" x14ac:dyDescent="0.2">
      <c r="O809" s="4">
        <f t="shared" ca="1" si="93"/>
        <v>0.10773842666929867</v>
      </c>
      <c r="P809" s="4">
        <f t="shared" ca="1" si="94"/>
        <v>-1.2386453831772533</v>
      </c>
      <c r="Q809" s="4">
        <f t="shared" ca="1" si="95"/>
        <v>1960.7889910526605</v>
      </c>
      <c r="R809" s="4">
        <f t="shared" ca="1" si="96"/>
        <v>37.118947052660587</v>
      </c>
      <c r="S809" s="4">
        <f t="shared" ca="1" si="97"/>
        <v>19.350841160701286</v>
      </c>
    </row>
    <row r="810" spans="15:19" x14ac:dyDescent="0.2">
      <c r="O810" s="4">
        <f t="shared" ca="1" si="93"/>
        <v>0.57425528192349229</v>
      </c>
      <c r="P810" s="4">
        <f t="shared" ca="1" si="94"/>
        <v>0.18721835234143308</v>
      </c>
      <c r="Q810" s="4">
        <f t="shared" ca="1" si="95"/>
        <v>1917.5925124920402</v>
      </c>
      <c r="R810" s="4">
        <f t="shared" ca="1" si="96"/>
        <v>-6.0775315079597476</v>
      </c>
      <c r="S810" s="4">
        <f t="shared" ca="1" si="97"/>
        <v>-3.0614703108104533</v>
      </c>
    </row>
    <row r="811" spans="15:19" x14ac:dyDescent="0.2">
      <c r="O811" s="4">
        <f t="shared" ca="1" si="93"/>
        <v>0.34455662845553958</v>
      </c>
      <c r="P811" s="4">
        <f t="shared" ca="1" si="94"/>
        <v>-0.40005873456972879</v>
      </c>
      <c r="Q811" s="4">
        <f t="shared" ca="1" si="95"/>
        <v>1935.384045765501</v>
      </c>
      <c r="R811" s="4">
        <f t="shared" ca="1" si="96"/>
        <v>11.714001765501052</v>
      </c>
      <c r="S811" s="4">
        <f t="shared" ca="1" si="97"/>
        <v>5.9855995900479355</v>
      </c>
    </row>
    <row r="812" spans="15:19" x14ac:dyDescent="0.2">
      <c r="O812" s="4">
        <f t="shared" ca="1" si="93"/>
        <v>0.2256560284010225</v>
      </c>
      <c r="P812" s="4">
        <f t="shared" ca="1" si="94"/>
        <v>-0.75322943063536063</v>
      </c>
      <c r="Q812" s="4">
        <f t="shared" ca="1" si="95"/>
        <v>1946.0833363223849</v>
      </c>
      <c r="R812" s="4">
        <f t="shared" ca="1" si="96"/>
        <v>22.413292322384905</v>
      </c>
      <c r="S812" s="4">
        <f t="shared" ca="1" si="97"/>
        <v>11.550321644409834</v>
      </c>
    </row>
    <row r="813" spans="15:19" x14ac:dyDescent="0.2">
      <c r="O813" s="4">
        <f t="shared" ca="1" si="93"/>
        <v>0.83763490314317424</v>
      </c>
      <c r="P813" s="4">
        <f t="shared" ca="1" si="94"/>
        <v>0.98478397505052073</v>
      </c>
      <c r="Q813" s="4">
        <f t="shared" ca="1" si="95"/>
        <v>1893.4302973631814</v>
      </c>
      <c r="R813" s="4">
        <f t="shared" ca="1" si="96"/>
        <v>-30.239746636818609</v>
      </c>
      <c r="S813" s="4">
        <f t="shared" ca="1" si="97"/>
        <v>-14.935414633481123</v>
      </c>
    </row>
    <row r="814" spans="15:19" x14ac:dyDescent="0.2">
      <c r="O814" s="4">
        <f t="shared" ca="1" si="93"/>
        <v>0.63716985986225405</v>
      </c>
      <c r="P814" s="4">
        <f t="shared" ca="1" si="94"/>
        <v>0.35090412027497586</v>
      </c>
      <c r="Q814" s="4">
        <f t="shared" ca="1" si="95"/>
        <v>1912.6336594199774</v>
      </c>
      <c r="R814" s="4">
        <f t="shared" ca="1" si="96"/>
        <v>-11.036384580022514</v>
      </c>
      <c r="S814" s="4">
        <f t="shared" ca="1" si="97"/>
        <v>-5.5371442166018072</v>
      </c>
    </row>
    <row r="815" spans="15:19" x14ac:dyDescent="0.2">
      <c r="O815" s="4">
        <f t="shared" ca="1" si="93"/>
        <v>0.48070269619606565</v>
      </c>
      <c r="P815" s="4">
        <f t="shared" ca="1" si="94"/>
        <v>-4.8390045701573264E-2</v>
      </c>
      <c r="Q815" s="4">
        <f t="shared" ca="1" si="95"/>
        <v>1924.7302584499769</v>
      </c>
      <c r="R815" s="4">
        <f t="shared" ca="1" si="96"/>
        <v>1.0602144499769111</v>
      </c>
      <c r="S815" s="4">
        <f t="shared" ca="1" si="97"/>
        <v>0.53714850734685105</v>
      </c>
    </row>
    <row r="816" spans="15:19" x14ac:dyDescent="0.2">
      <c r="O816" s="4">
        <f t="shared" ca="1" si="93"/>
        <v>0.77242916032663467</v>
      </c>
      <c r="P816" s="4">
        <f t="shared" ca="1" si="94"/>
        <v>0.74687059143407331</v>
      </c>
      <c r="Q816" s="4">
        <f t="shared" ca="1" si="95"/>
        <v>1900.6378727567262</v>
      </c>
      <c r="R816" s="4">
        <f t="shared" ca="1" si="96"/>
        <v>-23.032171243273751</v>
      </c>
      <c r="S816" s="4">
        <f t="shared" ca="1" si="97"/>
        <v>-11.443168227098646</v>
      </c>
    </row>
    <row r="817" spans="15:19" x14ac:dyDescent="0.2">
      <c r="O817" s="4">
        <f t="shared" ca="1" si="93"/>
        <v>0.20536511184003969</v>
      </c>
      <c r="P817" s="4">
        <f t="shared" ca="1" si="94"/>
        <v>-0.82260927299638087</v>
      </c>
      <c r="Q817" s="4">
        <f t="shared" ca="1" si="95"/>
        <v>1948.1851955663169</v>
      </c>
      <c r="R817" s="4">
        <f t="shared" ca="1" si="96"/>
        <v>24.515151566316945</v>
      </c>
      <c r="S817" s="4">
        <f t="shared" ca="1" si="97"/>
        <v>12.654455461739593</v>
      </c>
    </row>
    <row r="818" spans="15:19" x14ac:dyDescent="0.2">
      <c r="O818" s="4">
        <f t="shared" ca="1" si="93"/>
        <v>5.0533162540300158E-2</v>
      </c>
      <c r="P818" s="4">
        <f t="shared" ca="1" si="94"/>
        <v>-1.6397059314023978</v>
      </c>
      <c r="Q818" s="4">
        <f t="shared" ca="1" si="95"/>
        <v>1972.9391025544555</v>
      </c>
      <c r="R818" s="4">
        <f t="shared" ca="1" si="96"/>
        <v>49.269058554455569</v>
      </c>
      <c r="S818" s="4">
        <f t="shared" ca="1" si="97"/>
        <v>25.928616200606978</v>
      </c>
    </row>
    <row r="819" spans="15:19" x14ac:dyDescent="0.2">
      <c r="O819" s="4">
        <f t="shared" ca="1" si="93"/>
        <v>0.97391580976738223</v>
      </c>
      <c r="P819" s="4">
        <f t="shared" ca="1" si="94"/>
        <v>1.9417416779977963</v>
      </c>
      <c r="Q819" s="4">
        <f t="shared" ca="1" si="95"/>
        <v>1864.4393062403547</v>
      </c>
      <c r="R819" s="4">
        <f t="shared" ca="1" si="96"/>
        <v>-59.230737759645308</v>
      </c>
      <c r="S819" s="4">
        <f t="shared" ca="1" si="97"/>
        <v>-28.555066669849577</v>
      </c>
    </row>
    <row r="820" spans="15:19" x14ac:dyDescent="0.2">
      <c r="O820" s="4">
        <f t="shared" ca="1" si="93"/>
        <v>0.21846873554109825</v>
      </c>
      <c r="P820" s="4">
        <f t="shared" ca="1" si="94"/>
        <v>-0.77737514681936259</v>
      </c>
      <c r="Q820" s="4">
        <f t="shared" ca="1" si="95"/>
        <v>1946.8148297221337</v>
      </c>
      <c r="R820" s="4">
        <f t="shared" ca="1" si="96"/>
        <v>23.144785722133747</v>
      </c>
      <c r="S820" s="4">
        <f t="shared" ca="1" si="97"/>
        <v>11.934176526640574</v>
      </c>
    </row>
    <row r="821" spans="15:19" x14ac:dyDescent="0.2">
      <c r="O821" s="4">
        <f t="shared" ca="1" si="93"/>
        <v>0.60409383960034713</v>
      </c>
      <c r="P821" s="4">
        <f t="shared" ca="1" si="94"/>
        <v>0.26395795016606993</v>
      </c>
      <c r="Q821" s="4">
        <f t="shared" ca="1" si="95"/>
        <v>1915.2676897831041</v>
      </c>
      <c r="R821" s="4">
        <f t="shared" ca="1" si="96"/>
        <v>-8.4023542168959011</v>
      </c>
      <c r="S821" s="4">
        <f t="shared" ca="1" si="97"/>
        <v>-4.2246150981027224</v>
      </c>
    </row>
    <row r="822" spans="15:19" x14ac:dyDescent="0.2">
      <c r="O822" s="4">
        <f t="shared" ca="1" si="93"/>
        <v>0.15210413813565904</v>
      </c>
      <c r="P822" s="4">
        <f t="shared" ca="1" si="94"/>
        <v>-1.0274507257709355</v>
      </c>
      <c r="Q822" s="4">
        <f t="shared" ca="1" si="95"/>
        <v>1954.3908582833669</v>
      </c>
      <c r="R822" s="4">
        <f t="shared" ca="1" si="96"/>
        <v>30.720814283366963</v>
      </c>
      <c r="S822" s="4">
        <f t="shared" ca="1" si="97"/>
        <v>15.935356181876394</v>
      </c>
    </row>
    <row r="823" spans="15:19" x14ac:dyDescent="0.2">
      <c r="O823" s="4">
        <f t="shared" ca="1" si="93"/>
        <v>6.4687174600935315E-2</v>
      </c>
      <c r="P823" s="4">
        <f t="shared" ca="1" si="94"/>
        <v>-1.5165737019920191</v>
      </c>
      <c r="Q823" s="4">
        <f t="shared" ca="1" si="95"/>
        <v>1969.2088171314156</v>
      </c>
      <c r="R823" s="4">
        <f t="shared" ca="1" si="96"/>
        <v>45.53877313141561</v>
      </c>
      <c r="S823" s="4">
        <f t="shared" ca="1" si="97"/>
        <v>23.896344968361259</v>
      </c>
    </row>
    <row r="824" spans="15:19" x14ac:dyDescent="0.2">
      <c r="O824" s="4">
        <f t="shared" ca="1" si="93"/>
        <v>0.83656909259154333</v>
      </c>
      <c r="P824" s="4">
        <f t="shared" ca="1" si="94"/>
        <v>0.98045450805773415</v>
      </c>
      <c r="Q824" s="4">
        <f t="shared" ca="1" si="95"/>
        <v>1893.5614583735039</v>
      </c>
      <c r="R824" s="4">
        <f t="shared" ca="1" si="96"/>
        <v>-30.108585626496051</v>
      </c>
      <c r="S824" s="4">
        <f t="shared" ca="1" si="97"/>
        <v>-14.872241740021913</v>
      </c>
    </row>
    <row r="825" spans="15:19" x14ac:dyDescent="0.2">
      <c r="O825" s="4">
        <f t="shared" ca="1" si="93"/>
        <v>6.2505270897770582E-2</v>
      </c>
      <c r="P825" s="4">
        <f t="shared" ca="1" si="94"/>
        <v>-1.5340776873400124</v>
      </c>
      <c r="Q825" s="4">
        <f t="shared" ca="1" si="95"/>
        <v>1969.7390995903738</v>
      </c>
      <c r="R825" s="4">
        <f t="shared" ca="1" si="96"/>
        <v>46.069055590373864</v>
      </c>
      <c r="S825" s="4">
        <f t="shared" ca="1" si="97"/>
        <v>24.184553762044253</v>
      </c>
    </row>
    <row r="826" spans="15:19" x14ac:dyDescent="0.2">
      <c r="O826" s="4">
        <f t="shared" ca="1" si="93"/>
        <v>0.38453746731690863</v>
      </c>
      <c r="P826" s="4">
        <f t="shared" ca="1" si="94"/>
        <v>-0.29358513681813314</v>
      </c>
      <c r="Q826" s="4">
        <f t="shared" ca="1" si="95"/>
        <v>1932.1584328489373</v>
      </c>
      <c r="R826" s="4">
        <f t="shared" ca="1" si="96"/>
        <v>8.4883888489373476</v>
      </c>
      <c r="S826" s="4">
        <f t="shared" ca="1" si="97"/>
        <v>4.3262360335193462</v>
      </c>
    </row>
    <row r="827" spans="15:19" x14ac:dyDescent="0.2">
      <c r="O827" s="4">
        <f t="shared" ca="1" si="93"/>
        <v>0.67300716895201984</v>
      </c>
      <c r="P827" s="4">
        <f t="shared" ca="1" si="94"/>
        <v>0.44823215023536045</v>
      </c>
      <c r="Q827" s="4">
        <f t="shared" ca="1" si="95"/>
        <v>1909.6851110735943</v>
      </c>
      <c r="R827" s="4">
        <f t="shared" ca="1" si="96"/>
        <v>-13.984932926405691</v>
      </c>
      <c r="S827" s="4">
        <f t="shared" ca="1" si="97"/>
        <v>-6.9996961013629457</v>
      </c>
    </row>
    <row r="828" spans="15:19" x14ac:dyDescent="0.2">
      <c r="O828" s="4">
        <f t="shared" ca="1" si="93"/>
        <v>0.94372403450771769</v>
      </c>
      <c r="P828" s="4">
        <f t="shared" ca="1" si="94"/>
        <v>1.5868265627946285</v>
      </c>
      <c r="Q828" s="4">
        <f t="shared" ca="1" si="95"/>
        <v>1875.19144389756</v>
      </c>
      <c r="R828" s="4">
        <f t="shared" ca="1" si="96"/>
        <v>-48.478600102439941</v>
      </c>
      <c r="S828" s="4">
        <f t="shared" ca="1" si="97"/>
        <v>-23.583658432767038</v>
      </c>
    </row>
    <row r="829" spans="15:19" x14ac:dyDescent="0.2">
      <c r="O829" s="4">
        <f t="shared" ca="1" si="93"/>
        <v>0.9762723028997039</v>
      </c>
      <c r="P829" s="4">
        <f t="shared" ca="1" si="94"/>
        <v>1.9822131081564938</v>
      </c>
      <c r="Q829" s="4">
        <f t="shared" ca="1" si="95"/>
        <v>1863.2132260605879</v>
      </c>
      <c r="R829" s="4">
        <f t="shared" ca="1" si="96"/>
        <v>-60.456817939412076</v>
      </c>
      <c r="S829" s="4">
        <f t="shared" ca="1" si="97"/>
        <v>-29.115984465848811</v>
      </c>
    </row>
    <row r="830" spans="15:19" x14ac:dyDescent="0.2">
      <c r="O830" s="4">
        <f t="shared" ca="1" si="93"/>
        <v>0.61330232900001203</v>
      </c>
      <c r="P830" s="4">
        <f t="shared" ca="1" si="94"/>
        <v>0.28793650594267367</v>
      </c>
      <c r="Q830" s="4">
        <f t="shared" ca="1" si="95"/>
        <v>1914.5412605004756</v>
      </c>
      <c r="R830" s="4">
        <f t="shared" ca="1" si="96"/>
        <v>-9.1287834995243884</v>
      </c>
      <c r="S830" s="4">
        <f t="shared" ca="1" si="97"/>
        <v>-4.5871566360360241</v>
      </c>
    </row>
    <row r="831" spans="15:19" x14ac:dyDescent="0.2">
      <c r="O831" s="4">
        <f t="shared" ca="1" si="93"/>
        <v>0.54462602962293005</v>
      </c>
      <c r="P831" s="4">
        <f t="shared" ca="1" si="94"/>
        <v>0.11209517796807564</v>
      </c>
      <c r="Q831" s="4">
        <f t="shared" ca="1" si="95"/>
        <v>1919.8683657242877</v>
      </c>
      <c r="R831" s="4">
        <f t="shared" ca="1" si="96"/>
        <v>-3.8016782757122201</v>
      </c>
      <c r="S831" s="4">
        <f t="shared" ca="1" si="97"/>
        <v>-1.9185635073532763</v>
      </c>
    </row>
    <row r="832" spans="15:19" x14ac:dyDescent="0.2">
      <c r="O832" s="4">
        <f t="shared" ca="1" si="93"/>
        <v>0.33173287863644429</v>
      </c>
      <c r="P832" s="4">
        <f t="shared" ca="1" si="94"/>
        <v>-0.43513318480140306</v>
      </c>
      <c r="Q832" s="4">
        <f t="shared" ca="1" si="95"/>
        <v>1936.4466246779994</v>
      </c>
      <c r="R832" s="4">
        <f t="shared" ca="1" si="96"/>
        <v>12.776580677999391</v>
      </c>
      <c r="S832" s="4">
        <f t="shared" ca="1" si="97"/>
        <v>6.5340806777069229</v>
      </c>
    </row>
    <row r="833" spans="15:19" x14ac:dyDescent="0.2">
      <c r="O833" s="4">
        <f t="shared" ca="1" si="93"/>
        <v>0.82093147454342508</v>
      </c>
      <c r="P833" s="4">
        <f t="shared" ca="1" si="94"/>
        <v>0.91892070177492025</v>
      </c>
      <c r="Q833" s="4">
        <f t="shared" ca="1" si="95"/>
        <v>1895.4256223028024</v>
      </c>
      <c r="R833" s="4">
        <f t="shared" ca="1" si="96"/>
        <v>-28.244421697197595</v>
      </c>
      <c r="S833" s="4">
        <f t="shared" ca="1" si="97"/>
        <v>-13.972864515614495</v>
      </c>
    </row>
    <row r="834" spans="15:19" x14ac:dyDescent="0.2">
      <c r="O834" s="4">
        <f t="shared" ca="1" si="93"/>
        <v>2.515486075247142E-2</v>
      </c>
      <c r="P834" s="4">
        <f t="shared" ca="1" si="94"/>
        <v>-1.9573211576618934</v>
      </c>
      <c r="Q834" s="4">
        <f t="shared" ca="1" si="95"/>
        <v>1982.56124173219</v>
      </c>
      <c r="R834" s="4">
        <f t="shared" ca="1" si="96"/>
        <v>58.891197732189994</v>
      </c>
      <c r="S834" s="4">
        <f t="shared" ca="1" si="97"/>
        <v>31.223087692897721</v>
      </c>
    </row>
    <row r="835" spans="15:19" x14ac:dyDescent="0.2">
      <c r="O835" s="4">
        <f t="shared" ref="O835:O898" ca="1" si="98">RAND()</f>
        <v>8.688578650427603E-3</v>
      </c>
      <c r="P835" s="4">
        <f t="shared" ref="P835:P898" ca="1" si="99">NORMSINV(O835)</f>
        <v>-2.3786289621132326</v>
      </c>
      <c r="Q835" s="4">
        <f t="shared" ref="Q835:Q898" ca="1" si="100">$B$4*(1+$B$17-$B$6/SQRT(252)*P835)</f>
        <v>1995.3247429623998</v>
      </c>
      <c r="R835" s="4">
        <f t="shared" ref="R835:R898" ca="1" si="101">Q835-$B$4</f>
        <v>71.654698962399834</v>
      </c>
      <c r="S835" s="4">
        <f t="shared" ref="S835:S898" ca="1" si="102">R835*$B$12+0.5*$B$13*R835^2</f>
        <v>38.362365022619237</v>
      </c>
    </row>
    <row r="836" spans="15:19" x14ac:dyDescent="0.2">
      <c r="O836" s="4">
        <f t="shared" ca="1" si="98"/>
        <v>0.8218027434880818</v>
      </c>
      <c r="P836" s="4">
        <f t="shared" ca="1" si="99"/>
        <v>0.92225704701660083</v>
      </c>
      <c r="Q836" s="4">
        <f t="shared" ca="1" si="100"/>
        <v>1895.3245478718361</v>
      </c>
      <c r="R836" s="4">
        <f t="shared" ca="1" si="101"/>
        <v>-28.345496128163859</v>
      </c>
      <c r="S836" s="4">
        <f t="shared" ca="1" si="102"/>
        <v>-14.021701030573958</v>
      </c>
    </row>
    <row r="837" spans="15:19" x14ac:dyDescent="0.2">
      <c r="O837" s="4">
        <f t="shared" ca="1" si="98"/>
        <v>0.92242275860382317</v>
      </c>
      <c r="P837" s="4">
        <f t="shared" ca="1" si="99"/>
        <v>1.4215584199317945</v>
      </c>
      <c r="Q837" s="4">
        <f t="shared" ca="1" si="100"/>
        <v>1880.1982349478499</v>
      </c>
      <c r="R837" s="4">
        <f t="shared" ca="1" si="101"/>
        <v>-43.471809052150093</v>
      </c>
      <c r="S837" s="4">
        <f t="shared" ca="1" si="102"/>
        <v>-21.236576861613962</v>
      </c>
    </row>
    <row r="838" spans="15:19" x14ac:dyDescent="0.2">
      <c r="O838" s="4">
        <f t="shared" ca="1" si="98"/>
        <v>0.71806392666742203</v>
      </c>
      <c r="P838" s="4">
        <f t="shared" ca="1" si="99"/>
        <v>0.57709964126961266</v>
      </c>
      <c r="Q838" s="4">
        <f t="shared" ca="1" si="100"/>
        <v>1905.7810761542987</v>
      </c>
      <c r="R838" s="4">
        <f t="shared" ca="1" si="101"/>
        <v>-17.888967845701245</v>
      </c>
      <c r="S838" s="4">
        <f t="shared" ca="1" si="102"/>
        <v>-8.9253024165304922</v>
      </c>
    </row>
    <row r="839" spans="15:19" x14ac:dyDescent="0.2">
      <c r="O839" s="4">
        <f t="shared" ca="1" si="98"/>
        <v>0.39331517690732198</v>
      </c>
      <c r="P839" s="4">
        <f t="shared" ca="1" si="99"/>
        <v>-0.27068884917080821</v>
      </c>
      <c r="Q839" s="4">
        <f t="shared" ca="1" si="100"/>
        <v>1931.4647908312338</v>
      </c>
      <c r="R839" s="4">
        <f t="shared" ca="1" si="101"/>
        <v>7.7947468312338515</v>
      </c>
      <c r="S839" s="4">
        <f t="shared" ca="1" si="102"/>
        <v>3.9705099386135578</v>
      </c>
    </row>
    <row r="840" spans="15:19" x14ac:dyDescent="0.2">
      <c r="O840" s="4">
        <f t="shared" ca="1" si="98"/>
        <v>0.11078535900899922</v>
      </c>
      <c r="P840" s="4">
        <f t="shared" ca="1" si="99"/>
        <v>-1.2223621182669393</v>
      </c>
      <c r="Q840" s="4">
        <f t="shared" ca="1" si="100"/>
        <v>1960.2956902651636</v>
      </c>
      <c r="R840" s="4">
        <f t="shared" ca="1" si="101"/>
        <v>36.625646265163596</v>
      </c>
      <c r="S840" s="4">
        <f t="shared" ca="1" si="102"/>
        <v>19.086318997679033</v>
      </c>
    </row>
    <row r="841" spans="15:19" x14ac:dyDescent="0.2">
      <c r="O841" s="4">
        <f t="shared" ca="1" si="98"/>
        <v>0.92121953920523469</v>
      </c>
      <c r="P841" s="4">
        <f t="shared" ca="1" si="99"/>
        <v>1.4133224988610289</v>
      </c>
      <c r="Q841" s="4">
        <f t="shared" ca="1" si="100"/>
        <v>1880.4477418110221</v>
      </c>
      <c r="R841" s="4">
        <f t="shared" ca="1" si="101"/>
        <v>-43.222302188977892</v>
      </c>
      <c r="S841" s="4">
        <f t="shared" ca="1" si="102"/>
        <v>-21.119079266717101</v>
      </c>
    </row>
    <row r="842" spans="15:19" x14ac:dyDescent="0.2">
      <c r="O842" s="4">
        <f t="shared" ca="1" si="98"/>
        <v>6.4856245211921015E-2</v>
      </c>
      <c r="P842" s="4">
        <f t="shared" ca="1" si="99"/>
        <v>-1.515236627735661</v>
      </c>
      <c r="Q842" s="4">
        <f t="shared" ca="1" si="100"/>
        <v>1969.1683105261839</v>
      </c>
      <c r="R842" s="4">
        <f t="shared" ca="1" si="101"/>
        <v>45.498266526183897</v>
      </c>
      <c r="S842" s="4">
        <f t="shared" ca="1" si="102"/>
        <v>23.874339018976954</v>
      </c>
    </row>
    <row r="843" spans="15:19" x14ac:dyDescent="0.2">
      <c r="O843" s="4">
        <f t="shared" ca="1" si="98"/>
        <v>0.99263541613455564</v>
      </c>
      <c r="P843" s="4">
        <f t="shared" ca="1" si="99"/>
        <v>2.4389705704565734</v>
      </c>
      <c r="Q843" s="4">
        <f t="shared" ca="1" si="100"/>
        <v>1849.3757790197797</v>
      </c>
      <c r="R843" s="4">
        <f t="shared" ca="1" si="101"/>
        <v>-74.294264980220305</v>
      </c>
      <c r="S843" s="4">
        <f t="shared" ca="1" si="102"/>
        <v>-35.361609949081021</v>
      </c>
    </row>
    <row r="844" spans="15:19" x14ac:dyDescent="0.2">
      <c r="O844" s="4">
        <f t="shared" ca="1" si="98"/>
        <v>0.60101049558974362</v>
      </c>
      <c r="P844" s="4">
        <f t="shared" ca="1" si="99"/>
        <v>0.25596351629538794</v>
      </c>
      <c r="Q844" s="4">
        <f t="shared" ca="1" si="100"/>
        <v>1915.5098808022715</v>
      </c>
      <c r="R844" s="4">
        <f t="shared" ca="1" si="101"/>
        <v>-8.1601631977284796</v>
      </c>
      <c r="S844" s="4">
        <f t="shared" ca="1" si="102"/>
        <v>-4.1036485058865884</v>
      </c>
    </row>
    <row r="845" spans="15:19" x14ac:dyDescent="0.2">
      <c r="O845" s="4">
        <f t="shared" ca="1" si="98"/>
        <v>0.1649612745928849</v>
      </c>
      <c r="P845" s="4">
        <f t="shared" ca="1" si="99"/>
        <v>-0.97426989318114188</v>
      </c>
      <c r="Q845" s="4">
        <f t="shared" ca="1" si="100"/>
        <v>1952.7797473212347</v>
      </c>
      <c r="R845" s="4">
        <f t="shared" ca="1" si="101"/>
        <v>29.109703321234747</v>
      </c>
      <c r="S845" s="4">
        <f t="shared" ca="1" si="102"/>
        <v>15.080557162915259</v>
      </c>
    </row>
    <row r="846" spans="15:19" x14ac:dyDescent="0.2">
      <c r="O846" s="4">
        <f t="shared" ca="1" si="98"/>
        <v>0.56070424800648844</v>
      </c>
      <c r="P846" s="4">
        <f t="shared" ca="1" si="99"/>
        <v>0.15275497712774647</v>
      </c>
      <c r="Q846" s="4">
        <f t="shared" ca="1" si="100"/>
        <v>1918.6365789139998</v>
      </c>
      <c r="R846" s="4">
        <f t="shared" ca="1" si="101"/>
        <v>-5.0334650860002057</v>
      </c>
      <c r="S846" s="4">
        <f t="shared" ca="1" si="102"/>
        <v>-2.5376759162564544</v>
      </c>
    </row>
    <row r="847" spans="15:19" x14ac:dyDescent="0.2">
      <c r="O847" s="4">
        <f t="shared" ca="1" si="98"/>
        <v>0.41333821826607653</v>
      </c>
      <c r="P847" s="4">
        <f t="shared" ca="1" si="99"/>
        <v>-0.21896612400950119</v>
      </c>
      <c r="Q847" s="4">
        <f t="shared" ca="1" si="100"/>
        <v>1929.8978531689088</v>
      </c>
      <c r="R847" s="4">
        <f t="shared" ca="1" si="101"/>
        <v>6.2278091689088342</v>
      </c>
      <c r="S847" s="4">
        <f t="shared" ca="1" si="102"/>
        <v>3.168366429132695</v>
      </c>
    </row>
    <row r="848" spans="15:19" x14ac:dyDescent="0.2">
      <c r="O848" s="4">
        <f t="shared" ca="1" si="98"/>
        <v>0.1422945821952315</v>
      </c>
      <c r="P848" s="4">
        <f t="shared" ca="1" si="99"/>
        <v>-1.0700669719412377</v>
      </c>
      <c r="Q848" s="4">
        <f t="shared" ca="1" si="100"/>
        <v>1955.681915568978</v>
      </c>
      <c r="R848" s="4">
        <f t="shared" ca="1" si="101"/>
        <v>32.011871568977995</v>
      </c>
      <c r="S848" s="4">
        <f t="shared" ca="1" si="102"/>
        <v>16.621871169216007</v>
      </c>
    </row>
    <row r="849" spans="15:19" x14ac:dyDescent="0.2">
      <c r="O849" s="4">
        <f t="shared" ca="1" si="98"/>
        <v>0.99067911156315747</v>
      </c>
      <c r="P849" s="4">
        <f t="shared" ca="1" si="99"/>
        <v>2.3526179421028197</v>
      </c>
      <c r="Q849" s="4">
        <f t="shared" ca="1" si="100"/>
        <v>1851.9918280617867</v>
      </c>
      <c r="R849" s="4">
        <f t="shared" ca="1" si="101"/>
        <v>-71.67821593821327</v>
      </c>
      <c r="S849" s="4">
        <f t="shared" ca="1" si="102"/>
        <v>-34.192788301103491</v>
      </c>
    </row>
    <row r="850" spans="15:19" x14ac:dyDescent="0.2">
      <c r="O850" s="4">
        <f t="shared" ca="1" si="98"/>
        <v>0.90645263563694345</v>
      </c>
      <c r="P850" s="4">
        <f t="shared" ca="1" si="99"/>
        <v>1.3192225286857724</v>
      </c>
      <c r="Q850" s="4">
        <f t="shared" ca="1" si="100"/>
        <v>1883.2984962295375</v>
      </c>
      <c r="R850" s="4">
        <f t="shared" ca="1" si="101"/>
        <v>-40.371547770462485</v>
      </c>
      <c r="S850" s="4">
        <f t="shared" ca="1" si="102"/>
        <v>-19.773006307682675</v>
      </c>
    </row>
    <row r="851" spans="15:19" x14ac:dyDescent="0.2">
      <c r="O851" s="4">
        <f t="shared" ca="1" si="98"/>
        <v>0.16957698104449481</v>
      </c>
      <c r="P851" s="4">
        <f t="shared" ca="1" si="99"/>
        <v>-0.95583824646031779</v>
      </c>
      <c r="Q851" s="4">
        <f t="shared" ca="1" si="100"/>
        <v>1952.2213614021739</v>
      </c>
      <c r="R851" s="4">
        <f t="shared" ca="1" si="101"/>
        <v>28.551317402173936</v>
      </c>
      <c r="S851" s="4">
        <f t="shared" ca="1" si="102"/>
        <v>14.784790291946848</v>
      </c>
    </row>
    <row r="852" spans="15:19" x14ac:dyDescent="0.2">
      <c r="O852" s="4">
        <f t="shared" ca="1" si="98"/>
        <v>4.3430287768978615E-2</v>
      </c>
      <c r="P852" s="4">
        <f t="shared" ca="1" si="99"/>
        <v>-1.7121958850147221</v>
      </c>
      <c r="Q852" s="4">
        <f t="shared" ca="1" si="100"/>
        <v>1975.13518248066</v>
      </c>
      <c r="R852" s="4">
        <f t="shared" ca="1" si="101"/>
        <v>51.465138480660016</v>
      </c>
      <c r="S852" s="4">
        <f t="shared" ca="1" si="102"/>
        <v>27.130345365419693</v>
      </c>
    </row>
    <row r="853" spans="15:19" x14ac:dyDescent="0.2">
      <c r="O853" s="4">
        <f t="shared" ca="1" si="98"/>
        <v>0.19861867855345283</v>
      </c>
      <c r="P853" s="4">
        <f t="shared" ca="1" si="99"/>
        <v>-0.84656548828362344</v>
      </c>
      <c r="Q853" s="4">
        <f t="shared" ca="1" si="100"/>
        <v>1948.9109480448117</v>
      </c>
      <c r="R853" s="4">
        <f t="shared" ca="1" si="101"/>
        <v>25.240904044811714</v>
      </c>
      <c r="S853" s="4">
        <f t="shared" ca="1" si="102"/>
        <v>13.03653798114863</v>
      </c>
    </row>
    <row r="854" spans="15:19" x14ac:dyDescent="0.2">
      <c r="O854" s="4">
        <f t="shared" ca="1" si="98"/>
        <v>0.23045243041832209</v>
      </c>
      <c r="P854" s="4">
        <f t="shared" ca="1" si="99"/>
        <v>-0.73735768538513291</v>
      </c>
      <c r="Q854" s="4">
        <f t="shared" ca="1" si="100"/>
        <v>1945.602502504719</v>
      </c>
      <c r="R854" s="4">
        <f t="shared" ca="1" si="101"/>
        <v>21.932458504719079</v>
      </c>
      <c r="S854" s="4">
        <f t="shared" ca="1" si="102"/>
        <v>11.298238944866069</v>
      </c>
    </row>
    <row r="855" spans="15:19" x14ac:dyDescent="0.2">
      <c r="O855" s="4">
        <f t="shared" ca="1" si="98"/>
        <v>0.23782404651868683</v>
      </c>
      <c r="P855" s="4">
        <f t="shared" ca="1" si="99"/>
        <v>-0.71331946856411399</v>
      </c>
      <c r="Q855" s="4">
        <f t="shared" ca="1" si="100"/>
        <v>1944.874265793399</v>
      </c>
      <c r="R855" s="4">
        <f t="shared" ca="1" si="101"/>
        <v>21.204221793399029</v>
      </c>
      <c r="S855" s="4">
        <f t="shared" ca="1" si="102"/>
        <v>10.916810832270375</v>
      </c>
    </row>
    <row r="856" spans="15:19" x14ac:dyDescent="0.2">
      <c r="O856" s="4">
        <f t="shared" ca="1" si="98"/>
        <v>0.33589663005909254</v>
      </c>
      <c r="P856" s="4">
        <f t="shared" ca="1" si="99"/>
        <v>-0.42368814767825497</v>
      </c>
      <c r="Q856" s="4">
        <f t="shared" ca="1" si="100"/>
        <v>1936.0998977865013</v>
      </c>
      <c r="R856" s="4">
        <f t="shared" ca="1" si="101"/>
        <v>12.429853786501326</v>
      </c>
      <c r="S856" s="4">
        <f t="shared" ca="1" si="102"/>
        <v>6.3550064463502647</v>
      </c>
    </row>
    <row r="857" spans="15:19" x14ac:dyDescent="0.2">
      <c r="O857" s="4">
        <f t="shared" ca="1" si="98"/>
        <v>0.57113613634639337</v>
      </c>
      <c r="P857" s="4">
        <f t="shared" ca="1" si="99"/>
        <v>0.17926742023948389</v>
      </c>
      <c r="Q857" s="4">
        <f t="shared" ca="1" si="100"/>
        <v>1917.8333856270553</v>
      </c>
      <c r="R857" s="4">
        <f t="shared" ca="1" si="101"/>
        <v>-5.836658372944612</v>
      </c>
      <c r="S857" s="4">
        <f t="shared" ca="1" si="102"/>
        <v>-2.9407061811657709</v>
      </c>
    </row>
    <row r="858" spans="15:19" x14ac:dyDescent="0.2">
      <c r="O858" s="4">
        <f t="shared" ca="1" si="98"/>
        <v>0.91884383413118931</v>
      </c>
      <c r="P858" s="4">
        <f t="shared" ca="1" si="99"/>
        <v>1.3973367426228447</v>
      </c>
      <c r="Q858" s="4">
        <f t="shared" ca="1" si="100"/>
        <v>1880.9320295865066</v>
      </c>
      <c r="R858" s="4">
        <f t="shared" ca="1" si="101"/>
        <v>-42.738014413493374</v>
      </c>
      <c r="S858" s="4">
        <f t="shared" ca="1" si="102"/>
        <v>-20.890874151965058</v>
      </c>
    </row>
    <row r="859" spans="15:19" x14ac:dyDescent="0.2">
      <c r="O859" s="4">
        <f t="shared" ca="1" si="98"/>
        <v>0.61262143265485058</v>
      </c>
      <c r="P859" s="4">
        <f t="shared" ca="1" si="99"/>
        <v>0.28615796822788031</v>
      </c>
      <c r="Q859" s="4">
        <f t="shared" ca="1" si="100"/>
        <v>1914.59514122158</v>
      </c>
      <c r="R859" s="4">
        <f t="shared" ca="1" si="101"/>
        <v>-9.0749027784199825</v>
      </c>
      <c r="S859" s="4">
        <f t="shared" ca="1" si="102"/>
        <v>-4.5602809520464929</v>
      </c>
    </row>
    <row r="860" spans="15:19" x14ac:dyDescent="0.2">
      <c r="O860" s="4">
        <f t="shared" ca="1" si="98"/>
        <v>0.87255839703392668</v>
      </c>
      <c r="P860" s="4">
        <f t="shared" ca="1" si="99"/>
        <v>1.138568421112818</v>
      </c>
      <c r="Q860" s="4">
        <f t="shared" ca="1" si="100"/>
        <v>1888.7714043975989</v>
      </c>
      <c r="R860" s="4">
        <f t="shared" ca="1" si="101"/>
        <v>-34.89863960240109</v>
      </c>
      <c r="S860" s="4">
        <f t="shared" ca="1" si="102"/>
        <v>-17.170257460788864</v>
      </c>
    </row>
    <row r="861" spans="15:19" x14ac:dyDescent="0.2">
      <c r="O861" s="4">
        <f t="shared" ca="1" si="98"/>
        <v>0.81026120947048619</v>
      </c>
      <c r="P861" s="4">
        <f t="shared" ca="1" si="99"/>
        <v>0.87885927728616053</v>
      </c>
      <c r="Q861" s="4">
        <f t="shared" ca="1" si="100"/>
        <v>1896.6392813790023</v>
      </c>
      <c r="R861" s="4">
        <f t="shared" ca="1" si="101"/>
        <v>-27.030762620997621</v>
      </c>
      <c r="S861" s="4">
        <f t="shared" ca="1" si="102"/>
        <v>-13.385806735848735</v>
      </c>
    </row>
    <row r="862" spans="15:19" x14ac:dyDescent="0.2">
      <c r="O862" s="4">
        <f t="shared" ca="1" si="98"/>
        <v>0.17362160372003677</v>
      </c>
      <c r="P862" s="4">
        <f t="shared" ca="1" si="99"/>
        <v>-0.93995000188964417</v>
      </c>
      <c r="Q862" s="4">
        <f t="shared" ca="1" si="100"/>
        <v>1951.7400277383274</v>
      </c>
      <c r="R862" s="4">
        <f t="shared" ca="1" si="101"/>
        <v>28.069983738327437</v>
      </c>
      <c r="S862" s="4">
        <f t="shared" ca="1" si="102"/>
        <v>14.530040318529862</v>
      </c>
    </row>
    <row r="863" spans="15:19" x14ac:dyDescent="0.2">
      <c r="O863" s="4">
        <f t="shared" ca="1" si="98"/>
        <v>0.31488793489660372</v>
      </c>
      <c r="P863" s="4">
        <f t="shared" ca="1" si="99"/>
        <v>-0.4820423389267649</v>
      </c>
      <c r="Q863" s="4">
        <f t="shared" ca="1" si="100"/>
        <v>1937.8677354195077</v>
      </c>
      <c r="R863" s="4">
        <f t="shared" ca="1" si="101"/>
        <v>14.197691419507692</v>
      </c>
      <c r="S863" s="4">
        <f t="shared" ca="1" si="102"/>
        <v>7.2690652134869609</v>
      </c>
    </row>
    <row r="864" spans="15:19" x14ac:dyDescent="0.2">
      <c r="O864" s="4">
        <f t="shared" ca="1" si="98"/>
        <v>0.95680522718739502</v>
      </c>
      <c r="P864" s="4">
        <f t="shared" ca="1" si="99"/>
        <v>1.7147583227295538</v>
      </c>
      <c r="Q864" s="4">
        <f t="shared" ca="1" si="100"/>
        <v>1871.3157569103732</v>
      </c>
      <c r="R864" s="4">
        <f t="shared" ca="1" si="101"/>
        <v>-52.354287089626723</v>
      </c>
      <c r="S864" s="4">
        <f t="shared" ca="1" si="102"/>
        <v>-25.386487834010889</v>
      </c>
    </row>
    <row r="865" spans="15:19" x14ac:dyDescent="0.2">
      <c r="O865" s="4">
        <f t="shared" ca="1" si="98"/>
        <v>0.21521315471076918</v>
      </c>
      <c r="P865" s="4">
        <f t="shared" ca="1" si="99"/>
        <v>-0.78846235584044788</v>
      </c>
      <c r="Q865" s="4">
        <f t="shared" ca="1" si="100"/>
        <v>1947.1507162271664</v>
      </c>
      <c r="R865" s="4">
        <f t="shared" ca="1" si="101"/>
        <v>23.480672227166451</v>
      </c>
      <c r="S865" s="4">
        <f t="shared" ca="1" si="102"/>
        <v>12.110580620480592</v>
      </c>
    </row>
    <row r="866" spans="15:19" x14ac:dyDescent="0.2">
      <c r="O866" s="4">
        <f t="shared" ca="1" si="98"/>
        <v>0.63949477995499648</v>
      </c>
      <c r="P866" s="4">
        <f t="shared" ca="1" si="99"/>
        <v>0.35710868876023499</v>
      </c>
      <c r="Q866" s="4">
        <f t="shared" ca="1" si="100"/>
        <v>1912.4456922931929</v>
      </c>
      <c r="R866" s="4">
        <f t="shared" ca="1" si="101"/>
        <v>-11.224351706807056</v>
      </c>
      <c r="S866" s="4">
        <f t="shared" ca="1" si="102"/>
        <v>-5.6305917229776172</v>
      </c>
    </row>
    <row r="867" spans="15:19" x14ac:dyDescent="0.2">
      <c r="O867" s="4">
        <f t="shared" ca="1" si="98"/>
        <v>0.31252896569927147</v>
      </c>
      <c r="P867" s="4">
        <f t="shared" ca="1" si="99"/>
        <v>-0.48869459435770984</v>
      </c>
      <c r="Q867" s="4">
        <f t="shared" ca="1" si="100"/>
        <v>1938.0692652024345</v>
      </c>
      <c r="R867" s="4">
        <f t="shared" ca="1" si="101"/>
        <v>14.399221202434546</v>
      </c>
      <c r="S867" s="4">
        <f t="shared" ca="1" si="102"/>
        <v>7.3734275562709479</v>
      </c>
    </row>
    <row r="868" spans="15:19" x14ac:dyDescent="0.2">
      <c r="O868" s="4">
        <f t="shared" ca="1" si="98"/>
        <v>0.88572774313498015</v>
      </c>
      <c r="P868" s="4">
        <f t="shared" ca="1" si="99"/>
        <v>1.2041166025731103</v>
      </c>
      <c r="Q868" s="4">
        <f t="shared" ca="1" si="100"/>
        <v>1886.7856251505327</v>
      </c>
      <c r="R868" s="4">
        <f t="shared" ca="1" si="101"/>
        <v>-36.884418849467238</v>
      </c>
      <c r="S868" s="4">
        <f t="shared" ca="1" si="102"/>
        <v>-18.117452558110315</v>
      </c>
    </row>
    <row r="869" spans="15:19" x14ac:dyDescent="0.2">
      <c r="O869" s="4">
        <f t="shared" ca="1" si="98"/>
        <v>0.46979859285505998</v>
      </c>
      <c r="P869" s="4">
        <f t="shared" ca="1" si="99"/>
        <v>-7.5776156775276146E-2</v>
      </c>
      <c r="Q869" s="4">
        <f t="shared" ca="1" si="100"/>
        <v>1925.5599194690387</v>
      </c>
      <c r="R869" s="4">
        <f t="shared" ca="1" si="101"/>
        <v>1.8898754690387705</v>
      </c>
      <c r="S869" s="4">
        <f t="shared" ca="1" si="102"/>
        <v>0.95812737394801861</v>
      </c>
    </row>
    <row r="870" spans="15:19" x14ac:dyDescent="0.2">
      <c r="O870" s="4">
        <f t="shared" ca="1" si="98"/>
        <v>4.3124311727556819E-2</v>
      </c>
      <c r="P870" s="4">
        <f t="shared" ca="1" si="99"/>
        <v>-1.7155271423315046</v>
      </c>
      <c r="Q870" s="4">
        <f t="shared" ca="1" si="100"/>
        <v>1975.2361027731674</v>
      </c>
      <c r="R870" s="4">
        <f t="shared" ca="1" si="101"/>
        <v>51.56605877316747</v>
      </c>
      <c r="S870" s="4">
        <f t="shared" ca="1" si="102"/>
        <v>27.185664886792242</v>
      </c>
    </row>
    <row r="871" spans="15:19" x14ac:dyDescent="0.2">
      <c r="O871" s="4">
        <f t="shared" ca="1" si="98"/>
        <v>2.5064554293627639E-2</v>
      </c>
      <c r="P871" s="4">
        <f t="shared" ca="1" si="99"/>
        <v>-1.9588606488298508</v>
      </c>
      <c r="Q871" s="4">
        <f t="shared" ca="1" si="100"/>
        <v>1982.6078805487714</v>
      </c>
      <c r="R871" s="4">
        <f t="shared" ca="1" si="101"/>
        <v>58.937836548771429</v>
      </c>
      <c r="S871" s="4">
        <f t="shared" ca="1" si="102"/>
        <v>31.248933729631737</v>
      </c>
    </row>
    <row r="872" spans="15:19" x14ac:dyDescent="0.2">
      <c r="O872" s="4">
        <f t="shared" ca="1" si="98"/>
        <v>0.14328424884293067</v>
      </c>
      <c r="P872" s="4">
        <f t="shared" ca="1" si="99"/>
        <v>-1.0656796105714039</v>
      </c>
      <c r="Q872" s="4">
        <f t="shared" ca="1" si="100"/>
        <v>1955.5490006510731</v>
      </c>
      <c r="R872" s="4">
        <f t="shared" ca="1" si="101"/>
        <v>31.878956651073167</v>
      </c>
      <c r="S872" s="4">
        <f t="shared" ca="1" si="102"/>
        <v>16.551131486031149</v>
      </c>
    </row>
    <row r="873" spans="15:19" x14ac:dyDescent="0.2">
      <c r="O873" s="4">
        <f t="shared" ca="1" si="98"/>
        <v>0.25145126783839622</v>
      </c>
      <c r="P873" s="4">
        <f t="shared" ca="1" si="99"/>
        <v>-0.66992980982025052</v>
      </c>
      <c r="Q873" s="4">
        <f t="shared" ca="1" si="100"/>
        <v>1943.5597780082105</v>
      </c>
      <c r="R873" s="4">
        <f t="shared" ca="1" si="101"/>
        <v>19.889734008210553</v>
      </c>
      <c r="S873" s="4">
        <f t="shared" ca="1" si="102"/>
        <v>10.229415377024106</v>
      </c>
    </row>
    <row r="874" spans="15:19" x14ac:dyDescent="0.2">
      <c r="O874" s="4">
        <f t="shared" ca="1" si="98"/>
        <v>0.1159563654775464</v>
      </c>
      <c r="P874" s="4">
        <f t="shared" ca="1" si="99"/>
        <v>-1.1954462340710448</v>
      </c>
      <c r="Q874" s="4">
        <f t="shared" ca="1" si="100"/>
        <v>1959.4802747484869</v>
      </c>
      <c r="R874" s="4">
        <f t="shared" ca="1" si="101"/>
        <v>35.810230748486902</v>
      </c>
      <c r="S874" s="4">
        <f t="shared" ca="1" si="102"/>
        <v>18.649503994779202</v>
      </c>
    </row>
    <row r="875" spans="15:19" x14ac:dyDescent="0.2">
      <c r="O875" s="4">
        <f t="shared" ca="1" si="98"/>
        <v>0.76460677510023733</v>
      </c>
      <c r="P875" s="4">
        <f t="shared" ca="1" si="99"/>
        <v>0.7212000357613797</v>
      </c>
      <c r="Q875" s="4">
        <f t="shared" ca="1" si="100"/>
        <v>1901.4155611010835</v>
      </c>
      <c r="R875" s="4">
        <f t="shared" ca="1" si="101"/>
        <v>-22.254482898916422</v>
      </c>
      <c r="S875" s="4">
        <f t="shared" ca="1" si="102"/>
        <v>-11.063831301409587</v>
      </c>
    </row>
    <row r="876" spans="15:19" x14ac:dyDescent="0.2">
      <c r="O876" s="4">
        <f t="shared" ca="1" si="98"/>
        <v>0.65447404706689383</v>
      </c>
      <c r="P876" s="4">
        <f t="shared" ca="1" si="99"/>
        <v>0.39742795283955878</v>
      </c>
      <c r="Q876" s="4">
        <f t="shared" ca="1" si="100"/>
        <v>1911.2242219780446</v>
      </c>
      <c r="R876" s="4">
        <f t="shared" ca="1" si="101"/>
        <v>-12.445822021955337</v>
      </c>
      <c r="S876" s="4">
        <f t="shared" ca="1" si="102"/>
        <v>-6.2371426064812976</v>
      </c>
    </row>
    <row r="877" spans="15:19" x14ac:dyDescent="0.2">
      <c r="O877" s="4">
        <f t="shared" ca="1" si="98"/>
        <v>0.64670671560080517</v>
      </c>
      <c r="P877" s="4">
        <f t="shared" ca="1" si="99"/>
        <v>0.37644436516393232</v>
      </c>
      <c r="Q877" s="4">
        <f t="shared" ca="1" si="100"/>
        <v>1911.8599188350277</v>
      </c>
      <c r="R877" s="4">
        <f t="shared" ca="1" si="101"/>
        <v>-11.810125164972305</v>
      </c>
      <c r="S877" s="4">
        <f t="shared" ca="1" si="102"/>
        <v>-5.9216234060688331</v>
      </c>
    </row>
    <row r="878" spans="15:19" x14ac:dyDescent="0.2">
      <c r="O878" s="4">
        <f t="shared" ca="1" si="98"/>
        <v>0.91466814188874557</v>
      </c>
      <c r="P878" s="4">
        <f t="shared" ca="1" si="99"/>
        <v>1.3700742780829651</v>
      </c>
      <c r="Q878" s="4">
        <f t="shared" ca="1" si="100"/>
        <v>1881.7579447393161</v>
      </c>
      <c r="R878" s="4">
        <f t="shared" ca="1" si="101"/>
        <v>-41.912099260683817</v>
      </c>
      <c r="S878" s="4">
        <f t="shared" ca="1" si="102"/>
        <v>-20.501247572995982</v>
      </c>
    </row>
    <row r="879" spans="15:19" x14ac:dyDescent="0.2">
      <c r="O879" s="4">
        <f t="shared" ca="1" si="98"/>
        <v>0.17843197322460613</v>
      </c>
      <c r="P879" s="4">
        <f t="shared" ca="1" si="99"/>
        <v>-0.92135723843687123</v>
      </c>
      <c r="Q879" s="4">
        <f t="shared" ca="1" si="100"/>
        <v>1951.1767607950255</v>
      </c>
      <c r="R879" s="4">
        <f t="shared" ca="1" si="101"/>
        <v>27.506716795025568</v>
      </c>
      <c r="S879" s="4">
        <f t="shared" ca="1" si="102"/>
        <v>14.232165968686942</v>
      </c>
    </row>
    <row r="880" spans="15:19" x14ac:dyDescent="0.2">
      <c r="O880" s="4">
        <f t="shared" ca="1" si="98"/>
        <v>0.5541017190042995</v>
      </c>
      <c r="P880" s="4">
        <f t="shared" ca="1" si="99"/>
        <v>0.13603126854301809</v>
      </c>
      <c r="Q880" s="4">
        <f t="shared" ca="1" si="100"/>
        <v>1919.1432229230581</v>
      </c>
      <c r="R880" s="4">
        <f t="shared" ca="1" si="101"/>
        <v>-4.5268210769418147</v>
      </c>
      <c r="S880" s="4">
        <f t="shared" ca="1" si="102"/>
        <v>-2.2831794619626562</v>
      </c>
    </row>
    <row r="881" spans="15:19" x14ac:dyDescent="0.2">
      <c r="O881" s="4">
        <f t="shared" ca="1" si="98"/>
        <v>0.88613692426382829</v>
      </c>
      <c r="P881" s="4">
        <f t="shared" ca="1" si="99"/>
        <v>1.206236921679593</v>
      </c>
      <c r="Q881" s="4">
        <f t="shared" ca="1" si="100"/>
        <v>1886.7213901773421</v>
      </c>
      <c r="R881" s="4">
        <f t="shared" ca="1" si="101"/>
        <v>-36.948653822657889</v>
      </c>
      <c r="S881" s="4">
        <f t="shared" ca="1" si="102"/>
        <v>-18.148038337564852</v>
      </c>
    </row>
    <row r="882" spans="15:19" x14ac:dyDescent="0.2">
      <c r="O882" s="4">
        <f t="shared" ca="1" si="98"/>
        <v>7.9529708607911864E-2</v>
      </c>
      <c r="P882" s="4">
        <f t="shared" ca="1" si="99"/>
        <v>-1.4082420212793418</v>
      </c>
      <c r="Q882" s="4">
        <f t="shared" ca="1" si="100"/>
        <v>1965.9269136740431</v>
      </c>
      <c r="R882" s="4">
        <f t="shared" ca="1" si="101"/>
        <v>42.256869674043173</v>
      </c>
      <c r="S882" s="4">
        <f t="shared" ca="1" si="102"/>
        <v>22.117721658591055</v>
      </c>
    </row>
    <row r="883" spans="15:19" x14ac:dyDescent="0.2">
      <c r="O883" s="4">
        <f t="shared" ca="1" si="98"/>
        <v>0.68544793035438334</v>
      </c>
      <c r="P883" s="4">
        <f t="shared" ca="1" si="99"/>
        <v>0.48298816536854855</v>
      </c>
      <c r="Q883" s="4">
        <f t="shared" ca="1" si="100"/>
        <v>1908.6321791382666</v>
      </c>
      <c r="R883" s="4">
        <f t="shared" ca="1" si="101"/>
        <v>-15.037864861733397</v>
      </c>
      <c r="S883" s="4">
        <f t="shared" ca="1" si="102"/>
        <v>-7.5202609194513554</v>
      </c>
    </row>
    <row r="884" spans="15:19" x14ac:dyDescent="0.2">
      <c r="O884" s="4">
        <f t="shared" ca="1" si="98"/>
        <v>0.63144962453161368</v>
      </c>
      <c r="P884" s="4">
        <f t="shared" ca="1" si="99"/>
        <v>0.33569516671875932</v>
      </c>
      <c r="Q884" s="4">
        <f t="shared" ca="1" si="100"/>
        <v>1913.0944139927008</v>
      </c>
      <c r="R884" s="4">
        <f t="shared" ca="1" si="101"/>
        <v>-10.575630007299196</v>
      </c>
      <c r="S884" s="4">
        <f t="shared" ca="1" si="102"/>
        <v>-5.3079592668407436</v>
      </c>
    </row>
    <row r="885" spans="15:19" x14ac:dyDescent="0.2">
      <c r="O885" s="4">
        <f t="shared" ca="1" si="98"/>
        <v>0.34671006848552999</v>
      </c>
      <c r="P885" s="4">
        <f t="shared" ca="1" si="99"/>
        <v>-0.39421794645639968</v>
      </c>
      <c r="Q885" s="4">
        <f t="shared" ca="1" si="100"/>
        <v>1935.2070993489328</v>
      </c>
      <c r="R885" s="4">
        <f t="shared" ca="1" si="101"/>
        <v>11.537055348932881</v>
      </c>
      <c r="S885" s="4">
        <f t="shared" ca="1" si="102"/>
        <v>5.8943528201660174</v>
      </c>
    </row>
    <row r="886" spans="15:19" x14ac:dyDescent="0.2">
      <c r="O886" s="4">
        <f t="shared" ca="1" si="98"/>
        <v>8.4539028208199252E-2</v>
      </c>
      <c r="P886" s="4">
        <f t="shared" ca="1" si="99"/>
        <v>-1.3751722270432172</v>
      </c>
      <c r="Q886" s="4">
        <f t="shared" ca="1" si="100"/>
        <v>1964.9250657259254</v>
      </c>
      <c r="R886" s="4">
        <f t="shared" ca="1" si="101"/>
        <v>41.255021725925417</v>
      </c>
      <c r="S886" s="4">
        <f t="shared" ca="1" si="102"/>
        <v>21.576518472056559</v>
      </c>
    </row>
    <row r="887" spans="15:19" x14ac:dyDescent="0.2">
      <c r="O887" s="4">
        <f t="shared" ca="1" si="98"/>
        <v>0.95198070246329314</v>
      </c>
      <c r="P887" s="4">
        <f t="shared" ca="1" si="99"/>
        <v>1.6643695812080432</v>
      </c>
      <c r="Q887" s="4">
        <f t="shared" ca="1" si="100"/>
        <v>1872.8422815975578</v>
      </c>
      <c r="R887" s="4">
        <f t="shared" ca="1" si="101"/>
        <v>-50.827762402442204</v>
      </c>
      <c r="S887" s="4">
        <f t="shared" ca="1" si="102"/>
        <v>-24.677863536884647</v>
      </c>
    </row>
    <row r="888" spans="15:19" x14ac:dyDescent="0.2">
      <c r="O888" s="4">
        <f t="shared" ca="1" si="98"/>
        <v>0.40092276666599813</v>
      </c>
      <c r="P888" s="4">
        <f t="shared" ca="1" si="99"/>
        <v>-0.25095935551102344</v>
      </c>
      <c r="Q888" s="4">
        <f t="shared" ca="1" si="100"/>
        <v>1930.8670866967802</v>
      </c>
      <c r="R888" s="4">
        <f t="shared" ca="1" si="101"/>
        <v>7.1970426967802723</v>
      </c>
      <c r="S888" s="4">
        <f t="shared" ca="1" si="102"/>
        <v>3.6642986445742167</v>
      </c>
    </row>
    <row r="889" spans="15:19" x14ac:dyDescent="0.2">
      <c r="O889" s="4">
        <f t="shared" ca="1" si="98"/>
        <v>0.36664864054738178</v>
      </c>
      <c r="P889" s="4">
        <f t="shared" ca="1" si="99"/>
        <v>-0.3407427122145858</v>
      </c>
      <c r="Q889" s="4">
        <f t="shared" ca="1" si="100"/>
        <v>1933.5870695018239</v>
      </c>
      <c r="R889" s="4">
        <f t="shared" ca="1" si="101"/>
        <v>9.9170255018239004</v>
      </c>
      <c r="S889" s="4">
        <f t="shared" ca="1" si="102"/>
        <v>5.0601296432059018</v>
      </c>
    </row>
    <row r="890" spans="15:19" x14ac:dyDescent="0.2">
      <c r="O890" s="4">
        <f t="shared" ca="1" si="98"/>
        <v>0.31336988445875602</v>
      </c>
      <c r="P890" s="4">
        <f t="shared" ca="1" si="99"/>
        <v>-0.48632075089915877</v>
      </c>
      <c r="Q890" s="4">
        <f t="shared" ca="1" si="100"/>
        <v>1937.9973497202541</v>
      </c>
      <c r="R890" s="4">
        <f t="shared" ca="1" si="101"/>
        <v>14.327305720254117</v>
      </c>
      <c r="S890" s="4">
        <f t="shared" ca="1" si="102"/>
        <v>7.3361822777854204</v>
      </c>
    </row>
    <row r="891" spans="15:19" x14ac:dyDescent="0.2">
      <c r="O891" s="4">
        <f t="shared" ca="1" si="98"/>
        <v>5.8485272183279258E-2</v>
      </c>
      <c r="P891" s="4">
        <f t="shared" ca="1" si="99"/>
        <v>-1.5676169911150237</v>
      </c>
      <c r="Q891" s="4">
        <f t="shared" ca="1" si="100"/>
        <v>1970.7551713091261</v>
      </c>
      <c r="R891" s="4">
        <f t="shared" ca="1" si="101"/>
        <v>47.085127309126165</v>
      </c>
      <c r="S891" s="4">
        <f t="shared" ca="1" si="102"/>
        <v>24.737428862316843</v>
      </c>
    </row>
    <row r="892" spans="15:19" x14ac:dyDescent="0.2">
      <c r="O892" s="4">
        <f t="shared" ca="1" si="98"/>
        <v>0.67561423563554857</v>
      </c>
      <c r="P892" s="4">
        <f t="shared" ca="1" si="99"/>
        <v>0.45546946725279441</v>
      </c>
      <c r="Q892" s="4">
        <f t="shared" ca="1" si="100"/>
        <v>1909.4658568758807</v>
      </c>
      <c r="R892" s="4">
        <f t="shared" ca="1" si="101"/>
        <v>-14.204187124119244</v>
      </c>
      <c r="S892" s="4">
        <f t="shared" ca="1" si="102"/>
        <v>-7.1081687987236331</v>
      </c>
    </row>
    <row r="893" spans="15:19" x14ac:dyDescent="0.2">
      <c r="O893" s="4">
        <f t="shared" ca="1" si="98"/>
        <v>0.11385444569157011</v>
      </c>
      <c r="P893" s="4">
        <f t="shared" ca="1" si="99"/>
        <v>-1.2062816997701085</v>
      </c>
      <c r="Q893" s="4">
        <f t="shared" ca="1" si="100"/>
        <v>1959.8085347007564</v>
      </c>
      <c r="R893" s="4">
        <f t="shared" ca="1" si="101"/>
        <v>36.138490700756392</v>
      </c>
      <c r="S893" s="4">
        <f t="shared" ca="1" si="102"/>
        <v>18.825286511593092</v>
      </c>
    </row>
    <row r="894" spans="15:19" x14ac:dyDescent="0.2">
      <c r="O894" s="4">
        <f t="shared" ca="1" si="98"/>
        <v>0.54241766290673266</v>
      </c>
      <c r="P894" s="4">
        <f t="shared" ca="1" si="99"/>
        <v>0.10652644565277465</v>
      </c>
      <c r="Q894" s="4">
        <f t="shared" ca="1" si="100"/>
        <v>1920.0370702225337</v>
      </c>
      <c r="R894" s="4">
        <f t="shared" ca="1" si="101"/>
        <v>-3.6329737774663045</v>
      </c>
      <c r="S894" s="4">
        <f t="shared" ca="1" si="102"/>
        <v>-1.8336742082360136</v>
      </c>
    </row>
    <row r="895" spans="15:19" x14ac:dyDescent="0.2">
      <c r="O895" s="4">
        <f t="shared" ca="1" si="98"/>
        <v>0.70220140366209638</v>
      </c>
      <c r="P895" s="4">
        <f t="shared" ca="1" si="99"/>
        <v>0.53074255464934295</v>
      </c>
      <c r="Q895" s="4">
        <f t="shared" ca="1" si="100"/>
        <v>1907.1854620352519</v>
      </c>
      <c r="R895" s="4">
        <f t="shared" ca="1" si="101"/>
        <v>-16.484581964748031</v>
      </c>
      <c r="S895" s="4">
        <f t="shared" ca="1" si="102"/>
        <v>-8.2340392768582245</v>
      </c>
    </row>
    <row r="896" spans="15:19" x14ac:dyDescent="0.2">
      <c r="O896" s="4">
        <f t="shared" ca="1" si="98"/>
        <v>0.27445846638374938</v>
      </c>
      <c r="P896" s="4">
        <f t="shared" ca="1" si="99"/>
        <v>-0.59938386694559875</v>
      </c>
      <c r="Q896" s="4">
        <f t="shared" ca="1" si="100"/>
        <v>1941.4225918009924</v>
      </c>
      <c r="R896" s="4">
        <f t="shared" ca="1" si="101"/>
        <v>17.752547800992488</v>
      </c>
      <c r="S896" s="4">
        <f t="shared" ca="1" si="102"/>
        <v>9.1148026501279293</v>
      </c>
    </row>
    <row r="897" spans="15:19" x14ac:dyDescent="0.2">
      <c r="O897" s="4">
        <f t="shared" ca="1" si="98"/>
        <v>2.1637973944110933E-2</v>
      </c>
      <c r="P897" s="4">
        <f t="shared" ca="1" si="99"/>
        <v>-2.0210368762445969</v>
      </c>
      <c r="Q897" s="4">
        <f t="shared" ca="1" si="100"/>
        <v>1984.4915065977389</v>
      </c>
      <c r="R897" s="4">
        <f t="shared" ca="1" si="101"/>
        <v>60.821462597738901</v>
      </c>
      <c r="S897" s="4">
        <f t="shared" ca="1" si="102"/>
        <v>32.294271067958483</v>
      </c>
    </row>
    <row r="898" spans="15:19" x14ac:dyDescent="0.2">
      <c r="O898" s="4">
        <f t="shared" ca="1" si="98"/>
        <v>0.32349478691242251</v>
      </c>
      <c r="P898" s="4">
        <f t="shared" ca="1" si="99"/>
        <v>-0.45794831561784183</v>
      </c>
      <c r="Q898" s="4">
        <f t="shared" ca="1" si="100"/>
        <v>1937.1378080531142</v>
      </c>
      <c r="R898" s="4">
        <f t="shared" ca="1" si="101"/>
        <v>13.467764053114252</v>
      </c>
      <c r="S898" s="4">
        <f t="shared" ca="1" si="102"/>
        <v>6.8913485674876966</v>
      </c>
    </row>
    <row r="899" spans="15:19" x14ac:dyDescent="0.2">
      <c r="O899" s="4">
        <f t="shared" ref="O899:O962" ca="1" si="103">RAND()</f>
        <v>0.94187165488120439</v>
      </c>
      <c r="P899" s="4">
        <f t="shared" ref="P899:P962" ca="1" si="104">NORMSINV(O899)</f>
        <v>1.5706813202871954</v>
      </c>
      <c r="Q899" s="4">
        <f t="shared" ref="Q899:Q962" ca="1" si="105">$B$4*(1+$B$17-$B$6/SQRT(252)*P899)</f>
        <v>1875.6805633024901</v>
      </c>
      <c r="R899" s="4">
        <f t="shared" ref="R899:R962" ca="1" si="106">Q899-$B$4</f>
        <v>-47.989480697509862</v>
      </c>
      <c r="S899" s="4">
        <f t="shared" ref="S899:S962" ca="1" si="107">R899*$B$12+0.5*$B$13*R899^2</f>
        <v>-23.355268720470594</v>
      </c>
    </row>
    <row r="900" spans="15:19" x14ac:dyDescent="0.2">
      <c r="O900" s="4">
        <f t="shared" ca="1" si="103"/>
        <v>0.36269243086999747</v>
      </c>
      <c r="P900" s="4">
        <f t="shared" ca="1" si="104"/>
        <v>-0.35127124973089824</v>
      </c>
      <c r="Q900" s="4">
        <f t="shared" ca="1" si="105"/>
        <v>1933.9060310784239</v>
      </c>
      <c r="R900" s="4">
        <f t="shared" ca="1" si="106"/>
        <v>10.235987078423932</v>
      </c>
      <c r="S900" s="4">
        <f t="shared" ca="1" si="107"/>
        <v>5.2242077733878585</v>
      </c>
    </row>
    <row r="901" spans="15:19" x14ac:dyDescent="0.2">
      <c r="O901" s="4">
        <f t="shared" ca="1" si="103"/>
        <v>0.87257123927057445</v>
      </c>
      <c r="P901" s="4">
        <f t="shared" ca="1" si="104"/>
        <v>1.1386299730961873</v>
      </c>
      <c r="Q901" s="4">
        <f t="shared" ca="1" si="105"/>
        <v>1888.7695396829956</v>
      </c>
      <c r="R901" s="4">
        <f t="shared" ca="1" si="106"/>
        <v>-34.900504317004334</v>
      </c>
      <c r="S901" s="4">
        <f t="shared" ca="1" si="107"/>
        <v>-17.171148415294056</v>
      </c>
    </row>
    <row r="902" spans="15:19" x14ac:dyDescent="0.2">
      <c r="O902" s="4">
        <f t="shared" ca="1" si="103"/>
        <v>0.88465687853786468</v>
      </c>
      <c r="P902" s="4">
        <f t="shared" ca="1" si="104"/>
        <v>1.1985929960448971</v>
      </c>
      <c r="Q902" s="4">
        <f t="shared" ca="1" si="105"/>
        <v>1886.9529625650625</v>
      </c>
      <c r="R902" s="4">
        <f t="shared" ca="1" si="106"/>
        <v>-36.717081434937427</v>
      </c>
      <c r="S902" s="4">
        <f t="shared" ca="1" si="107"/>
        <v>-18.037758300323578</v>
      </c>
    </row>
    <row r="903" spans="15:19" x14ac:dyDescent="0.2">
      <c r="O903" s="4">
        <f t="shared" ca="1" si="103"/>
        <v>0.81075978373594293</v>
      </c>
      <c r="P903" s="4">
        <f t="shared" ca="1" si="104"/>
        <v>0.88069960152575455</v>
      </c>
      <c r="Q903" s="4">
        <f t="shared" ca="1" si="105"/>
        <v>1896.5835288378726</v>
      </c>
      <c r="R903" s="4">
        <f t="shared" ca="1" si="106"/>
        <v>-27.086515162127398</v>
      </c>
      <c r="S903" s="4">
        <f t="shared" ca="1" si="107"/>
        <v>-13.412801018860838</v>
      </c>
    </row>
    <row r="904" spans="15:19" x14ac:dyDescent="0.2">
      <c r="O904" s="4">
        <f t="shared" ca="1" si="103"/>
        <v>0.39682674683450303</v>
      </c>
      <c r="P904" s="4">
        <f t="shared" ca="1" si="104"/>
        <v>-0.26156932791271026</v>
      </c>
      <c r="Q904" s="4">
        <f t="shared" ca="1" si="105"/>
        <v>1931.1885153396172</v>
      </c>
      <c r="R904" s="4">
        <f t="shared" ca="1" si="106"/>
        <v>7.5184713396172356</v>
      </c>
      <c r="S904" s="4">
        <f t="shared" ca="1" si="107"/>
        <v>3.8289344043743965</v>
      </c>
    </row>
    <row r="905" spans="15:19" x14ac:dyDescent="0.2">
      <c r="O905" s="4">
        <f t="shared" ca="1" si="103"/>
        <v>0.7395952081468341</v>
      </c>
      <c r="P905" s="4">
        <f t="shared" ca="1" si="104"/>
        <v>0.64209795489910848</v>
      </c>
      <c r="Q905" s="4">
        <f t="shared" ca="1" si="105"/>
        <v>1903.8119551287532</v>
      </c>
      <c r="R905" s="4">
        <f t="shared" ca="1" si="106"/>
        <v>-19.858088871246764</v>
      </c>
      <c r="S905" s="4">
        <f t="shared" ca="1" si="107"/>
        <v>-9.8918339126947714</v>
      </c>
    </row>
    <row r="906" spans="15:19" x14ac:dyDescent="0.2">
      <c r="O906" s="4">
        <f t="shared" ca="1" si="103"/>
        <v>0.36766365704887038</v>
      </c>
      <c r="P906" s="4">
        <f t="shared" ca="1" si="104"/>
        <v>-0.33804760440337528</v>
      </c>
      <c r="Q906" s="4">
        <f t="shared" ca="1" si="105"/>
        <v>1933.5054213303431</v>
      </c>
      <c r="R906" s="4">
        <f t="shared" ca="1" si="106"/>
        <v>9.8353773303431353</v>
      </c>
      <c r="S906" s="4">
        <f t="shared" ca="1" si="107"/>
        <v>5.0181420391601339</v>
      </c>
    </row>
    <row r="907" spans="15:19" x14ac:dyDescent="0.2">
      <c r="O907" s="4">
        <f t="shared" ca="1" si="103"/>
        <v>0.38355136072622087</v>
      </c>
      <c r="P907" s="4">
        <f t="shared" ca="1" si="104"/>
        <v>-0.29616677428648092</v>
      </c>
      <c r="Q907" s="4">
        <f t="shared" ca="1" si="105"/>
        <v>1932.2366434414184</v>
      </c>
      <c r="R907" s="4">
        <f t="shared" ca="1" si="106"/>
        <v>8.5665994414184752</v>
      </c>
      <c r="S907" s="4">
        <f t="shared" ca="1" si="107"/>
        <v>4.3663699832982728</v>
      </c>
    </row>
    <row r="908" spans="15:19" x14ac:dyDescent="0.2">
      <c r="O908" s="4">
        <f t="shared" ca="1" si="103"/>
        <v>0.17240121636966166</v>
      </c>
      <c r="P908" s="4">
        <f t="shared" ca="1" si="104"/>
        <v>-0.94471884638529657</v>
      </c>
      <c r="Q908" s="4">
        <f t="shared" ca="1" si="105"/>
        <v>1951.8844996705916</v>
      </c>
      <c r="R908" s="4">
        <f t="shared" ca="1" si="106"/>
        <v>28.214455670591633</v>
      </c>
      <c r="S908" s="4">
        <f t="shared" ca="1" si="107"/>
        <v>14.606483517980601</v>
      </c>
    </row>
    <row r="909" spans="15:19" x14ac:dyDescent="0.2">
      <c r="O909" s="4">
        <f t="shared" ca="1" si="103"/>
        <v>0.90956324968165592</v>
      </c>
      <c r="P909" s="4">
        <f t="shared" ca="1" si="104"/>
        <v>1.3380703635106606</v>
      </c>
      <c r="Q909" s="4">
        <f t="shared" ca="1" si="105"/>
        <v>1882.7275019103424</v>
      </c>
      <c r="R909" s="4">
        <f t="shared" ca="1" si="106"/>
        <v>-40.942542089657536</v>
      </c>
      <c r="S909" s="4">
        <f t="shared" ca="1" si="107"/>
        <v>-20.043149048216023</v>
      </c>
    </row>
    <row r="910" spans="15:19" x14ac:dyDescent="0.2">
      <c r="O910" s="4">
        <f t="shared" ca="1" si="103"/>
        <v>0.34747874902794684</v>
      </c>
      <c r="P910" s="4">
        <f t="shared" ca="1" si="104"/>
        <v>-0.39213631279784728</v>
      </c>
      <c r="Q910" s="4">
        <f t="shared" ca="1" si="105"/>
        <v>1935.1440363496692</v>
      </c>
      <c r="R910" s="4">
        <f t="shared" ca="1" si="106"/>
        <v>11.473992349669288</v>
      </c>
      <c r="S910" s="4">
        <f t="shared" ca="1" si="107"/>
        <v>5.8618389954926329</v>
      </c>
    </row>
    <row r="911" spans="15:19" x14ac:dyDescent="0.2">
      <c r="O911" s="4">
        <f t="shared" ca="1" si="103"/>
        <v>0.30469272740899134</v>
      </c>
      <c r="P911" s="4">
        <f t="shared" ca="1" si="104"/>
        <v>-0.51095087642654091</v>
      </c>
      <c r="Q911" s="4">
        <f t="shared" ca="1" si="105"/>
        <v>1938.7435182795534</v>
      </c>
      <c r="R911" s="4">
        <f t="shared" ca="1" si="106"/>
        <v>15.073474279553466</v>
      </c>
      <c r="S911" s="4">
        <f t="shared" ca="1" si="107"/>
        <v>7.722830370448496</v>
      </c>
    </row>
    <row r="912" spans="15:19" x14ac:dyDescent="0.2">
      <c r="O912" s="4">
        <f t="shared" ca="1" si="103"/>
        <v>0.97827886980516465</v>
      </c>
      <c r="P912" s="4">
        <f t="shared" ca="1" si="104"/>
        <v>2.0194327508994858</v>
      </c>
      <c r="Q912" s="4">
        <f t="shared" ca="1" si="105"/>
        <v>1862.0856586362038</v>
      </c>
      <c r="R912" s="4">
        <f t="shared" ca="1" si="106"/>
        <v>-61.584385363796173</v>
      </c>
      <c r="S912" s="4">
        <f t="shared" ca="1" si="107"/>
        <v>-29.630753472449364</v>
      </c>
    </row>
    <row r="913" spans="15:19" x14ac:dyDescent="0.2">
      <c r="O913" s="4">
        <f t="shared" ca="1" si="103"/>
        <v>0.59347665428787166</v>
      </c>
      <c r="P913" s="4">
        <f t="shared" ca="1" si="104"/>
        <v>0.23649744271707668</v>
      </c>
      <c r="Q913" s="4">
        <f t="shared" ca="1" si="105"/>
        <v>1916.0996046370522</v>
      </c>
      <c r="R913" s="4">
        <f t="shared" ca="1" si="106"/>
        <v>-7.5704393629478091</v>
      </c>
      <c r="S913" s="4">
        <f t="shared" ca="1" si="107"/>
        <v>-3.8089007881035863</v>
      </c>
    </row>
    <row r="914" spans="15:19" x14ac:dyDescent="0.2">
      <c r="O914" s="4">
        <f t="shared" ca="1" si="103"/>
        <v>0.67166592804643144</v>
      </c>
      <c r="P914" s="4">
        <f t="shared" ca="1" si="104"/>
        <v>0.44451796411929856</v>
      </c>
      <c r="Q914" s="4">
        <f t="shared" ca="1" si="105"/>
        <v>1909.7976321770743</v>
      </c>
      <c r="R914" s="4">
        <f t="shared" ca="1" si="106"/>
        <v>-13.872411822925642</v>
      </c>
      <c r="S914" s="4">
        <f t="shared" ca="1" si="107"/>
        <v>-6.9440127910812279</v>
      </c>
    </row>
    <row r="915" spans="15:19" x14ac:dyDescent="0.2">
      <c r="O915" s="4">
        <f t="shared" ca="1" si="103"/>
        <v>0.40198033691718249</v>
      </c>
      <c r="P915" s="4">
        <f t="shared" ca="1" si="104"/>
        <v>-0.24822454826187718</v>
      </c>
      <c r="Q915" s="4">
        <f t="shared" ca="1" si="105"/>
        <v>1930.7842358325897</v>
      </c>
      <c r="R915" s="4">
        <f t="shared" ca="1" si="106"/>
        <v>7.1141918325897677</v>
      </c>
      <c r="S915" s="4">
        <f t="shared" ca="1" si="107"/>
        <v>3.6218760643773851</v>
      </c>
    </row>
    <row r="916" spans="15:19" x14ac:dyDescent="0.2">
      <c r="O916" s="4">
        <f t="shared" ca="1" si="103"/>
        <v>0.31459210123576031</v>
      </c>
      <c r="P916" s="4">
        <f t="shared" ca="1" si="104"/>
        <v>-0.48287541018113272</v>
      </c>
      <c r="Q916" s="4">
        <f t="shared" ca="1" si="105"/>
        <v>1937.892973276171</v>
      </c>
      <c r="R916" s="4">
        <f t="shared" ca="1" si="106"/>
        <v>14.222929276171044</v>
      </c>
      <c r="S916" s="4">
        <f t="shared" ca="1" si="107"/>
        <v>7.2821328445357141</v>
      </c>
    </row>
    <row r="917" spans="15:19" x14ac:dyDescent="0.2">
      <c r="O917" s="4">
        <f t="shared" ca="1" si="103"/>
        <v>0.97921927598448832</v>
      </c>
      <c r="P917" s="4">
        <f t="shared" ca="1" si="104"/>
        <v>2.0378848701761547</v>
      </c>
      <c r="Q917" s="4">
        <f t="shared" ca="1" si="105"/>
        <v>1861.5266525019726</v>
      </c>
      <c r="R917" s="4">
        <f t="shared" ca="1" si="106"/>
        <v>-62.143391498027313</v>
      </c>
      <c r="S917" s="4">
        <f t="shared" ca="1" si="107"/>
        <v>-29.885573078440434</v>
      </c>
    </row>
    <row r="918" spans="15:19" x14ac:dyDescent="0.2">
      <c r="O918" s="4">
        <f t="shared" ca="1" si="103"/>
        <v>0.65083638724789705</v>
      </c>
      <c r="P918" s="4">
        <f t="shared" ca="1" si="104"/>
        <v>0.38757952224553821</v>
      </c>
      <c r="Q918" s="4">
        <f t="shared" ca="1" si="105"/>
        <v>1911.5225797456303</v>
      </c>
      <c r="R918" s="4">
        <f t="shared" ca="1" si="106"/>
        <v>-12.147464254369652</v>
      </c>
      <c r="S918" s="4">
        <f t="shared" ca="1" si="107"/>
        <v>-6.0890978924762242</v>
      </c>
    </row>
    <row r="919" spans="15:19" x14ac:dyDescent="0.2">
      <c r="O919" s="4">
        <f t="shared" ca="1" si="103"/>
        <v>0.25225461784454506</v>
      </c>
      <c r="P919" s="4">
        <f t="shared" ca="1" si="104"/>
        <v>-0.66741163550693294</v>
      </c>
      <c r="Q919" s="4">
        <f t="shared" ca="1" si="105"/>
        <v>1943.483490029193</v>
      </c>
      <c r="R919" s="4">
        <f t="shared" ca="1" si="106"/>
        <v>19.813446029193074</v>
      </c>
      <c r="S919" s="4">
        <f t="shared" ca="1" si="107"/>
        <v>10.189564692861996</v>
      </c>
    </row>
    <row r="920" spans="15:19" x14ac:dyDescent="0.2">
      <c r="O920" s="4">
        <f t="shared" ca="1" si="103"/>
        <v>1.1281332930764942E-2</v>
      </c>
      <c r="P920" s="4">
        <f t="shared" ca="1" si="104"/>
        <v>-2.2807597750474025</v>
      </c>
      <c r="Q920" s="4">
        <f t="shared" ca="1" si="105"/>
        <v>1992.359800285534</v>
      </c>
      <c r="R920" s="4">
        <f t="shared" ca="1" si="106"/>
        <v>68.689756285534031</v>
      </c>
      <c r="S920" s="4">
        <f t="shared" ca="1" si="107"/>
        <v>36.692095093727261</v>
      </c>
    </row>
    <row r="921" spans="15:19" x14ac:dyDescent="0.2">
      <c r="O921" s="4">
        <f t="shared" ca="1" si="103"/>
        <v>8.7643677502490802E-2</v>
      </c>
      <c r="P921" s="4">
        <f t="shared" ca="1" si="104"/>
        <v>-1.3554087763105895</v>
      </c>
      <c r="Q921" s="4">
        <f t="shared" ca="1" si="105"/>
        <v>1964.3263328634575</v>
      </c>
      <c r="R921" s="4">
        <f t="shared" ca="1" si="106"/>
        <v>40.656288863457576</v>
      </c>
      <c r="S921" s="4">
        <f t="shared" ca="1" si="107"/>
        <v>21.253470139169192</v>
      </c>
    </row>
    <row r="922" spans="15:19" x14ac:dyDescent="0.2">
      <c r="O922" s="4">
        <f t="shared" ca="1" si="103"/>
        <v>0.25366897777509034</v>
      </c>
      <c r="P922" s="4">
        <f t="shared" ca="1" si="104"/>
        <v>-0.6629884434653327</v>
      </c>
      <c r="Q922" s="4">
        <f t="shared" ca="1" si="105"/>
        <v>1943.349489622678</v>
      </c>
      <c r="R922" s="4">
        <f t="shared" ca="1" si="106"/>
        <v>19.679445622678031</v>
      </c>
      <c r="S922" s="4">
        <f t="shared" ca="1" si="107"/>
        <v>10.119578138356728</v>
      </c>
    </row>
    <row r="923" spans="15:19" x14ac:dyDescent="0.2">
      <c r="O923" s="4">
        <f t="shared" ca="1" si="103"/>
        <v>0.56993737488561247</v>
      </c>
      <c r="P923" s="4">
        <f t="shared" ca="1" si="104"/>
        <v>0.17621472843036465</v>
      </c>
      <c r="Q923" s="4">
        <f t="shared" ca="1" si="105"/>
        <v>1917.9258667898762</v>
      </c>
      <c r="R923" s="4">
        <f t="shared" ca="1" si="106"/>
        <v>-5.7441772101237802</v>
      </c>
      <c r="S923" s="4">
        <f t="shared" ca="1" si="107"/>
        <v>-2.8943272855634632</v>
      </c>
    </row>
    <row r="924" spans="15:19" x14ac:dyDescent="0.2">
      <c r="O924" s="4">
        <f t="shared" ca="1" si="103"/>
        <v>0.77798675903346548</v>
      </c>
      <c r="P924" s="4">
        <f t="shared" ca="1" si="104"/>
        <v>0.76541160962137578</v>
      </c>
      <c r="Q924" s="4">
        <f t="shared" ca="1" si="105"/>
        <v>1900.0761734339446</v>
      </c>
      <c r="R924" s="4">
        <f t="shared" ca="1" si="106"/>
        <v>-23.59387056605533</v>
      </c>
      <c r="S924" s="4">
        <f t="shared" ca="1" si="107"/>
        <v>-11.716844857917193</v>
      </c>
    </row>
    <row r="925" spans="15:19" x14ac:dyDescent="0.2">
      <c r="O925" s="4">
        <f t="shared" ca="1" si="103"/>
        <v>0.62428892924822699</v>
      </c>
      <c r="P925" s="4">
        <f t="shared" ca="1" si="104"/>
        <v>0.31676471276794704</v>
      </c>
      <c r="Q925" s="4">
        <f t="shared" ca="1" si="105"/>
        <v>1913.6679112546474</v>
      </c>
      <c r="R925" s="4">
        <f t="shared" ca="1" si="106"/>
        <v>-10.002132745352583</v>
      </c>
      <c r="S925" s="4">
        <f t="shared" ca="1" si="107"/>
        <v>-5.0224532777173065</v>
      </c>
    </row>
    <row r="926" spans="15:19" x14ac:dyDescent="0.2">
      <c r="O926" s="4">
        <f t="shared" ca="1" si="103"/>
        <v>0.55921242861605036</v>
      </c>
      <c r="P926" s="4">
        <f t="shared" ca="1" si="104"/>
        <v>0.14897274059451995</v>
      </c>
      <c r="Q926" s="4">
        <f t="shared" ca="1" si="105"/>
        <v>1918.7511616018462</v>
      </c>
      <c r="R926" s="4">
        <f t="shared" ca="1" si="106"/>
        <v>-4.9188823981537553</v>
      </c>
      <c r="S926" s="4">
        <f t="shared" ca="1" si="107"/>
        <v>-2.4801372455418309</v>
      </c>
    </row>
    <row r="927" spans="15:19" x14ac:dyDescent="0.2">
      <c r="O927" s="4">
        <f t="shared" ca="1" si="103"/>
        <v>7.6651088558537306E-2</v>
      </c>
      <c r="P927" s="4">
        <f t="shared" ca="1" si="104"/>
        <v>-1.42796415136674</v>
      </c>
      <c r="Q927" s="4">
        <f t="shared" ca="1" si="105"/>
        <v>1966.524394729398</v>
      </c>
      <c r="R927" s="4">
        <f t="shared" ca="1" si="106"/>
        <v>42.854350729397993</v>
      </c>
      <c r="S927" s="4">
        <f t="shared" ca="1" si="107"/>
        <v>22.440872844480868</v>
      </c>
    </row>
    <row r="928" spans="15:19" x14ac:dyDescent="0.2">
      <c r="O928" s="4">
        <f t="shared" ca="1" si="103"/>
        <v>0.43292951612928221</v>
      </c>
      <c r="P928" s="4">
        <f t="shared" ca="1" si="104"/>
        <v>-0.16892068050534625</v>
      </c>
      <c r="Q928" s="4">
        <f t="shared" ca="1" si="105"/>
        <v>1928.3817286799181</v>
      </c>
      <c r="R928" s="4">
        <f t="shared" ca="1" si="106"/>
        <v>4.7116846799181076</v>
      </c>
      <c r="S928" s="4">
        <f t="shared" ca="1" si="107"/>
        <v>2.3941378611066884</v>
      </c>
    </row>
    <row r="929" spans="15:19" x14ac:dyDescent="0.2">
      <c r="O929" s="4">
        <f t="shared" ca="1" si="103"/>
        <v>5.4846109796161557E-2</v>
      </c>
      <c r="P929" s="4">
        <f t="shared" ca="1" si="104"/>
        <v>-1.5995780567623512</v>
      </c>
      <c r="Q929" s="4">
        <f t="shared" ca="1" si="105"/>
        <v>1971.723430373873</v>
      </c>
      <c r="R929" s="4">
        <f t="shared" ca="1" si="106"/>
        <v>48.053386373873082</v>
      </c>
      <c r="S929" s="4">
        <f t="shared" ca="1" si="107"/>
        <v>25.265069784294067</v>
      </c>
    </row>
    <row r="930" spans="15:19" x14ac:dyDescent="0.2">
      <c r="O930" s="4">
        <f t="shared" ca="1" si="103"/>
        <v>0.61633328826395128</v>
      </c>
      <c r="P930" s="4">
        <f t="shared" ca="1" si="104"/>
        <v>0.29586468249048192</v>
      </c>
      <c r="Q930" s="4">
        <f t="shared" ca="1" si="105"/>
        <v>1914.3010767439628</v>
      </c>
      <c r="R930" s="4">
        <f t="shared" ca="1" si="106"/>
        <v>-9.3689672560371946</v>
      </c>
      <c r="S930" s="4">
        <f t="shared" ca="1" si="107"/>
        <v>-4.7069314548795633</v>
      </c>
    </row>
    <row r="931" spans="15:19" x14ac:dyDescent="0.2">
      <c r="O931" s="4">
        <f t="shared" ca="1" si="103"/>
        <v>0.5934189086225452</v>
      </c>
      <c r="P931" s="4">
        <f t="shared" ca="1" si="104"/>
        <v>0.23634859336373221</v>
      </c>
      <c r="Q931" s="4">
        <f t="shared" ca="1" si="105"/>
        <v>1916.104114021603</v>
      </c>
      <c r="R931" s="4">
        <f t="shared" ca="1" si="106"/>
        <v>-7.56592997839698</v>
      </c>
      <c r="S931" s="4">
        <f t="shared" ca="1" si="107"/>
        <v>-3.8066458782740087</v>
      </c>
    </row>
    <row r="932" spans="15:19" x14ac:dyDescent="0.2">
      <c r="O932" s="4">
        <f t="shared" ca="1" si="103"/>
        <v>0.36272114189319371</v>
      </c>
      <c r="P932" s="4">
        <f t="shared" ca="1" si="104"/>
        <v>-0.35119470295774446</v>
      </c>
      <c r="Q932" s="4">
        <f t="shared" ca="1" si="105"/>
        <v>1933.9037120973301</v>
      </c>
      <c r="R932" s="4">
        <f t="shared" ca="1" si="106"/>
        <v>10.23366809733011</v>
      </c>
      <c r="S932" s="4">
        <f t="shared" ca="1" si="107"/>
        <v>5.2230145593793633</v>
      </c>
    </row>
    <row r="933" spans="15:19" x14ac:dyDescent="0.2">
      <c r="O933" s="4">
        <f t="shared" ca="1" si="103"/>
        <v>0.45351374446591597</v>
      </c>
      <c r="P933" s="4">
        <f t="shared" ca="1" si="104"/>
        <v>-0.11678871215390794</v>
      </c>
      <c r="Q933" s="4">
        <f t="shared" ca="1" si="105"/>
        <v>1926.8023930133179</v>
      </c>
      <c r="R933" s="4">
        <f t="shared" ca="1" si="106"/>
        <v>3.1323490133179348</v>
      </c>
      <c r="S933" s="4">
        <f t="shared" ca="1" si="107"/>
        <v>1.5896197562287491</v>
      </c>
    </row>
    <row r="934" spans="15:19" x14ac:dyDescent="0.2">
      <c r="O934" s="4">
        <f t="shared" ca="1" si="103"/>
        <v>0.6549454931375871</v>
      </c>
      <c r="P934" s="4">
        <f t="shared" ca="1" si="104"/>
        <v>0.39870712985274576</v>
      </c>
      <c r="Q934" s="4">
        <f t="shared" ca="1" si="105"/>
        <v>1911.1854693672244</v>
      </c>
      <c r="R934" s="4">
        <f t="shared" ca="1" si="106"/>
        <v>-12.484574632775548</v>
      </c>
      <c r="S934" s="4">
        <f t="shared" ca="1" si="107"/>
        <v>-6.2563662807670486</v>
      </c>
    </row>
    <row r="935" spans="15:19" x14ac:dyDescent="0.2">
      <c r="O935" s="4">
        <f t="shared" ca="1" si="103"/>
        <v>0.8163343199349602</v>
      </c>
      <c r="P935" s="4">
        <f t="shared" ca="1" si="104"/>
        <v>0.90148339221299167</v>
      </c>
      <c r="Q935" s="4">
        <f t="shared" ca="1" si="105"/>
        <v>1895.9538848217821</v>
      </c>
      <c r="R935" s="4">
        <f t="shared" ca="1" si="106"/>
        <v>-27.716159178217822</v>
      </c>
      <c r="S935" s="4">
        <f t="shared" ca="1" si="107"/>
        <v>-13.717486584776738</v>
      </c>
    </row>
    <row r="936" spans="15:19" x14ac:dyDescent="0.2">
      <c r="O936" s="4">
        <f t="shared" ca="1" si="103"/>
        <v>3.0051800891687241E-3</v>
      </c>
      <c r="P936" s="4">
        <f t="shared" ca="1" si="104"/>
        <v>-2.7472156453582106</v>
      </c>
      <c r="Q936" s="4">
        <f t="shared" ca="1" si="105"/>
        <v>2006.4910601664276</v>
      </c>
      <c r="R936" s="4">
        <f t="shared" ca="1" si="106"/>
        <v>82.821016166427626</v>
      </c>
      <c r="S936" s="4">
        <f t="shared" ca="1" si="107"/>
        <v>44.71702798152986</v>
      </c>
    </row>
    <row r="937" spans="15:19" x14ac:dyDescent="0.2">
      <c r="O937" s="4">
        <f t="shared" ca="1" si="103"/>
        <v>0.38020980586364328</v>
      </c>
      <c r="P937" s="4">
        <f t="shared" ca="1" si="104"/>
        <v>-0.30492980930312208</v>
      </c>
      <c r="Q937" s="4">
        <f t="shared" ca="1" si="105"/>
        <v>1932.5021191981778</v>
      </c>
      <c r="R937" s="4">
        <f t="shared" ca="1" si="106"/>
        <v>8.8320751981777903</v>
      </c>
      <c r="S937" s="4">
        <f t="shared" ca="1" si="107"/>
        <v>4.502636634439166</v>
      </c>
    </row>
    <row r="938" spans="15:19" x14ac:dyDescent="0.2">
      <c r="O938" s="4">
        <f t="shared" ca="1" si="103"/>
        <v>0.45856998788631365</v>
      </c>
      <c r="P938" s="4">
        <f t="shared" ca="1" si="104"/>
        <v>-0.1040370130409254</v>
      </c>
      <c r="Q938" s="4">
        <f t="shared" ca="1" si="105"/>
        <v>1926.4160808548531</v>
      </c>
      <c r="R938" s="4">
        <f t="shared" ca="1" si="106"/>
        <v>2.7460368548531733</v>
      </c>
      <c r="S938" s="4">
        <f t="shared" ca="1" si="107"/>
        <v>1.3931403475019251</v>
      </c>
    </row>
    <row r="939" spans="15:19" x14ac:dyDescent="0.2">
      <c r="O939" s="4">
        <f t="shared" ca="1" si="103"/>
        <v>0.20080574649911487</v>
      </c>
      <c r="P939" s="4">
        <f t="shared" ca="1" si="104"/>
        <v>-0.83874665218276556</v>
      </c>
      <c r="Q939" s="4">
        <f t="shared" ca="1" si="105"/>
        <v>1948.6740767522849</v>
      </c>
      <c r="R939" s="4">
        <f t="shared" ca="1" si="106"/>
        <v>25.004032752284957</v>
      </c>
      <c r="S939" s="4">
        <f t="shared" ca="1" si="107"/>
        <v>12.911786644513201</v>
      </c>
    </row>
    <row r="940" spans="15:19" x14ac:dyDescent="0.2">
      <c r="O940" s="4">
        <f t="shared" ca="1" si="103"/>
        <v>0.27438919801359973</v>
      </c>
      <c r="P940" s="4">
        <f t="shared" ca="1" si="104"/>
        <v>-0.59959167601264607</v>
      </c>
      <c r="Q940" s="4">
        <f t="shared" ca="1" si="105"/>
        <v>1941.4288873674518</v>
      </c>
      <c r="R940" s="4">
        <f t="shared" ca="1" si="106"/>
        <v>17.758843367451846</v>
      </c>
      <c r="S940" s="4">
        <f t="shared" ca="1" si="107"/>
        <v>9.1180805336900672</v>
      </c>
    </row>
    <row r="941" spans="15:19" x14ac:dyDescent="0.2">
      <c r="O941" s="4">
        <f t="shared" ca="1" si="103"/>
        <v>0.15564782624086881</v>
      </c>
      <c r="P941" s="4">
        <f t="shared" ca="1" si="104"/>
        <v>-1.0125071024844248</v>
      </c>
      <c r="Q941" s="4">
        <f t="shared" ca="1" si="105"/>
        <v>1953.9381418793841</v>
      </c>
      <c r="R941" s="4">
        <f t="shared" ca="1" si="106"/>
        <v>30.268097879384186</v>
      </c>
      <c r="S941" s="4">
        <f t="shared" ca="1" si="107"/>
        <v>15.694947245330516</v>
      </c>
    </row>
    <row r="942" spans="15:19" x14ac:dyDescent="0.2">
      <c r="O942" s="4">
        <f t="shared" ca="1" si="103"/>
        <v>0.3144937474144901</v>
      </c>
      <c r="P942" s="4">
        <f t="shared" ca="1" si="104"/>
        <v>-0.48315244997661</v>
      </c>
      <c r="Q942" s="4">
        <f t="shared" ca="1" si="105"/>
        <v>1937.9013661844749</v>
      </c>
      <c r="R942" s="4">
        <f t="shared" ca="1" si="106"/>
        <v>14.231322184474948</v>
      </c>
      <c r="S942" s="4">
        <f t="shared" ca="1" si="107"/>
        <v>7.2864786307257718</v>
      </c>
    </row>
    <row r="943" spans="15:19" x14ac:dyDescent="0.2">
      <c r="O943" s="4">
        <f t="shared" ca="1" si="103"/>
        <v>0.79132918641187866</v>
      </c>
      <c r="P943" s="4">
        <f t="shared" ca="1" si="104"/>
        <v>0.81104186862024663</v>
      </c>
      <c r="Q943" s="4">
        <f t="shared" ca="1" si="105"/>
        <v>1898.6938067635115</v>
      </c>
      <c r="R943" s="4">
        <f t="shared" ca="1" si="106"/>
        <v>-24.976237236488487</v>
      </c>
      <c r="S943" s="4">
        <f t="shared" ca="1" si="107"/>
        <v>-12.389281087538455</v>
      </c>
    </row>
    <row r="944" spans="15:19" x14ac:dyDescent="0.2">
      <c r="O944" s="4">
        <f t="shared" ca="1" si="103"/>
        <v>0.52293851111120782</v>
      </c>
      <c r="P944" s="4">
        <f t="shared" ca="1" si="104"/>
        <v>5.7530039361279338E-2</v>
      </c>
      <c r="Q944" s="4">
        <f t="shared" ca="1" si="105"/>
        <v>1921.5214141757433</v>
      </c>
      <c r="R944" s="4">
        <f t="shared" ca="1" si="106"/>
        <v>-2.148629824256659</v>
      </c>
      <c r="S944" s="4">
        <f t="shared" ca="1" si="107"/>
        <v>-1.0857781827569613</v>
      </c>
    </row>
    <row r="945" spans="15:19" x14ac:dyDescent="0.2">
      <c r="O945" s="4">
        <f t="shared" ca="1" si="103"/>
        <v>0.98724733554277211</v>
      </c>
      <c r="P945" s="4">
        <f t="shared" ca="1" si="104"/>
        <v>2.2336618813999314</v>
      </c>
      <c r="Q945" s="4">
        <f t="shared" ca="1" si="105"/>
        <v>1855.595596639251</v>
      </c>
      <c r="R945" s="4">
        <f t="shared" ca="1" si="106"/>
        <v>-68.074447360748991</v>
      </c>
      <c r="S945" s="4">
        <f t="shared" ca="1" si="107"/>
        <v>-32.573540169648609</v>
      </c>
    </row>
    <row r="946" spans="15:19" x14ac:dyDescent="0.2">
      <c r="O946" s="4">
        <f t="shared" ca="1" si="103"/>
        <v>0.42356740894682854</v>
      </c>
      <c r="P946" s="4">
        <f t="shared" ca="1" si="104"/>
        <v>-0.19277546660663386</v>
      </c>
      <c r="Q946" s="4">
        <f t="shared" ca="1" si="105"/>
        <v>1929.104408365728</v>
      </c>
      <c r="R946" s="4">
        <f t="shared" ca="1" si="106"/>
        <v>5.4343643657280154</v>
      </c>
      <c r="S946" s="4">
        <f t="shared" ca="1" si="107"/>
        <v>2.7629501680490653</v>
      </c>
    </row>
    <row r="947" spans="15:19" x14ac:dyDescent="0.2">
      <c r="O947" s="4">
        <f t="shared" ca="1" si="103"/>
        <v>0.99753039099190433</v>
      </c>
      <c r="P947" s="4">
        <f t="shared" ca="1" si="104"/>
        <v>2.8109713737372348</v>
      </c>
      <c r="Q947" s="4">
        <f t="shared" ca="1" si="105"/>
        <v>1838.1060312008542</v>
      </c>
      <c r="R947" s="4">
        <f t="shared" ca="1" si="106"/>
        <v>-85.564012799145758</v>
      </c>
      <c r="S947" s="4">
        <f t="shared" ca="1" si="107"/>
        <v>-40.333106038377402</v>
      </c>
    </row>
    <row r="948" spans="15:19" x14ac:dyDescent="0.2">
      <c r="O948" s="4">
        <f t="shared" ca="1" si="103"/>
        <v>0.36076823196988672</v>
      </c>
      <c r="P948" s="4">
        <f t="shared" ca="1" si="104"/>
        <v>-0.35640609711905757</v>
      </c>
      <c r="Q948" s="4">
        <f t="shared" ca="1" si="105"/>
        <v>1934.061591052066</v>
      </c>
      <c r="R948" s="4">
        <f t="shared" ca="1" si="106"/>
        <v>10.391547052066016</v>
      </c>
      <c r="S948" s="4">
        <f t="shared" ca="1" si="107"/>
        <v>5.3042599670704496</v>
      </c>
    </row>
    <row r="949" spans="15:19" x14ac:dyDescent="0.2">
      <c r="O949" s="4">
        <f t="shared" ca="1" si="103"/>
        <v>0.80646455557870367</v>
      </c>
      <c r="P949" s="4">
        <f t="shared" ca="1" si="104"/>
        <v>0.86494151698779553</v>
      </c>
      <c r="Q949" s="4">
        <f t="shared" ca="1" si="105"/>
        <v>1897.0609193093069</v>
      </c>
      <c r="R949" s="4">
        <f t="shared" ca="1" si="106"/>
        <v>-26.609124690693079</v>
      </c>
      <c r="S949" s="4">
        <f t="shared" ca="1" si="107"/>
        <v>-13.181576011980981</v>
      </c>
    </row>
    <row r="950" spans="15:19" x14ac:dyDescent="0.2">
      <c r="O950" s="4">
        <f t="shared" ca="1" si="103"/>
        <v>0.12742860833528979</v>
      </c>
      <c r="P950" s="4">
        <f t="shared" ca="1" si="104"/>
        <v>-1.1386307035370116</v>
      </c>
      <c r="Q950" s="4">
        <f t="shared" ca="1" si="105"/>
        <v>1957.759050773511</v>
      </c>
      <c r="R950" s="4">
        <f t="shared" ca="1" si="106"/>
        <v>34.089006773511073</v>
      </c>
      <c r="S950" s="4">
        <f t="shared" ca="1" si="107"/>
        <v>17.729228147630945</v>
      </c>
    </row>
    <row r="951" spans="15:19" x14ac:dyDescent="0.2">
      <c r="O951" s="4">
        <f t="shared" ca="1" si="103"/>
        <v>2.8026042004734686E-2</v>
      </c>
      <c r="P951" s="4">
        <f t="shared" ca="1" si="104"/>
        <v>-1.9106304839966624</v>
      </c>
      <c r="Q951" s="4">
        <f t="shared" ca="1" si="105"/>
        <v>1981.1467498465208</v>
      </c>
      <c r="R951" s="4">
        <f t="shared" ca="1" si="106"/>
        <v>57.476705846520872</v>
      </c>
      <c r="S951" s="4">
        <f t="shared" ca="1" si="107"/>
        <v>30.440053858568277</v>
      </c>
    </row>
    <row r="952" spans="15:19" x14ac:dyDescent="0.2">
      <c r="O952" s="4">
        <f t="shared" ca="1" si="103"/>
        <v>0.1906432240937258</v>
      </c>
      <c r="P952" s="4">
        <f t="shared" ca="1" si="104"/>
        <v>-0.87552842990302904</v>
      </c>
      <c r="Q952" s="4">
        <f t="shared" ca="1" si="105"/>
        <v>1949.788379075246</v>
      </c>
      <c r="R952" s="4">
        <f t="shared" ca="1" si="106"/>
        <v>26.118335075246023</v>
      </c>
      <c r="S952" s="4">
        <f t="shared" ca="1" si="107"/>
        <v>13.49904640808208</v>
      </c>
    </row>
    <row r="953" spans="15:19" x14ac:dyDescent="0.2">
      <c r="O953" s="4">
        <f t="shared" ca="1" si="103"/>
        <v>0.1910734504671503</v>
      </c>
      <c r="P953" s="4">
        <f t="shared" ca="1" si="104"/>
        <v>-0.87394739757234663</v>
      </c>
      <c r="Q953" s="4">
        <f t="shared" ca="1" si="105"/>
        <v>1949.7404817709842</v>
      </c>
      <c r="R953" s="4">
        <f t="shared" ca="1" si="106"/>
        <v>26.070437770984199</v>
      </c>
      <c r="S953" s="4">
        <f t="shared" ca="1" si="107"/>
        <v>13.47378277194796</v>
      </c>
    </row>
    <row r="954" spans="15:19" x14ac:dyDescent="0.2">
      <c r="O954" s="4">
        <f t="shared" ca="1" si="103"/>
        <v>0.29242026554984124</v>
      </c>
      <c r="P954" s="4">
        <f t="shared" ca="1" si="104"/>
        <v>-0.54632794391507689</v>
      </c>
      <c r="Q954" s="4">
        <f t="shared" ca="1" si="105"/>
        <v>1939.8152649684123</v>
      </c>
      <c r="R954" s="4">
        <f t="shared" ca="1" si="106"/>
        <v>16.145220968412332</v>
      </c>
      <c r="S954" s="4">
        <f t="shared" ca="1" si="107"/>
        <v>8.278978981235614</v>
      </c>
    </row>
    <row r="955" spans="15:19" x14ac:dyDescent="0.2">
      <c r="O955" s="4">
        <f t="shared" ca="1" si="103"/>
        <v>0.33341436519842216</v>
      </c>
      <c r="P955" s="4">
        <f t="shared" ca="1" si="104"/>
        <v>-0.43050444993621639</v>
      </c>
      <c r="Q955" s="4">
        <f t="shared" ca="1" si="105"/>
        <v>1936.3063973607696</v>
      </c>
      <c r="R955" s="4">
        <f t="shared" ca="1" si="106"/>
        <v>12.63635336076959</v>
      </c>
      <c r="S955" s="4">
        <f t="shared" ca="1" si="107"/>
        <v>6.4616456093817085</v>
      </c>
    </row>
    <row r="956" spans="15:19" x14ac:dyDescent="0.2">
      <c r="O956" s="4">
        <f t="shared" ca="1" si="103"/>
        <v>0.98775678689773916</v>
      </c>
      <c r="P956" s="4">
        <f t="shared" ca="1" si="104"/>
        <v>2.2494099490723074</v>
      </c>
      <c r="Q956" s="4">
        <f t="shared" ca="1" si="105"/>
        <v>1855.118509628315</v>
      </c>
      <c r="R956" s="4">
        <f t="shared" ca="1" si="106"/>
        <v>-68.551534371684966</v>
      </c>
      <c r="S956" s="4">
        <f t="shared" ca="1" si="107"/>
        <v>-32.788512505436579</v>
      </c>
    </row>
    <row r="957" spans="15:19" x14ac:dyDescent="0.2">
      <c r="O957" s="4">
        <f t="shared" ca="1" si="103"/>
        <v>4.4472776753317733E-2</v>
      </c>
      <c r="P957" s="4">
        <f t="shared" ca="1" si="104"/>
        <v>-1.7009863334226358</v>
      </c>
      <c r="Q957" s="4">
        <f t="shared" ca="1" si="105"/>
        <v>1974.7955896128703</v>
      </c>
      <c r="R957" s="4">
        <f t="shared" ca="1" si="106"/>
        <v>51.125545612870383</v>
      </c>
      <c r="S957" s="4">
        <f t="shared" ca="1" si="107"/>
        <v>26.944258218404549</v>
      </c>
    </row>
    <row r="958" spans="15:19" x14ac:dyDescent="0.2">
      <c r="O958" s="4">
        <f t="shared" ca="1" si="103"/>
        <v>0.83333582454562805</v>
      </c>
      <c r="P958" s="4">
        <f t="shared" ca="1" si="104"/>
        <v>0.96743153694393147</v>
      </c>
      <c r="Q958" s="4">
        <f t="shared" ca="1" si="105"/>
        <v>1893.9559887051896</v>
      </c>
      <c r="R958" s="4">
        <f t="shared" ca="1" si="106"/>
        <v>-29.71405529481035</v>
      </c>
      <c r="S958" s="4">
        <f t="shared" ca="1" si="107"/>
        <v>-14.682134207060946</v>
      </c>
    </row>
    <row r="959" spans="15:19" x14ac:dyDescent="0.2">
      <c r="O959" s="4">
        <f t="shared" ca="1" si="103"/>
        <v>0.55697509097476505</v>
      </c>
      <c r="P959" s="4">
        <f t="shared" ca="1" si="104"/>
        <v>0.14330435308858888</v>
      </c>
      <c r="Q959" s="4">
        <f t="shared" ca="1" si="105"/>
        <v>1918.9228851496678</v>
      </c>
      <c r="R959" s="4">
        <f t="shared" ca="1" si="106"/>
        <v>-4.7471588503321982</v>
      </c>
      <c r="S959" s="4">
        <f t="shared" ca="1" si="107"/>
        <v>-2.3938847924924365</v>
      </c>
    </row>
    <row r="960" spans="15:19" x14ac:dyDescent="0.2">
      <c r="O960" s="4">
        <f t="shared" ca="1" si="103"/>
        <v>0.88633160873553496</v>
      </c>
      <c r="P960" s="4">
        <f t="shared" ca="1" si="104"/>
        <v>1.2072476557454184</v>
      </c>
      <c r="Q960" s="4">
        <f t="shared" ca="1" si="105"/>
        <v>1886.6907700336935</v>
      </c>
      <c r="R960" s="4">
        <f t="shared" ca="1" si="106"/>
        <v>-36.979273966306437</v>
      </c>
      <c r="S960" s="4">
        <f t="shared" ca="1" si="107"/>
        <v>-18.162617078202199</v>
      </c>
    </row>
    <row r="961" spans="15:19" x14ac:dyDescent="0.2">
      <c r="O961" s="4">
        <f t="shared" ca="1" si="103"/>
        <v>0.71277947777772099</v>
      </c>
      <c r="P961" s="4">
        <f t="shared" ca="1" si="104"/>
        <v>0.56152301621913181</v>
      </c>
      <c r="Q961" s="4">
        <f t="shared" ca="1" si="105"/>
        <v>1906.2529693186168</v>
      </c>
      <c r="R961" s="4">
        <f t="shared" ca="1" si="106"/>
        <v>-17.417074681383156</v>
      </c>
      <c r="S961" s="4">
        <f t="shared" ca="1" si="107"/>
        <v>-8.6932075247634693</v>
      </c>
    </row>
    <row r="962" spans="15:19" x14ac:dyDescent="0.2">
      <c r="O962" s="4">
        <f t="shared" ca="1" si="103"/>
        <v>0.73128466057017916</v>
      </c>
      <c r="P962" s="4">
        <f t="shared" ca="1" si="104"/>
        <v>0.6167029442704216</v>
      </c>
      <c r="Q962" s="4">
        <f t="shared" ca="1" si="105"/>
        <v>1904.5812958482363</v>
      </c>
      <c r="R962" s="4">
        <f t="shared" ca="1" si="106"/>
        <v>-19.088748151763639</v>
      </c>
      <c r="S962" s="4">
        <f t="shared" ca="1" si="107"/>
        <v>-9.5145832778702992</v>
      </c>
    </row>
    <row r="963" spans="15:19" x14ac:dyDescent="0.2">
      <c r="O963" s="4">
        <f t="shared" ref="O963:O1026" ca="1" si="108">RAND()</f>
        <v>0.64030050088634261</v>
      </c>
      <c r="P963" s="4">
        <f t="shared" ref="P963:P1026" ca="1" si="109">NORMSINV(O963)</f>
        <v>0.3592621345685949</v>
      </c>
      <c r="Q963" s="4">
        <f t="shared" ref="Q963:Q1026" ca="1" si="110">$B$4*(1+$B$17-$B$6/SQRT(252)*P963)</f>
        <v>1912.3804537480396</v>
      </c>
      <c r="R963" s="4">
        <f t="shared" ref="R963:R1026" ca="1" si="111">Q963-$B$4</f>
        <v>-11.289590251960362</v>
      </c>
      <c r="S963" s="4">
        <f t="shared" ref="S963:S1026" ca="1" si="112">R963*$B$12+0.5*$B$13*R963^2</f>
        <v>-5.6630182196970962</v>
      </c>
    </row>
    <row r="964" spans="15:19" x14ac:dyDescent="0.2">
      <c r="O964" s="4">
        <f t="shared" ca="1" si="108"/>
        <v>0.58640442386527025</v>
      </c>
      <c r="P964" s="4">
        <f t="shared" ca="1" si="109"/>
        <v>0.21830541933626463</v>
      </c>
      <c r="Q964" s="4">
        <f t="shared" ca="1" si="110"/>
        <v>1916.6507311776663</v>
      </c>
      <c r="R964" s="4">
        <f t="shared" ca="1" si="111"/>
        <v>-7.0193128223336316</v>
      </c>
      <c r="S964" s="4">
        <f t="shared" ca="1" si="112"/>
        <v>-3.5331882971002386</v>
      </c>
    </row>
    <row r="965" spans="15:19" x14ac:dyDescent="0.2">
      <c r="O965" s="4">
        <f t="shared" ca="1" si="108"/>
        <v>0.26080163650968224</v>
      </c>
      <c r="P965" s="4">
        <f t="shared" ca="1" si="109"/>
        <v>-0.6408759645522103</v>
      </c>
      <c r="Q965" s="4">
        <f t="shared" ca="1" si="110"/>
        <v>1942.6795930557771</v>
      </c>
      <c r="R965" s="4">
        <f t="shared" ca="1" si="111"/>
        <v>19.009549055777143</v>
      </c>
      <c r="S965" s="4">
        <f t="shared" ca="1" si="112"/>
        <v>9.7699196671936743</v>
      </c>
    </row>
    <row r="966" spans="15:19" x14ac:dyDescent="0.2">
      <c r="O966" s="4">
        <f t="shared" ca="1" si="108"/>
        <v>0.23876488446344568</v>
      </c>
      <c r="P966" s="4">
        <f t="shared" ca="1" si="109"/>
        <v>-0.71028121089921847</v>
      </c>
      <c r="Q966" s="4">
        <f t="shared" ca="1" si="110"/>
        <v>1944.7822219123366</v>
      </c>
      <c r="R966" s="4">
        <f t="shared" ca="1" si="111"/>
        <v>21.11217791233662</v>
      </c>
      <c r="S966" s="4">
        <f t="shared" ca="1" si="112"/>
        <v>10.868631797459393</v>
      </c>
    </row>
    <row r="967" spans="15:19" x14ac:dyDescent="0.2">
      <c r="O967" s="4">
        <f t="shared" ca="1" si="108"/>
        <v>0.39837379328510047</v>
      </c>
      <c r="P967" s="4">
        <f t="shared" ca="1" si="109"/>
        <v>-0.25755859706503359</v>
      </c>
      <c r="Q967" s="4">
        <f t="shared" ca="1" si="110"/>
        <v>1931.0670104266592</v>
      </c>
      <c r="R967" s="4">
        <f t="shared" ca="1" si="111"/>
        <v>7.396966426659219</v>
      </c>
      <c r="S967" s="4">
        <f t="shared" ca="1" si="112"/>
        <v>3.7666896961684109</v>
      </c>
    </row>
    <row r="968" spans="15:19" x14ac:dyDescent="0.2">
      <c r="O968" s="4">
        <f t="shared" ca="1" si="108"/>
        <v>0.25280043468370306</v>
      </c>
      <c r="P968" s="4">
        <f t="shared" ca="1" si="109"/>
        <v>-0.66570313488646626</v>
      </c>
      <c r="Q968" s="4">
        <f t="shared" ca="1" si="110"/>
        <v>1943.4317310787519</v>
      </c>
      <c r="R968" s="4">
        <f t="shared" ca="1" si="111"/>
        <v>19.761687078751947</v>
      </c>
      <c r="S968" s="4">
        <f t="shared" ca="1" si="112"/>
        <v>10.162529977862178</v>
      </c>
    </row>
    <row r="969" spans="15:19" x14ac:dyDescent="0.2">
      <c r="O969" s="4">
        <f t="shared" ca="1" si="108"/>
        <v>0.47359466525324978</v>
      </c>
      <c r="P969" s="4">
        <f t="shared" ca="1" si="109"/>
        <v>-6.6236760336079212E-2</v>
      </c>
      <c r="Q969" s="4">
        <f t="shared" ca="1" si="110"/>
        <v>1925.270923877453</v>
      </c>
      <c r="R969" s="4">
        <f t="shared" ca="1" si="111"/>
        <v>1.6008798774530533</v>
      </c>
      <c r="S969" s="4">
        <f t="shared" ca="1" si="112"/>
        <v>0.81142431811410065</v>
      </c>
    </row>
    <row r="970" spans="15:19" x14ac:dyDescent="0.2">
      <c r="O970" s="4">
        <f t="shared" ca="1" si="108"/>
        <v>0.1200646315401912</v>
      </c>
      <c r="P970" s="4">
        <f t="shared" ca="1" si="109"/>
        <v>-1.1746637610716373</v>
      </c>
      <c r="Q970" s="4">
        <f t="shared" ca="1" si="110"/>
        <v>1958.8506706516907</v>
      </c>
      <c r="R970" s="4">
        <f t="shared" ca="1" si="111"/>
        <v>35.180626651690773</v>
      </c>
      <c r="S970" s="4">
        <f t="shared" ca="1" si="112"/>
        <v>18.312597813141519</v>
      </c>
    </row>
    <row r="971" spans="15:19" x14ac:dyDescent="0.2">
      <c r="O971" s="4">
        <f t="shared" ca="1" si="108"/>
        <v>0.87153049223994283</v>
      </c>
      <c r="P971" s="4">
        <f t="shared" ca="1" si="109"/>
        <v>1.1336556602619337</v>
      </c>
      <c r="Q971" s="4">
        <f t="shared" ca="1" si="110"/>
        <v>1888.920236269455</v>
      </c>
      <c r="R971" s="4">
        <f t="shared" ca="1" si="111"/>
        <v>-34.749807730544944</v>
      </c>
      <c r="S971" s="4">
        <f t="shared" ca="1" si="112"/>
        <v>-17.099136951925679</v>
      </c>
    </row>
    <row r="972" spans="15:19" x14ac:dyDescent="0.2">
      <c r="O972" s="4">
        <f t="shared" ca="1" si="108"/>
        <v>0.11473470730424828</v>
      </c>
      <c r="P972" s="4">
        <f t="shared" ca="1" si="109"/>
        <v>-1.2017267472768072</v>
      </c>
      <c r="Q972" s="4">
        <f t="shared" ca="1" si="110"/>
        <v>1959.6705426172073</v>
      </c>
      <c r="R972" s="4">
        <f t="shared" ca="1" si="111"/>
        <v>36.000498617207313</v>
      </c>
      <c r="S972" s="4">
        <f t="shared" ca="1" si="112"/>
        <v>18.751381352123484</v>
      </c>
    </row>
    <row r="973" spans="15:19" x14ac:dyDescent="0.2">
      <c r="O973" s="4">
        <f t="shared" ca="1" si="108"/>
        <v>0.76777640321834228</v>
      </c>
      <c r="P973" s="4">
        <f t="shared" ca="1" si="109"/>
        <v>0.73154358341318659</v>
      </c>
      <c r="Q973" s="4">
        <f t="shared" ca="1" si="110"/>
        <v>1901.1022037842154</v>
      </c>
      <c r="R973" s="4">
        <f t="shared" ca="1" si="111"/>
        <v>-22.567840215784599</v>
      </c>
      <c r="S973" s="4">
        <f t="shared" ca="1" si="112"/>
        <v>-11.216738393227104</v>
      </c>
    </row>
    <row r="974" spans="15:19" x14ac:dyDescent="0.2">
      <c r="O974" s="4">
        <f t="shared" ca="1" si="108"/>
        <v>0.74173510950812493</v>
      </c>
      <c r="P974" s="4">
        <f t="shared" ca="1" si="109"/>
        <v>0.64870390325270366</v>
      </c>
      <c r="Q974" s="4">
        <f t="shared" ca="1" si="110"/>
        <v>1903.6118282166783</v>
      </c>
      <c r="R974" s="4">
        <f t="shared" ca="1" si="111"/>
        <v>-20.058215783321657</v>
      </c>
      <c r="S974" s="4">
        <f t="shared" ca="1" si="112"/>
        <v>-9.989888313809173</v>
      </c>
    </row>
    <row r="975" spans="15:19" x14ac:dyDescent="0.2">
      <c r="O975" s="4">
        <f t="shared" ca="1" si="108"/>
        <v>0.93244852082568908</v>
      </c>
      <c r="P975" s="4">
        <f t="shared" ca="1" si="109"/>
        <v>1.4942780555362563</v>
      </c>
      <c r="Q975" s="4">
        <f t="shared" ca="1" si="110"/>
        <v>1877.9951968158916</v>
      </c>
      <c r="R975" s="4">
        <f t="shared" ca="1" si="111"/>
        <v>-45.67484718410833</v>
      </c>
      <c r="S975" s="4">
        <f t="shared" ca="1" si="112"/>
        <v>-22.271830599487728</v>
      </c>
    </row>
    <row r="976" spans="15:19" x14ac:dyDescent="0.2">
      <c r="O976" s="4">
        <f t="shared" ca="1" si="108"/>
        <v>0.42006126674716526</v>
      </c>
      <c r="P976" s="4">
        <f t="shared" ca="1" si="109"/>
        <v>-0.2017367466561599</v>
      </c>
      <c r="Q976" s="4">
        <f t="shared" ca="1" si="110"/>
        <v>1929.3758899469567</v>
      </c>
      <c r="R976" s="4">
        <f t="shared" ca="1" si="111"/>
        <v>5.7058459469567424</v>
      </c>
      <c r="S976" s="4">
        <f t="shared" ca="1" si="112"/>
        <v>2.9016079282648719</v>
      </c>
    </row>
    <row r="977" spans="15:19" x14ac:dyDescent="0.2">
      <c r="O977" s="4">
        <f t="shared" ca="1" si="108"/>
        <v>0.58762274695590955</v>
      </c>
      <c r="P977" s="4">
        <f t="shared" ca="1" si="109"/>
        <v>0.22143401947799188</v>
      </c>
      <c r="Q977" s="4">
        <f t="shared" ca="1" si="110"/>
        <v>1916.5559503752795</v>
      </c>
      <c r="R977" s="4">
        <f t="shared" ca="1" si="111"/>
        <v>-7.1140936247204536</v>
      </c>
      <c r="S977" s="4">
        <f t="shared" ca="1" si="112"/>
        <v>-3.5806219676337161</v>
      </c>
    </row>
    <row r="978" spans="15:19" x14ac:dyDescent="0.2">
      <c r="O978" s="4">
        <f t="shared" ca="1" si="108"/>
        <v>0.66336717087659114</v>
      </c>
      <c r="P978" s="4">
        <f t="shared" ca="1" si="109"/>
        <v>0.42167033757788147</v>
      </c>
      <c r="Q978" s="4">
        <f t="shared" ca="1" si="110"/>
        <v>1910.4898000087348</v>
      </c>
      <c r="R978" s="4">
        <f t="shared" ca="1" si="111"/>
        <v>-13.180243991265115</v>
      </c>
      <c r="S978" s="4">
        <f t="shared" ca="1" si="112"/>
        <v>-6.6012530173195438</v>
      </c>
    </row>
    <row r="979" spans="15:19" x14ac:dyDescent="0.2">
      <c r="O979" s="4">
        <f t="shared" ca="1" si="108"/>
        <v>0.6028233098903375</v>
      </c>
      <c r="P979" s="4">
        <f t="shared" ca="1" si="109"/>
        <v>0.26066173105070928</v>
      </c>
      <c r="Q979" s="4">
        <f t="shared" ca="1" si="110"/>
        <v>1915.367548594855</v>
      </c>
      <c r="R979" s="4">
        <f t="shared" ca="1" si="111"/>
        <v>-8.3024954051450095</v>
      </c>
      <c r="S979" s="4">
        <f t="shared" ca="1" si="112"/>
        <v>-4.1747446324226036</v>
      </c>
    </row>
    <row r="980" spans="15:19" x14ac:dyDescent="0.2">
      <c r="O980" s="4">
        <f t="shared" ca="1" si="108"/>
        <v>0.42175368517383782</v>
      </c>
      <c r="P980" s="4">
        <f t="shared" ca="1" si="109"/>
        <v>-0.19740914936040022</v>
      </c>
      <c r="Q980" s="4">
        <f t="shared" ca="1" si="110"/>
        <v>1929.2447855790222</v>
      </c>
      <c r="R980" s="4">
        <f t="shared" ca="1" si="111"/>
        <v>5.5747415790222021</v>
      </c>
      <c r="S980" s="4">
        <f t="shared" ca="1" si="112"/>
        <v>2.8346395844221188</v>
      </c>
    </row>
    <row r="981" spans="15:19" x14ac:dyDescent="0.2">
      <c r="O981" s="4">
        <f t="shared" ca="1" si="108"/>
        <v>0.46920882466902458</v>
      </c>
      <c r="P981" s="4">
        <f t="shared" ca="1" si="109"/>
        <v>-7.725882061703164E-2</v>
      </c>
      <c r="Q981" s="4">
        <f t="shared" ca="1" si="110"/>
        <v>1925.6048367042961</v>
      </c>
      <c r="R981" s="4">
        <f t="shared" ca="1" si="111"/>
        <v>1.9347927042961146</v>
      </c>
      <c r="S981" s="4">
        <f t="shared" ca="1" si="112"/>
        <v>0.98093485025058091</v>
      </c>
    </row>
    <row r="982" spans="15:19" x14ac:dyDescent="0.2">
      <c r="O982" s="4">
        <f t="shared" ca="1" si="108"/>
        <v>0.2446798263195914</v>
      </c>
      <c r="P982" s="4">
        <f t="shared" ca="1" si="109"/>
        <v>-0.69132766095138676</v>
      </c>
      <c r="Q982" s="4">
        <f t="shared" ca="1" si="110"/>
        <v>1944.2080249581852</v>
      </c>
      <c r="R982" s="4">
        <f t="shared" ca="1" si="111"/>
        <v>20.537980958185244</v>
      </c>
      <c r="S982" s="4">
        <f t="shared" ca="1" si="112"/>
        <v>10.568232453996531</v>
      </c>
    </row>
    <row r="983" spans="15:19" x14ac:dyDescent="0.2">
      <c r="O983" s="4">
        <f t="shared" ca="1" si="108"/>
        <v>0.67695895010546991</v>
      </c>
      <c r="P983" s="4">
        <f t="shared" ca="1" si="109"/>
        <v>0.45921176919898582</v>
      </c>
      <c r="Q983" s="4">
        <f t="shared" ca="1" si="110"/>
        <v>1909.3524840045754</v>
      </c>
      <c r="R983" s="4">
        <f t="shared" ca="1" si="111"/>
        <v>-14.317559995424517</v>
      </c>
      <c r="S983" s="4">
        <f t="shared" ca="1" si="112"/>
        <v>-7.1642429607143274</v>
      </c>
    </row>
    <row r="984" spans="15:19" x14ac:dyDescent="0.2">
      <c r="O984" s="4">
        <f t="shared" ca="1" si="108"/>
        <v>0.3653116532180527</v>
      </c>
      <c r="P984" s="4">
        <f t="shared" ca="1" si="109"/>
        <v>-0.34429651295307773</v>
      </c>
      <c r="Q984" s="4">
        <f t="shared" ca="1" si="110"/>
        <v>1933.6947317374113</v>
      </c>
      <c r="R984" s="4">
        <f t="shared" ca="1" si="111"/>
        <v>10.024687737411341</v>
      </c>
      <c r="S984" s="4">
        <f t="shared" ca="1" si="112"/>
        <v>5.1155032865847243</v>
      </c>
    </row>
    <row r="985" spans="15:19" x14ac:dyDescent="0.2">
      <c r="O985" s="4">
        <f t="shared" ca="1" si="108"/>
        <v>0.79376849783058756</v>
      </c>
      <c r="P985" s="4">
        <f t="shared" ca="1" si="109"/>
        <v>0.81956697920037747</v>
      </c>
      <c r="Q985" s="4">
        <f t="shared" ca="1" si="110"/>
        <v>1898.4355389169925</v>
      </c>
      <c r="R985" s="4">
        <f t="shared" ca="1" si="111"/>
        <v>-25.234505083007434</v>
      </c>
      <c r="S985" s="4">
        <f t="shared" ca="1" si="112"/>
        <v>-12.514740000590214</v>
      </c>
    </row>
    <row r="986" spans="15:19" x14ac:dyDescent="0.2">
      <c r="O986" s="4">
        <f t="shared" ca="1" si="108"/>
        <v>0.21173561157535425</v>
      </c>
      <c r="P986" s="4">
        <f t="shared" ca="1" si="109"/>
        <v>-0.80041356686925491</v>
      </c>
      <c r="Q986" s="4">
        <f t="shared" ca="1" si="110"/>
        <v>1947.5127776346626</v>
      </c>
      <c r="R986" s="4">
        <f t="shared" ca="1" si="111"/>
        <v>23.842733634662636</v>
      </c>
      <c r="S986" s="4">
        <f t="shared" ca="1" si="112"/>
        <v>12.300834366850713</v>
      </c>
    </row>
    <row r="987" spans="15:19" x14ac:dyDescent="0.2">
      <c r="O987" s="4">
        <f t="shared" ca="1" si="108"/>
        <v>0.52342726906288861</v>
      </c>
      <c r="P987" s="4">
        <f t="shared" ca="1" si="109"/>
        <v>5.8757246586233311E-2</v>
      </c>
      <c r="Q987" s="4">
        <f t="shared" ca="1" si="110"/>
        <v>1921.4842359873501</v>
      </c>
      <c r="R987" s="4">
        <f t="shared" ca="1" si="111"/>
        <v>-2.1858080126498862</v>
      </c>
      <c r="S987" s="4">
        <f t="shared" ca="1" si="112"/>
        <v>-1.1045325480785484</v>
      </c>
    </row>
    <row r="988" spans="15:19" x14ac:dyDescent="0.2">
      <c r="O988" s="4">
        <f t="shared" ca="1" si="108"/>
        <v>0.5309273055204321</v>
      </c>
      <c r="P988" s="4">
        <f t="shared" ca="1" si="109"/>
        <v>7.7601072833268239E-2</v>
      </c>
      <c r="Q988" s="4">
        <f t="shared" ca="1" si="110"/>
        <v>1920.913363107843</v>
      </c>
      <c r="R988" s="4">
        <f t="shared" ca="1" si="111"/>
        <v>-2.7566808921569645</v>
      </c>
      <c r="S988" s="4">
        <f t="shared" ca="1" si="112"/>
        <v>-1.3923654321289154</v>
      </c>
    </row>
    <row r="989" spans="15:19" x14ac:dyDescent="0.2">
      <c r="O989" s="4">
        <f t="shared" ca="1" si="108"/>
        <v>0.22130070032427007</v>
      </c>
      <c r="P989" s="4">
        <f t="shared" ca="1" si="109"/>
        <v>-0.7678077649620203</v>
      </c>
      <c r="Q989" s="4">
        <f t="shared" ca="1" si="110"/>
        <v>1946.5249863135475</v>
      </c>
      <c r="R989" s="4">
        <f t="shared" ca="1" si="111"/>
        <v>22.854942313547554</v>
      </c>
      <c r="S989" s="4">
        <f t="shared" ca="1" si="112"/>
        <v>11.782027615045372</v>
      </c>
    </row>
    <row r="990" spans="15:19" x14ac:dyDescent="0.2">
      <c r="O990" s="4">
        <f t="shared" ca="1" si="108"/>
        <v>0.35049228651401376</v>
      </c>
      <c r="P990" s="4">
        <f t="shared" ca="1" si="109"/>
        <v>-0.38399173538629056</v>
      </c>
      <c r="Q990" s="4">
        <f t="shared" ca="1" si="110"/>
        <v>1934.8972967385971</v>
      </c>
      <c r="R990" s="4">
        <f t="shared" ca="1" si="111"/>
        <v>11.227252738597144</v>
      </c>
      <c r="S990" s="4">
        <f t="shared" ca="1" si="112"/>
        <v>5.7346568721946518</v>
      </c>
    </row>
    <row r="991" spans="15:19" x14ac:dyDescent="0.2">
      <c r="O991" s="4">
        <f t="shared" ca="1" si="108"/>
        <v>0.17850497686241507</v>
      </c>
      <c r="P991" s="4">
        <f t="shared" ca="1" si="109"/>
        <v>-0.92107752418909128</v>
      </c>
      <c r="Q991" s="4">
        <f t="shared" ca="1" si="110"/>
        <v>1951.1682868643084</v>
      </c>
      <c r="R991" s="4">
        <f t="shared" ca="1" si="111"/>
        <v>27.498242864308395</v>
      </c>
      <c r="S991" s="4">
        <f t="shared" ca="1" si="112"/>
        <v>14.227686643645455</v>
      </c>
    </row>
    <row r="992" spans="15:19" x14ac:dyDescent="0.2">
      <c r="O992" s="4">
        <f t="shared" ca="1" si="108"/>
        <v>0.73394428699245207</v>
      </c>
      <c r="P992" s="4">
        <f t="shared" ca="1" si="109"/>
        <v>0.6247861437653669</v>
      </c>
      <c r="Q992" s="4">
        <f t="shared" ca="1" si="110"/>
        <v>1904.3364156784228</v>
      </c>
      <c r="R992" s="4">
        <f t="shared" ca="1" si="111"/>
        <v>-19.33362832157718</v>
      </c>
      <c r="S992" s="4">
        <f t="shared" ca="1" si="112"/>
        <v>-9.6347139536948561</v>
      </c>
    </row>
    <row r="993" spans="15:19" x14ac:dyDescent="0.2">
      <c r="O993" s="4">
        <f t="shared" ca="1" si="108"/>
        <v>4.248949411575853E-2</v>
      </c>
      <c r="P993" s="4">
        <f t="shared" ca="1" si="109"/>
        <v>-1.7224999699658536</v>
      </c>
      <c r="Q993" s="4">
        <f t="shared" ca="1" si="110"/>
        <v>1975.4473442767635</v>
      </c>
      <c r="R993" s="4">
        <f t="shared" ca="1" si="111"/>
        <v>51.777300276763526</v>
      </c>
      <c r="S993" s="4">
        <f t="shared" ca="1" si="112"/>
        <v>27.301483891695796</v>
      </c>
    </row>
    <row r="994" spans="15:19" x14ac:dyDescent="0.2">
      <c r="O994" s="4">
        <f t="shared" ca="1" si="108"/>
        <v>0.69244231299042369</v>
      </c>
      <c r="P994" s="4">
        <f t="shared" ca="1" si="109"/>
        <v>0.50278509501626978</v>
      </c>
      <c r="Q994" s="4">
        <f t="shared" ca="1" si="110"/>
        <v>1908.0324320335526</v>
      </c>
      <c r="R994" s="4">
        <f t="shared" ca="1" si="111"/>
        <v>-15.637611966447366</v>
      </c>
      <c r="S994" s="4">
        <f t="shared" ca="1" si="112"/>
        <v>-7.8163697106771277</v>
      </c>
    </row>
    <row r="995" spans="15:19" x14ac:dyDescent="0.2">
      <c r="O995" s="4">
        <f t="shared" ca="1" si="108"/>
        <v>0.25494506876620115</v>
      </c>
      <c r="P995" s="4">
        <f t="shared" ca="1" si="109"/>
        <v>-0.65900876918992135</v>
      </c>
      <c r="Q995" s="4">
        <f t="shared" ca="1" si="110"/>
        <v>1943.2289255671981</v>
      </c>
      <c r="R995" s="4">
        <f t="shared" ca="1" si="111"/>
        <v>19.558881567198114</v>
      </c>
      <c r="S995" s="4">
        <f t="shared" ca="1" si="112"/>
        <v>10.056621697205399</v>
      </c>
    </row>
    <row r="996" spans="15:19" x14ac:dyDescent="0.2">
      <c r="O996" s="4">
        <f t="shared" ca="1" si="108"/>
        <v>0.9399306076306837</v>
      </c>
      <c r="P996" s="4">
        <f t="shared" ca="1" si="109"/>
        <v>1.5541913309852926</v>
      </c>
      <c r="Q996" s="4">
        <f t="shared" ca="1" si="110"/>
        <v>1876.1801267962524</v>
      </c>
      <c r="R996" s="4">
        <f t="shared" ca="1" si="111"/>
        <v>-47.489917203747609</v>
      </c>
      <c r="S996" s="4">
        <f t="shared" ca="1" si="112"/>
        <v>-23.121801183471717</v>
      </c>
    </row>
    <row r="997" spans="15:19" x14ac:dyDescent="0.2">
      <c r="O997" s="4">
        <f t="shared" ca="1" si="108"/>
        <v>0.3387287341552695</v>
      </c>
      <c r="P997" s="4">
        <f t="shared" ca="1" si="109"/>
        <v>-0.4159351355014031</v>
      </c>
      <c r="Q997" s="4">
        <f t="shared" ca="1" si="110"/>
        <v>1935.8650206268298</v>
      </c>
      <c r="R997" s="4">
        <f t="shared" ca="1" si="111"/>
        <v>12.194976626829884</v>
      </c>
      <c r="S997" s="4">
        <f t="shared" ca="1" si="112"/>
        <v>6.2337549163749921</v>
      </c>
    </row>
    <row r="998" spans="15:19" x14ac:dyDescent="0.2">
      <c r="O998" s="4">
        <f t="shared" ca="1" si="108"/>
        <v>6.8351238297416295E-2</v>
      </c>
      <c r="P998" s="4">
        <f t="shared" ca="1" si="109"/>
        <v>-1.4881836169386198</v>
      </c>
      <c r="Q998" s="4">
        <f t="shared" ca="1" si="110"/>
        <v>1968.3487407652142</v>
      </c>
      <c r="R998" s="4">
        <f t="shared" ca="1" si="111"/>
        <v>44.678696765214227</v>
      </c>
      <c r="S998" s="4">
        <f t="shared" ca="1" si="112"/>
        <v>23.429379793061639</v>
      </c>
    </row>
    <row r="999" spans="15:19" x14ac:dyDescent="0.2">
      <c r="O999" s="4">
        <f t="shared" ca="1" si="108"/>
        <v>0.35089025215460701</v>
      </c>
      <c r="P999" s="4">
        <f t="shared" ca="1" si="109"/>
        <v>-0.38291808136919003</v>
      </c>
      <c r="Q999" s="4">
        <f t="shared" ca="1" si="110"/>
        <v>1934.8647704378186</v>
      </c>
      <c r="R999" s="4">
        <f t="shared" ca="1" si="111"/>
        <v>11.194726437818645</v>
      </c>
      <c r="S999" s="4">
        <f t="shared" ca="1" si="112"/>
        <v>5.7178948629181612</v>
      </c>
    </row>
    <row r="1000" spans="15:19" x14ac:dyDescent="0.2">
      <c r="O1000" s="4">
        <f t="shared" ca="1" si="108"/>
        <v>0.12972730275266153</v>
      </c>
      <c r="P1000" s="4">
        <f t="shared" ca="1" si="109"/>
        <v>-1.1276811399226081</v>
      </c>
      <c r="Q1000" s="4">
        <f t="shared" ca="1" si="110"/>
        <v>1957.4273342299623</v>
      </c>
      <c r="R1000" s="4">
        <f t="shared" ca="1" si="111"/>
        <v>33.757290229962337</v>
      </c>
      <c r="S1000" s="4">
        <f t="shared" ca="1" si="112"/>
        <v>17.55214859035037</v>
      </c>
    </row>
    <row r="1001" spans="15:19" x14ac:dyDescent="0.2">
      <c r="O1001" s="4">
        <f t="shared" ca="1" si="108"/>
        <v>4.2736606439080949E-2</v>
      </c>
      <c r="P1001" s="4">
        <f t="shared" ca="1" si="109"/>
        <v>-1.7197757465715986</v>
      </c>
      <c r="Q1001" s="4">
        <f t="shared" ca="1" si="110"/>
        <v>1975.3648140499874</v>
      </c>
      <c r="R1001" s="4">
        <f t="shared" ca="1" si="111"/>
        <v>51.694770049987483</v>
      </c>
      <c r="S1001" s="4">
        <f t="shared" ca="1" si="112"/>
        <v>27.256230084982153</v>
      </c>
    </row>
    <row r="1002" spans="15:19" x14ac:dyDescent="0.2">
      <c r="O1002" s="4">
        <f t="shared" ca="1" si="108"/>
        <v>0.48574936295096149</v>
      </c>
      <c r="P1002" s="4">
        <f t="shared" ca="1" si="109"/>
        <v>-3.5728649790399976E-2</v>
      </c>
      <c r="Q1002" s="4">
        <f t="shared" ca="1" si="110"/>
        <v>1924.346682023001</v>
      </c>
      <c r="R1002" s="4">
        <f t="shared" ca="1" si="111"/>
        <v>0.67663802300103271</v>
      </c>
      <c r="S1002" s="4">
        <f t="shared" ca="1" si="112"/>
        <v>0.34270716702159093</v>
      </c>
    </row>
    <row r="1003" spans="15:19" x14ac:dyDescent="0.2">
      <c r="O1003" s="4">
        <f t="shared" ca="1" si="108"/>
        <v>0.72585182178746344</v>
      </c>
      <c r="P1003" s="4">
        <f t="shared" ca="1" si="109"/>
        <v>0.60031495109880928</v>
      </c>
      <c r="Q1003" s="4">
        <f t="shared" ca="1" si="110"/>
        <v>1905.0777693737598</v>
      </c>
      <c r="R1003" s="4">
        <f t="shared" ca="1" si="111"/>
        <v>-18.592274626240169</v>
      </c>
      <c r="S1003" s="4">
        <f t="shared" ca="1" si="112"/>
        <v>-9.2708788168895992</v>
      </c>
    </row>
    <row r="1004" spans="15:19" x14ac:dyDescent="0.2">
      <c r="O1004" s="4">
        <f t="shared" ca="1" si="108"/>
        <v>0.50241781560712673</v>
      </c>
      <c r="P1004" s="4">
        <f t="shared" ca="1" si="109"/>
        <v>6.0606020653556593E-3</v>
      </c>
      <c r="Q1004" s="4">
        <f t="shared" ca="1" si="110"/>
        <v>1923.0806784934318</v>
      </c>
      <c r="R1004" s="4">
        <f t="shared" ca="1" si="111"/>
        <v>-0.58936550656812869</v>
      </c>
      <c r="S1004" s="4">
        <f t="shared" ca="1" si="112"/>
        <v>-0.29820119601648915</v>
      </c>
    </row>
    <row r="1005" spans="15:19" x14ac:dyDescent="0.2">
      <c r="O1005" s="4">
        <f t="shared" ca="1" si="108"/>
        <v>0.31902116128104496</v>
      </c>
      <c r="P1005" s="4">
        <f t="shared" ca="1" si="109"/>
        <v>-0.47043771697710923</v>
      </c>
      <c r="Q1005" s="4">
        <f t="shared" ca="1" si="110"/>
        <v>1937.5161739127761</v>
      </c>
      <c r="R1005" s="4">
        <f t="shared" ca="1" si="111"/>
        <v>13.846129912776178</v>
      </c>
      <c r="S1005" s="4">
        <f t="shared" ca="1" si="112"/>
        <v>7.0870879876329882</v>
      </c>
    </row>
    <row r="1006" spans="15:19" x14ac:dyDescent="0.2">
      <c r="O1006" s="4">
        <f t="shared" ca="1" si="108"/>
        <v>0.83549906193646561</v>
      </c>
      <c r="P1006" s="4">
        <f t="shared" ca="1" si="109"/>
        <v>0.97612630730427874</v>
      </c>
      <c r="Q1006" s="4">
        <f t="shared" ca="1" si="110"/>
        <v>1893.6925810231621</v>
      </c>
      <c r="R1006" s="4">
        <f t="shared" ca="1" si="111"/>
        <v>-29.977462976837842</v>
      </c>
      <c r="S1006" s="4">
        <f t="shared" ca="1" si="112"/>
        <v>-14.809073323089168</v>
      </c>
    </row>
    <row r="1007" spans="15:19" x14ac:dyDescent="0.2">
      <c r="O1007" s="4">
        <f t="shared" ca="1" si="108"/>
        <v>0.86867459543217185</v>
      </c>
      <c r="P1007" s="4">
        <f t="shared" ca="1" si="109"/>
        <v>1.120147741143064</v>
      </c>
      <c r="Q1007" s="4">
        <f t="shared" ca="1" si="110"/>
        <v>1889.3294580794231</v>
      </c>
      <c r="R1007" s="4">
        <f t="shared" ca="1" si="111"/>
        <v>-34.340585920576814</v>
      </c>
      <c r="S1007" s="4">
        <f t="shared" ca="1" si="112"/>
        <v>-16.903494052118585</v>
      </c>
    </row>
    <row r="1008" spans="15:19" x14ac:dyDescent="0.2">
      <c r="O1008" s="4">
        <f t="shared" ca="1" si="108"/>
        <v>0.14663026705307702</v>
      </c>
      <c r="P1008" s="4">
        <f t="shared" ca="1" si="109"/>
        <v>-1.0509957667294931</v>
      </c>
      <c r="Q1008" s="4">
        <f t="shared" ca="1" si="110"/>
        <v>1955.1041542538305</v>
      </c>
      <c r="R1008" s="4">
        <f t="shared" ca="1" si="111"/>
        <v>31.434110253830568</v>
      </c>
      <c r="S1008" s="4">
        <f t="shared" ca="1" si="112"/>
        <v>16.314480944791836</v>
      </c>
    </row>
    <row r="1009" spans="15:19" x14ac:dyDescent="0.2">
      <c r="O1009" s="4">
        <f t="shared" ca="1" si="108"/>
        <v>0.36630323956550837</v>
      </c>
      <c r="P1009" s="4">
        <f t="shared" ca="1" si="109"/>
        <v>-0.34166039687372335</v>
      </c>
      <c r="Q1009" s="4">
        <f t="shared" ca="1" si="110"/>
        <v>1933.6148707178281</v>
      </c>
      <c r="R1009" s="4">
        <f t="shared" ca="1" si="111"/>
        <v>9.944826717828164</v>
      </c>
      <c r="S1009" s="4">
        <f t="shared" ca="1" si="112"/>
        <v>5.0744276680258871</v>
      </c>
    </row>
    <row r="1010" spans="15:19" x14ac:dyDescent="0.2">
      <c r="O1010" s="4">
        <f t="shared" ca="1" si="108"/>
        <v>0.84381040808877195</v>
      </c>
      <c r="P1010" s="4">
        <f t="shared" ca="1" si="109"/>
        <v>1.0102423709053321</v>
      </c>
      <c r="Q1010" s="4">
        <f t="shared" ca="1" si="110"/>
        <v>1892.6590363910871</v>
      </c>
      <c r="R1010" s="4">
        <f t="shared" ca="1" si="111"/>
        <v>-31.011007608912905</v>
      </c>
      <c r="S1010" s="4">
        <f t="shared" ca="1" si="112"/>
        <v>-15.306604413019857</v>
      </c>
    </row>
    <row r="1011" spans="15:19" x14ac:dyDescent="0.2">
      <c r="O1011" s="4">
        <f t="shared" ca="1" si="108"/>
        <v>0.34433958358405881</v>
      </c>
      <c r="P1011" s="4">
        <f t="shared" ca="1" si="109"/>
        <v>-0.40064818115412093</v>
      </c>
      <c r="Q1011" s="4">
        <f t="shared" ca="1" si="110"/>
        <v>1935.4019030236045</v>
      </c>
      <c r="R1011" s="4">
        <f t="shared" ca="1" si="111"/>
        <v>11.731859023604557</v>
      </c>
      <c r="S1011" s="4">
        <f t="shared" ca="1" si="112"/>
        <v>5.994809540259971</v>
      </c>
    </row>
    <row r="1012" spans="15:19" x14ac:dyDescent="0.2">
      <c r="O1012" s="4">
        <f t="shared" ca="1" si="108"/>
        <v>0.45057960925352269</v>
      </c>
      <c r="P1012" s="4">
        <f t="shared" ca="1" si="109"/>
        <v>-0.12419709977292206</v>
      </c>
      <c r="Q1012" s="4">
        <f t="shared" ca="1" si="110"/>
        <v>1927.0268297873113</v>
      </c>
      <c r="R1012" s="4">
        <f t="shared" ca="1" si="111"/>
        <v>3.3567857873113098</v>
      </c>
      <c r="S1012" s="4">
        <f t="shared" ca="1" si="112"/>
        <v>1.7038247053771942</v>
      </c>
    </row>
    <row r="1013" spans="15:19" x14ac:dyDescent="0.2">
      <c r="O1013" s="4">
        <f t="shared" ca="1" si="108"/>
        <v>0.57847677510026951</v>
      </c>
      <c r="P1013" s="4">
        <f t="shared" ca="1" si="109"/>
        <v>0.19799822843231693</v>
      </c>
      <c r="Q1013" s="4">
        <f t="shared" ca="1" si="110"/>
        <v>1917.2659366244825</v>
      </c>
      <c r="R1013" s="4">
        <f t="shared" ca="1" si="111"/>
        <v>-6.4041073755174693</v>
      </c>
      <c r="S1013" s="4">
        <f t="shared" ca="1" si="112"/>
        <v>-3.2251269173367558</v>
      </c>
    </row>
    <row r="1014" spans="15:19" x14ac:dyDescent="0.2">
      <c r="O1014" s="4">
        <f t="shared" ca="1" si="108"/>
        <v>0.19843553963307914</v>
      </c>
      <c r="P1014" s="4">
        <f t="shared" ca="1" si="109"/>
        <v>-0.84722256335533053</v>
      </c>
      <c r="Q1014" s="4">
        <f t="shared" ca="1" si="110"/>
        <v>1948.9308541049356</v>
      </c>
      <c r="R1014" s="4">
        <f t="shared" ca="1" si="111"/>
        <v>25.260810104935672</v>
      </c>
      <c r="S1014" s="4">
        <f t="shared" ca="1" si="112"/>
        <v>13.047023846447701</v>
      </c>
    </row>
    <row r="1015" spans="15:19" x14ac:dyDescent="0.2">
      <c r="O1015" s="4">
        <f t="shared" ca="1" si="108"/>
        <v>0.28900575561040576</v>
      </c>
      <c r="P1015" s="4">
        <f t="shared" ca="1" si="109"/>
        <v>-0.55629162541803934</v>
      </c>
      <c r="Q1015" s="4">
        <f t="shared" ca="1" si="110"/>
        <v>1940.1171142571668</v>
      </c>
      <c r="R1015" s="4">
        <f t="shared" ca="1" si="111"/>
        <v>16.447070257166843</v>
      </c>
      <c r="S1015" s="4">
        <f t="shared" ca="1" si="112"/>
        <v>8.435782778517968</v>
      </c>
    </row>
    <row r="1016" spans="15:19" x14ac:dyDescent="0.2">
      <c r="O1016" s="4">
        <f t="shared" ca="1" si="108"/>
        <v>0.90490212944473081</v>
      </c>
      <c r="P1016" s="4">
        <f t="shared" ca="1" si="109"/>
        <v>1.3100002792839693</v>
      </c>
      <c r="Q1016" s="4">
        <f t="shared" ca="1" si="110"/>
        <v>1883.5778838657063</v>
      </c>
      <c r="R1016" s="4">
        <f t="shared" ca="1" si="111"/>
        <v>-40.092160134293636</v>
      </c>
      <c r="S1016" s="4">
        <f t="shared" ca="1" si="112"/>
        <v>-19.640728695927685</v>
      </c>
    </row>
    <row r="1017" spans="15:19" x14ac:dyDescent="0.2">
      <c r="O1017" s="4">
        <f t="shared" ca="1" si="108"/>
        <v>0.83054284868200712</v>
      </c>
      <c r="P1017" s="4">
        <f t="shared" ca="1" si="109"/>
        <v>0.95631264627302859</v>
      </c>
      <c r="Q1017" s="4">
        <f t="shared" ca="1" si="110"/>
        <v>1894.2928350043971</v>
      </c>
      <c r="R1017" s="4">
        <f t="shared" ca="1" si="111"/>
        <v>-29.377208995602814</v>
      </c>
      <c r="S1017" s="4">
        <f t="shared" ca="1" si="112"/>
        <v>-14.519721891132562</v>
      </c>
    </row>
    <row r="1018" spans="15:19" x14ac:dyDescent="0.2">
      <c r="O1018" s="4">
        <f t="shared" ca="1" si="108"/>
        <v>0.77242598916259209</v>
      </c>
      <c r="P1018" s="4">
        <f t="shared" ca="1" si="109"/>
        <v>0.74686008549023897</v>
      </c>
      <c r="Q1018" s="4">
        <f t="shared" ca="1" si="110"/>
        <v>1900.6381910338282</v>
      </c>
      <c r="R1018" s="4">
        <f t="shared" ca="1" si="111"/>
        <v>-23.031852966171755</v>
      </c>
      <c r="S1018" s="4">
        <f t="shared" ca="1" si="112"/>
        <v>-11.443013080204572</v>
      </c>
    </row>
    <row r="1019" spans="15:19" x14ac:dyDescent="0.2">
      <c r="O1019" s="4">
        <f t="shared" ca="1" si="108"/>
        <v>0.94146303952032617</v>
      </c>
      <c r="P1019" s="4">
        <f t="shared" ca="1" si="109"/>
        <v>1.5671744494696527</v>
      </c>
      <c r="Q1019" s="4">
        <f t="shared" ca="1" si="110"/>
        <v>1875.7868037982059</v>
      </c>
      <c r="R1019" s="4">
        <f t="shared" ca="1" si="111"/>
        <v>-47.883240201794024</v>
      </c>
      <c r="S1019" s="4">
        <f t="shared" ca="1" si="112"/>
        <v>-23.305634971142187</v>
      </c>
    </row>
    <row r="1020" spans="15:19" x14ac:dyDescent="0.2">
      <c r="O1020" s="4">
        <f t="shared" ca="1" si="108"/>
        <v>0.80277418407443413</v>
      </c>
      <c r="P1020" s="4">
        <f t="shared" ca="1" si="109"/>
        <v>0.85157209711512039</v>
      </c>
      <c r="Q1020" s="4">
        <f t="shared" ca="1" si="110"/>
        <v>1897.4659452907606</v>
      </c>
      <c r="R1020" s="4">
        <f t="shared" ca="1" si="111"/>
        <v>-26.204098709239361</v>
      </c>
      <c r="S1020" s="4">
        <f t="shared" ca="1" si="112"/>
        <v>-12.985255399916687</v>
      </c>
    </row>
    <row r="1021" spans="15:19" x14ac:dyDescent="0.2">
      <c r="O1021" s="4">
        <f t="shared" ca="1" si="108"/>
        <v>0.75964941964489219</v>
      </c>
      <c r="P1021" s="4">
        <f t="shared" ca="1" si="109"/>
        <v>0.70517528364948023</v>
      </c>
      <c r="Q1021" s="4">
        <f t="shared" ca="1" si="110"/>
        <v>1901.9010302548309</v>
      </c>
      <c r="R1021" s="4">
        <f t="shared" ca="1" si="111"/>
        <v>-21.769013745169104</v>
      </c>
      <c r="S1021" s="4">
        <f t="shared" ca="1" si="112"/>
        <v>-10.826781964365949</v>
      </c>
    </row>
    <row r="1022" spans="15:19" x14ac:dyDescent="0.2">
      <c r="O1022" s="4">
        <f t="shared" ca="1" si="108"/>
        <v>0.56843270327435835</v>
      </c>
      <c r="P1022" s="4">
        <f t="shared" ca="1" si="109"/>
        <v>0.17238534405466985</v>
      </c>
      <c r="Q1022" s="4">
        <f t="shared" ca="1" si="110"/>
        <v>1918.0418778195171</v>
      </c>
      <c r="R1022" s="4">
        <f t="shared" ca="1" si="111"/>
        <v>-5.6281661804828218</v>
      </c>
      <c r="S1022" s="4">
        <f t="shared" ca="1" si="112"/>
        <v>-2.8361384195001791</v>
      </c>
    </row>
    <row r="1023" spans="15:19" x14ac:dyDescent="0.2">
      <c r="O1023" s="4">
        <f t="shared" ca="1" si="108"/>
        <v>0.82058965471729395</v>
      </c>
      <c r="P1023" s="4">
        <f t="shared" ca="1" si="109"/>
        <v>0.91761456368262506</v>
      </c>
      <c r="Q1023" s="4">
        <f t="shared" ca="1" si="110"/>
        <v>1895.4651916983173</v>
      </c>
      <c r="R1023" s="4">
        <f t="shared" ca="1" si="111"/>
        <v>-28.204852301682649</v>
      </c>
      <c r="S1023" s="4">
        <f t="shared" ca="1" si="112"/>
        <v>-13.953743355758645</v>
      </c>
    </row>
    <row r="1024" spans="15:19" x14ac:dyDescent="0.2">
      <c r="O1024" s="4">
        <f t="shared" ca="1" si="108"/>
        <v>0.40408365286024928</v>
      </c>
      <c r="P1024" s="4">
        <f t="shared" ca="1" si="109"/>
        <v>-0.24279100289462544</v>
      </c>
      <c r="Q1024" s="4">
        <f t="shared" ca="1" si="110"/>
        <v>1930.6196268169331</v>
      </c>
      <c r="R1024" s="4">
        <f t="shared" ca="1" si="111"/>
        <v>6.9495828169331162</v>
      </c>
      <c r="S1024" s="4">
        <f t="shared" ca="1" si="112"/>
        <v>3.5376069932537066</v>
      </c>
    </row>
    <row r="1025" spans="15:19" x14ac:dyDescent="0.2">
      <c r="O1025" s="4">
        <f t="shared" ca="1" si="108"/>
        <v>0.12612947299640787</v>
      </c>
      <c r="P1025" s="4">
        <f t="shared" ca="1" si="109"/>
        <v>-1.1448798162966292</v>
      </c>
      <c r="Q1025" s="4">
        <f t="shared" ca="1" si="110"/>
        <v>1957.9483673671091</v>
      </c>
      <c r="R1025" s="4">
        <f t="shared" ca="1" si="111"/>
        <v>34.278323367109124</v>
      </c>
      <c r="S1025" s="4">
        <f t="shared" ca="1" si="112"/>
        <v>17.830330787154541</v>
      </c>
    </row>
    <row r="1026" spans="15:19" x14ac:dyDescent="0.2">
      <c r="O1026" s="4">
        <f t="shared" ca="1" si="108"/>
        <v>0.26211433324395339</v>
      </c>
      <c r="P1026" s="4">
        <f t="shared" ca="1" si="109"/>
        <v>-0.63684061676919834</v>
      </c>
      <c r="Q1026" s="4">
        <f t="shared" ca="1" si="110"/>
        <v>1942.5573423738558</v>
      </c>
      <c r="R1026" s="4">
        <f t="shared" ca="1" si="111"/>
        <v>18.887298373855856</v>
      </c>
      <c r="S1026" s="4">
        <f t="shared" ca="1" si="112"/>
        <v>9.7061492572698267</v>
      </c>
    </row>
    <row r="1027" spans="15:19" x14ac:dyDescent="0.2">
      <c r="O1027" s="4">
        <f t="shared" ref="O1027:O1090" ca="1" si="113">RAND()</f>
        <v>0.79795202435202295</v>
      </c>
      <c r="P1027" s="4">
        <f t="shared" ref="P1027:P1090" ca="1" si="114">NORMSINV(O1027)</f>
        <v>0.83432840187022039</v>
      </c>
      <c r="Q1027" s="4">
        <f t="shared" ref="Q1027:Q1090" ca="1" si="115">$B$4*(1+$B$17-$B$6/SQRT(252)*P1027)</f>
        <v>1897.988342272602</v>
      </c>
      <c r="R1027" s="4">
        <f t="shared" ref="R1027:R1090" ca="1" si="116">Q1027-$B$4</f>
        <v>-25.681701727397922</v>
      </c>
      <c r="S1027" s="4">
        <f t="shared" ref="S1027:S1090" ca="1" si="117">R1027*$B$12+0.5*$B$13*R1027^2</f>
        <v>-12.731846536360205</v>
      </c>
    </row>
    <row r="1028" spans="15:19" x14ac:dyDescent="0.2">
      <c r="O1028" s="4">
        <f t="shared" ca="1" si="113"/>
        <v>7.6622132033789869E-2</v>
      </c>
      <c r="P1028" s="4">
        <f t="shared" ca="1" si="114"/>
        <v>-1.4281653753383077</v>
      </c>
      <c r="Q1028" s="4">
        <f t="shared" ca="1" si="115"/>
        <v>1966.5304908006824</v>
      </c>
      <c r="R1028" s="4">
        <f t="shared" ca="1" si="116"/>
        <v>42.860446800682439</v>
      </c>
      <c r="S1028" s="4">
        <f t="shared" ca="1" si="117"/>
        <v>22.444171438718527</v>
      </c>
    </row>
    <row r="1029" spans="15:19" x14ac:dyDescent="0.2">
      <c r="O1029" s="4">
        <f t="shared" ca="1" si="113"/>
        <v>0.50234326917322258</v>
      </c>
      <c r="P1029" s="4">
        <f t="shared" ca="1" si="114"/>
        <v>5.8737385392802514E-3</v>
      </c>
      <c r="Q1029" s="4">
        <f t="shared" ca="1" si="115"/>
        <v>1923.0863395156578</v>
      </c>
      <c r="R1029" s="4">
        <f t="shared" ca="1" si="116"/>
        <v>-0.58370448434220634</v>
      </c>
      <c r="S1029" s="4">
        <f t="shared" ca="1" si="117"/>
        <v>-0.29533823437180573</v>
      </c>
    </row>
    <row r="1030" spans="15:19" x14ac:dyDescent="0.2">
      <c r="O1030" s="4">
        <f t="shared" ca="1" si="113"/>
        <v>0.92713629268448716</v>
      </c>
      <c r="P1030" s="4">
        <f t="shared" ca="1" si="114"/>
        <v>1.4547899741093919</v>
      </c>
      <c r="Q1030" s="4">
        <f t="shared" ca="1" si="115"/>
        <v>1879.1914864894873</v>
      </c>
      <c r="R1030" s="4">
        <f t="shared" ca="1" si="116"/>
        <v>-44.478557510512701</v>
      </c>
      <c r="S1030" s="4">
        <f t="shared" ca="1" si="117"/>
        <v>-21.710159297075716</v>
      </c>
    </row>
    <row r="1031" spans="15:19" x14ac:dyDescent="0.2">
      <c r="O1031" s="4">
        <f t="shared" ca="1" si="113"/>
        <v>0.90760379525706714</v>
      </c>
      <c r="P1031" s="4">
        <f t="shared" ca="1" si="114"/>
        <v>1.3261427761993665</v>
      </c>
      <c r="Q1031" s="4">
        <f t="shared" ca="1" si="115"/>
        <v>1883.088847638365</v>
      </c>
      <c r="R1031" s="4">
        <f t="shared" ca="1" si="116"/>
        <v>-40.581196361634966</v>
      </c>
      <c r="S1031" s="4">
        <f t="shared" ca="1" si="117"/>
        <v>-19.872223850244051</v>
      </c>
    </row>
    <row r="1032" spans="15:19" x14ac:dyDescent="0.2">
      <c r="O1032" s="4">
        <f t="shared" ca="1" si="113"/>
        <v>0.58148565686262033</v>
      </c>
      <c r="P1032" s="4">
        <f t="shared" ca="1" si="114"/>
        <v>0.20569561214219154</v>
      </c>
      <c r="Q1032" s="4">
        <f t="shared" ca="1" si="115"/>
        <v>1917.032744726748</v>
      </c>
      <c r="R1032" s="4">
        <f t="shared" ca="1" si="116"/>
        <v>-6.6372992732519833</v>
      </c>
      <c r="S1032" s="4">
        <f t="shared" ca="1" si="117"/>
        <v>-3.3419329813379179</v>
      </c>
    </row>
    <row r="1033" spans="15:19" x14ac:dyDescent="0.2">
      <c r="O1033" s="4">
        <f t="shared" ca="1" si="113"/>
        <v>0.49680373342494499</v>
      </c>
      <c r="P1033" s="4">
        <f t="shared" ca="1" si="114"/>
        <v>-8.0119378853815461E-3</v>
      </c>
      <c r="Q1033" s="4">
        <f t="shared" ca="1" si="115"/>
        <v>1923.5070054664327</v>
      </c>
      <c r="R1033" s="4">
        <f t="shared" ca="1" si="116"/>
        <v>-0.16303853356725995</v>
      </c>
      <c r="S1033" s="4">
        <f t="shared" ca="1" si="117"/>
        <v>-8.252088210232493E-2</v>
      </c>
    </row>
    <row r="1034" spans="15:19" x14ac:dyDescent="0.2">
      <c r="O1034" s="4">
        <f t="shared" ca="1" si="113"/>
        <v>0.66898099438062952</v>
      </c>
      <c r="P1034" s="4">
        <f t="shared" ca="1" si="114"/>
        <v>0.43710112531364187</v>
      </c>
      <c r="Q1034" s="4">
        <f t="shared" ca="1" si="115"/>
        <v>1910.0223249793914</v>
      </c>
      <c r="R1034" s="4">
        <f t="shared" ca="1" si="116"/>
        <v>-13.64771902060852</v>
      </c>
      <c r="S1034" s="4">
        <f t="shared" ca="1" si="117"/>
        <v>-6.8327882369210542</v>
      </c>
    </row>
    <row r="1035" spans="15:19" x14ac:dyDescent="0.2">
      <c r="O1035" s="4">
        <f t="shared" ca="1" si="113"/>
        <v>0.87314654079898946</v>
      </c>
      <c r="P1035" s="4">
        <f t="shared" ca="1" si="114"/>
        <v>1.141391793051046</v>
      </c>
      <c r="Q1035" s="4">
        <f t="shared" ca="1" si="115"/>
        <v>1888.6858704700853</v>
      </c>
      <c r="R1035" s="4">
        <f t="shared" ca="1" si="116"/>
        <v>-34.984173529914642</v>
      </c>
      <c r="S1035" s="4">
        <f t="shared" ca="1" si="117"/>
        <v>-17.211122376856959</v>
      </c>
    </row>
    <row r="1036" spans="15:19" x14ac:dyDescent="0.2">
      <c r="O1036" s="4">
        <f t="shared" ca="1" si="113"/>
        <v>0.29592556870629516</v>
      </c>
      <c r="P1036" s="4">
        <f t="shared" ca="1" si="114"/>
        <v>-0.53615542488546708</v>
      </c>
      <c r="Q1036" s="4">
        <f t="shared" ca="1" si="115"/>
        <v>1939.5070889560598</v>
      </c>
      <c r="R1036" s="4">
        <f t="shared" ca="1" si="116"/>
        <v>15.837044956059799</v>
      </c>
      <c r="S1036" s="4">
        <f t="shared" ca="1" si="117"/>
        <v>8.1189651228857862</v>
      </c>
    </row>
    <row r="1037" spans="15:19" x14ac:dyDescent="0.2">
      <c r="O1037" s="4">
        <f t="shared" ca="1" si="113"/>
        <v>0.64280142521239969</v>
      </c>
      <c r="P1037" s="4">
        <f t="shared" ca="1" si="114"/>
        <v>0.36595701688646975</v>
      </c>
      <c r="Q1037" s="4">
        <f t="shared" ca="1" si="115"/>
        <v>1912.1776325854657</v>
      </c>
      <c r="R1037" s="4">
        <f t="shared" ca="1" si="116"/>
        <v>-11.492411414534217</v>
      </c>
      <c r="S1037" s="4">
        <f t="shared" ca="1" si="117"/>
        <v>-5.7638073454067404</v>
      </c>
    </row>
    <row r="1038" spans="15:19" x14ac:dyDescent="0.2">
      <c r="O1038" s="4">
        <f t="shared" ca="1" si="113"/>
        <v>0.6948394881904022</v>
      </c>
      <c r="P1038" s="4">
        <f t="shared" ca="1" si="114"/>
        <v>0.50961527028958908</v>
      </c>
      <c r="Q1038" s="4">
        <f t="shared" ca="1" si="115"/>
        <v>1907.8255121769005</v>
      </c>
      <c r="R1038" s="4">
        <f t="shared" ca="1" si="116"/>
        <v>-15.844531823099487</v>
      </c>
      <c r="S1038" s="4">
        <f t="shared" ca="1" si="117"/>
        <v>-7.9184628056822444</v>
      </c>
    </row>
    <row r="1039" spans="15:19" x14ac:dyDescent="0.2">
      <c r="O1039" s="4">
        <f t="shared" ca="1" si="113"/>
        <v>0.29484781640326585</v>
      </c>
      <c r="P1039" s="4">
        <f t="shared" ca="1" si="114"/>
        <v>-0.53927715039344071</v>
      </c>
      <c r="Q1039" s="4">
        <f t="shared" ca="1" si="115"/>
        <v>1939.6016614917226</v>
      </c>
      <c r="R1039" s="4">
        <f t="shared" ca="1" si="116"/>
        <v>15.931617491722591</v>
      </c>
      <c r="S1039" s="4">
        <f t="shared" ca="1" si="117"/>
        <v>8.1680616830377542</v>
      </c>
    </row>
    <row r="1040" spans="15:19" x14ac:dyDescent="0.2">
      <c r="O1040" s="4">
        <f t="shared" ca="1" si="113"/>
        <v>0.89398518704231267</v>
      </c>
      <c r="P1040" s="4">
        <f t="shared" ca="1" si="114"/>
        <v>1.2480039083455052</v>
      </c>
      <c r="Q1040" s="4">
        <f t="shared" ca="1" si="115"/>
        <v>1885.4560611707107</v>
      </c>
      <c r="R1040" s="4">
        <f t="shared" ca="1" si="116"/>
        <v>-38.213982829289307</v>
      </c>
      <c r="S1040" s="4">
        <f t="shared" ca="1" si="117"/>
        <v>-18.749845766755492</v>
      </c>
    </row>
    <row r="1041" spans="15:19" x14ac:dyDescent="0.2">
      <c r="O1041" s="4">
        <f t="shared" ca="1" si="113"/>
        <v>0.50232464178130332</v>
      </c>
      <c r="P1041" s="4">
        <f t="shared" ca="1" si="114"/>
        <v>5.827045792936995E-3</v>
      </c>
      <c r="Q1041" s="4">
        <f t="shared" ca="1" si="115"/>
        <v>1923.0877540703352</v>
      </c>
      <c r="R1041" s="4">
        <f t="shared" ca="1" si="116"/>
        <v>-0.58228992966473925</v>
      </c>
      <c r="S1041" s="4">
        <f t="shared" ca="1" si="117"/>
        <v>-0.29462284434350178</v>
      </c>
    </row>
    <row r="1042" spans="15:19" x14ac:dyDescent="0.2">
      <c r="O1042" s="4">
        <f t="shared" ca="1" si="113"/>
        <v>0.22310157023113875</v>
      </c>
      <c r="P1042" s="4">
        <f t="shared" ca="1" si="114"/>
        <v>-0.76176019662087013</v>
      </c>
      <c r="Q1042" s="4">
        <f t="shared" ca="1" si="115"/>
        <v>1946.3417754991585</v>
      </c>
      <c r="R1042" s="4">
        <f t="shared" ca="1" si="116"/>
        <v>22.671731499158568</v>
      </c>
      <c r="S1042" s="4">
        <f t="shared" ca="1" si="117"/>
        <v>11.685889150411533</v>
      </c>
    </row>
    <row r="1043" spans="15:19" x14ac:dyDescent="0.2">
      <c r="O1043" s="4">
        <f t="shared" ca="1" si="113"/>
        <v>0.38688980068230039</v>
      </c>
      <c r="P1043" s="4">
        <f t="shared" ca="1" si="114"/>
        <v>-0.28743456091922842</v>
      </c>
      <c r="Q1043" s="4">
        <f t="shared" ca="1" si="115"/>
        <v>1931.9721014251595</v>
      </c>
      <c r="R1043" s="4">
        <f t="shared" ca="1" si="116"/>
        <v>8.3020574251595463</v>
      </c>
      <c r="S1043" s="4">
        <f t="shared" ca="1" si="117"/>
        <v>4.2306396899071999</v>
      </c>
    </row>
    <row r="1044" spans="15:19" x14ac:dyDescent="0.2">
      <c r="O1044" s="4">
        <f t="shared" ca="1" si="113"/>
        <v>0.54493408484973882</v>
      </c>
      <c r="P1044" s="4">
        <f t="shared" ca="1" si="114"/>
        <v>0.11287225845066419</v>
      </c>
      <c r="Q1044" s="4">
        <f t="shared" ca="1" si="115"/>
        <v>1919.8448241055692</v>
      </c>
      <c r="R1044" s="4">
        <f t="shared" ca="1" si="116"/>
        <v>-3.825219894430802</v>
      </c>
      <c r="S1044" s="4">
        <f t="shared" ca="1" si="117"/>
        <v>-1.9304074162489129</v>
      </c>
    </row>
    <row r="1045" spans="15:19" x14ac:dyDescent="0.2">
      <c r="O1045" s="4">
        <f t="shared" ca="1" si="113"/>
        <v>0.65501878657456869</v>
      </c>
      <c r="P1045" s="4">
        <f t="shared" ca="1" si="114"/>
        <v>0.39890605586389632</v>
      </c>
      <c r="Q1045" s="4">
        <f t="shared" ca="1" si="115"/>
        <v>1911.1794429125489</v>
      </c>
      <c r="R1045" s="4">
        <f t="shared" ca="1" si="116"/>
        <v>-12.490601087451068</v>
      </c>
      <c r="S1045" s="4">
        <f t="shared" ca="1" si="117"/>
        <v>-6.2593556624449169</v>
      </c>
    </row>
    <row r="1046" spans="15:19" x14ac:dyDescent="0.2">
      <c r="O1046" s="4">
        <f t="shared" ca="1" si="113"/>
        <v>0.72014021070955392</v>
      </c>
      <c r="P1046" s="4">
        <f t="shared" ca="1" si="114"/>
        <v>0.58325807890136017</v>
      </c>
      <c r="Q1046" s="4">
        <f t="shared" ca="1" si="115"/>
        <v>1905.5945065596736</v>
      </c>
      <c r="R1046" s="4">
        <f t="shared" ca="1" si="116"/>
        <v>-18.075537440326343</v>
      </c>
      <c r="S1046" s="4">
        <f t="shared" ca="1" si="117"/>
        <v>-9.0170143858136385</v>
      </c>
    </row>
    <row r="1047" spans="15:19" x14ac:dyDescent="0.2">
      <c r="O1047" s="4">
        <f t="shared" ca="1" si="113"/>
        <v>0.17479907597311906</v>
      </c>
      <c r="P1047" s="4">
        <f t="shared" ca="1" si="114"/>
        <v>-0.93536902942164057</v>
      </c>
      <c r="Q1047" s="4">
        <f t="shared" ca="1" si="115"/>
        <v>1951.6012473808</v>
      </c>
      <c r="R1047" s="4">
        <f t="shared" ca="1" si="116"/>
        <v>27.931203380800071</v>
      </c>
      <c r="S1047" s="4">
        <f t="shared" ca="1" si="117"/>
        <v>14.456624655234471</v>
      </c>
    </row>
    <row r="1048" spans="15:19" x14ac:dyDescent="0.2">
      <c r="O1048" s="4">
        <f t="shared" ca="1" si="113"/>
        <v>0.26206348924653389</v>
      </c>
      <c r="P1048" s="4">
        <f t="shared" ca="1" si="114"/>
        <v>-0.63699672246270944</v>
      </c>
      <c r="Q1048" s="4">
        <f t="shared" ca="1" si="115"/>
        <v>1942.5620715889099</v>
      </c>
      <c r="R1048" s="4">
        <f t="shared" ca="1" si="116"/>
        <v>18.892027588909968</v>
      </c>
      <c r="S1048" s="4">
        <f t="shared" ca="1" si="117"/>
        <v>9.7086159619094872</v>
      </c>
    </row>
    <row r="1049" spans="15:19" x14ac:dyDescent="0.2">
      <c r="O1049" s="4">
        <f t="shared" ca="1" si="113"/>
        <v>0.31412622602820139</v>
      </c>
      <c r="P1049" s="4">
        <f t="shared" ca="1" si="114"/>
        <v>-0.48418800055264327</v>
      </c>
      <c r="Q1049" s="4">
        <f t="shared" ca="1" si="115"/>
        <v>1937.9327381431983</v>
      </c>
      <c r="R1049" s="4">
        <f t="shared" ca="1" si="116"/>
        <v>14.26269414319836</v>
      </c>
      <c r="S1049" s="4">
        <f t="shared" ca="1" si="117"/>
        <v>7.3027233080320881</v>
      </c>
    </row>
    <row r="1050" spans="15:19" x14ac:dyDescent="0.2">
      <c r="O1050" s="4">
        <f t="shared" ca="1" si="113"/>
        <v>0.93666377392243216</v>
      </c>
      <c r="P1050" s="4">
        <f t="shared" ca="1" si="114"/>
        <v>1.5273562380860011</v>
      </c>
      <c r="Q1050" s="4">
        <f t="shared" ca="1" si="115"/>
        <v>1876.9930947441851</v>
      </c>
      <c r="R1050" s="4">
        <f t="shared" ca="1" si="116"/>
        <v>-46.676949255814861</v>
      </c>
      <c r="S1050" s="4">
        <f t="shared" ca="1" si="117"/>
        <v>-22.741431885020091</v>
      </c>
    </row>
    <row r="1051" spans="15:19" x14ac:dyDescent="0.2">
      <c r="O1051" s="4">
        <f t="shared" ca="1" si="113"/>
        <v>3.8441913301763941E-2</v>
      </c>
      <c r="P1051" s="4">
        <f t="shared" ca="1" si="114"/>
        <v>-1.7690602135240046</v>
      </c>
      <c r="Q1051" s="4">
        <f t="shared" ca="1" si="115"/>
        <v>1976.8578847881297</v>
      </c>
      <c r="R1051" s="4">
        <f t="shared" ca="1" si="116"/>
        <v>53.187840788129733</v>
      </c>
      <c r="S1051" s="4">
        <f t="shared" ca="1" si="117"/>
        <v>28.075783000642435</v>
      </c>
    </row>
    <row r="1052" spans="15:19" x14ac:dyDescent="0.2">
      <c r="O1052" s="4">
        <f t="shared" ca="1" si="113"/>
        <v>0.58021274655551514</v>
      </c>
      <c r="P1052" s="4">
        <f t="shared" ca="1" si="114"/>
        <v>0.20243776554870621</v>
      </c>
      <c r="Q1052" s="4">
        <f t="shared" ca="1" si="115"/>
        <v>1917.1314410446525</v>
      </c>
      <c r="R1052" s="4">
        <f t="shared" ca="1" si="116"/>
        <v>-6.5386029553474145</v>
      </c>
      <c r="S1052" s="4">
        <f t="shared" ca="1" si="117"/>
        <v>-3.2925012966208249</v>
      </c>
    </row>
    <row r="1053" spans="15:19" x14ac:dyDescent="0.2">
      <c r="O1053" s="4">
        <f t="shared" ca="1" si="113"/>
        <v>0.54673438262365026</v>
      </c>
      <c r="P1053" s="4">
        <f t="shared" ca="1" si="114"/>
        <v>0.11741495363031972</v>
      </c>
      <c r="Q1053" s="4">
        <f t="shared" ca="1" si="115"/>
        <v>1919.7072033567927</v>
      </c>
      <c r="R1053" s="4">
        <f t="shared" ca="1" si="116"/>
        <v>-3.9628406432073007</v>
      </c>
      <c r="S1053" s="4">
        <f t="shared" ca="1" si="117"/>
        <v>-1.9996360909856068</v>
      </c>
    </row>
    <row r="1054" spans="15:19" x14ac:dyDescent="0.2">
      <c r="O1054" s="4">
        <f t="shared" ca="1" si="113"/>
        <v>0.22756336628811036</v>
      </c>
      <c r="P1054" s="4">
        <f t="shared" ca="1" si="114"/>
        <v>-0.74689535079646696</v>
      </c>
      <c r="Q1054" s="4">
        <f t="shared" ca="1" si="115"/>
        <v>1945.8914456548923</v>
      </c>
      <c r="R1054" s="4">
        <f t="shared" ca="1" si="116"/>
        <v>22.221401654892361</v>
      </c>
      <c r="S1054" s="4">
        <f t="shared" ca="1" si="117"/>
        <v>11.449698168700278</v>
      </c>
    </row>
    <row r="1055" spans="15:19" x14ac:dyDescent="0.2">
      <c r="O1055" s="4">
        <f t="shared" ca="1" si="113"/>
        <v>4.5765673602508938E-2</v>
      </c>
      <c r="P1055" s="4">
        <f t="shared" ca="1" si="114"/>
        <v>-1.6873745869492283</v>
      </c>
      <c r="Q1055" s="4">
        <f t="shared" ca="1" si="115"/>
        <v>1974.3832223578065</v>
      </c>
      <c r="R1055" s="4">
        <f t="shared" ca="1" si="116"/>
        <v>50.713178357806555</v>
      </c>
      <c r="S1055" s="4">
        <f t="shared" ca="1" si="117"/>
        <v>26.718419020950847</v>
      </c>
    </row>
    <row r="1056" spans="15:19" x14ac:dyDescent="0.2">
      <c r="O1056" s="4">
        <f t="shared" ca="1" si="113"/>
        <v>0.94874481991048598</v>
      </c>
      <c r="P1056" s="4">
        <f t="shared" ca="1" si="114"/>
        <v>1.6328033600484892</v>
      </c>
      <c r="Q1056" s="4">
        <f t="shared" ca="1" si="115"/>
        <v>1873.7985788660778</v>
      </c>
      <c r="R1056" s="4">
        <f t="shared" ca="1" si="116"/>
        <v>-49.871465133922129</v>
      </c>
      <c r="S1056" s="4">
        <f t="shared" ca="1" si="117"/>
        <v>-24.232976606313063</v>
      </c>
    </row>
    <row r="1057" spans="15:19" x14ac:dyDescent="0.2">
      <c r="O1057" s="4">
        <f t="shared" ca="1" si="113"/>
        <v>0.8907182201852909</v>
      </c>
      <c r="P1057" s="4">
        <f t="shared" ca="1" si="114"/>
        <v>1.2303567020713755</v>
      </c>
      <c r="Q1057" s="4">
        <f t="shared" ca="1" si="115"/>
        <v>1885.990682501267</v>
      </c>
      <c r="R1057" s="4">
        <f t="shared" ca="1" si="116"/>
        <v>-37.679361498732987</v>
      </c>
      <c r="S1057" s="4">
        <f t="shared" ca="1" si="117"/>
        <v>-18.495731721136302</v>
      </c>
    </row>
    <row r="1058" spans="15:19" x14ac:dyDescent="0.2">
      <c r="O1058" s="4">
        <f t="shared" ca="1" si="113"/>
        <v>4.5418252976907381E-2</v>
      </c>
      <c r="P1058" s="4">
        <f t="shared" ca="1" si="114"/>
        <v>-1.69100155347112</v>
      </c>
      <c r="Q1058" s="4">
        <f t="shared" ca="1" si="115"/>
        <v>1974.4931011475535</v>
      </c>
      <c r="R1058" s="4">
        <f t="shared" ca="1" si="116"/>
        <v>50.823057147553527</v>
      </c>
      <c r="S1058" s="4">
        <f t="shared" ca="1" si="117"/>
        <v>26.778582281122194</v>
      </c>
    </row>
    <row r="1059" spans="15:19" x14ac:dyDescent="0.2">
      <c r="O1059" s="4">
        <f t="shared" ca="1" si="113"/>
        <v>0.72951465884595401</v>
      </c>
      <c r="P1059" s="4">
        <f t="shared" ca="1" si="114"/>
        <v>0.61134579082258633</v>
      </c>
      <c r="Q1059" s="4">
        <f t="shared" ca="1" si="115"/>
        <v>1904.7435905740861</v>
      </c>
      <c r="R1059" s="4">
        <f t="shared" ca="1" si="116"/>
        <v>-18.926453425913905</v>
      </c>
      <c r="S1059" s="4">
        <f t="shared" ca="1" si="117"/>
        <v>-9.4349395794376552</v>
      </c>
    </row>
    <row r="1060" spans="15:19" x14ac:dyDescent="0.2">
      <c r="O1060" s="4">
        <f t="shared" ca="1" si="113"/>
        <v>0.59780659724071872</v>
      </c>
      <c r="P1060" s="4">
        <f t="shared" ca="1" si="114"/>
        <v>0.24767379925788291</v>
      </c>
      <c r="Q1060" s="4">
        <f t="shared" ca="1" si="115"/>
        <v>1915.7610174118674</v>
      </c>
      <c r="R1060" s="4">
        <f t="shared" ca="1" si="116"/>
        <v>-7.9090265881325195</v>
      </c>
      <c r="S1060" s="4">
        <f t="shared" ca="1" si="117"/>
        <v>-3.9781634472840892</v>
      </c>
    </row>
    <row r="1061" spans="15:19" x14ac:dyDescent="0.2">
      <c r="O1061" s="4">
        <f t="shared" ca="1" si="113"/>
        <v>0.97400698126916985</v>
      </c>
      <c r="P1061" s="4">
        <f t="shared" ca="1" si="114"/>
        <v>1.9432493545743521</v>
      </c>
      <c r="Q1061" s="4">
        <f t="shared" ca="1" si="115"/>
        <v>1864.3936312454073</v>
      </c>
      <c r="R1061" s="4">
        <f t="shared" ca="1" si="116"/>
        <v>-59.276412754592684</v>
      </c>
      <c r="S1061" s="4">
        <f t="shared" ca="1" si="117"/>
        <v>-28.575984409873328</v>
      </c>
    </row>
    <row r="1062" spans="15:19" x14ac:dyDescent="0.2">
      <c r="O1062" s="4">
        <f t="shared" ca="1" si="113"/>
        <v>6.4016371555973062E-2</v>
      </c>
      <c r="P1062" s="4">
        <f t="shared" ca="1" si="114"/>
        <v>-1.5219055708697422</v>
      </c>
      <c r="Q1062" s="4">
        <f t="shared" ca="1" si="115"/>
        <v>1969.3703458623368</v>
      </c>
      <c r="R1062" s="4">
        <f t="shared" ca="1" si="116"/>
        <v>45.700301862336801</v>
      </c>
      <c r="S1062" s="4">
        <f t="shared" ca="1" si="117"/>
        <v>23.984111671264117</v>
      </c>
    </row>
    <row r="1063" spans="15:19" x14ac:dyDescent="0.2">
      <c r="O1063" s="4">
        <f t="shared" ca="1" si="113"/>
        <v>0.11077389822210293</v>
      </c>
      <c r="P1063" s="4">
        <f t="shared" ca="1" si="114"/>
        <v>-1.2224227604987297</v>
      </c>
      <c r="Q1063" s="4">
        <f t="shared" ca="1" si="115"/>
        <v>1960.2975274188827</v>
      </c>
      <c r="R1063" s="4">
        <f t="shared" ca="1" si="116"/>
        <v>36.627483418882775</v>
      </c>
      <c r="S1063" s="4">
        <f t="shared" ca="1" si="117"/>
        <v>19.087303765147315</v>
      </c>
    </row>
    <row r="1064" spans="15:19" x14ac:dyDescent="0.2">
      <c r="O1064" s="4">
        <f t="shared" ca="1" si="113"/>
        <v>0.4638530264608709</v>
      </c>
      <c r="P1064" s="4">
        <f t="shared" ca="1" si="114"/>
        <v>-9.0731358484109792E-2</v>
      </c>
      <c r="Q1064" s="4">
        <f t="shared" ca="1" si="115"/>
        <v>1926.012986640812</v>
      </c>
      <c r="R1064" s="4">
        <f t="shared" ca="1" si="116"/>
        <v>2.342942640811998</v>
      </c>
      <c r="S1064" s="4">
        <f t="shared" ca="1" si="117"/>
        <v>1.1882550714358195</v>
      </c>
    </row>
    <row r="1065" spans="15:19" x14ac:dyDescent="0.2">
      <c r="O1065" s="4">
        <f t="shared" ca="1" si="113"/>
        <v>0.92478683593863054</v>
      </c>
      <c r="P1065" s="4">
        <f t="shared" ca="1" si="114"/>
        <v>1.4380272302069697</v>
      </c>
      <c r="Q1065" s="4">
        <f t="shared" ca="1" si="115"/>
        <v>1879.6993130717622</v>
      </c>
      <c r="R1065" s="4">
        <f t="shared" ca="1" si="116"/>
        <v>-43.970730928237799</v>
      </c>
      <c r="S1065" s="4">
        <f t="shared" ca="1" si="117"/>
        <v>-21.471376794660014</v>
      </c>
    </row>
    <row r="1066" spans="15:19" x14ac:dyDescent="0.2">
      <c r="O1066" s="4">
        <f t="shared" ca="1" si="113"/>
        <v>0.13000873047263317</v>
      </c>
      <c r="P1066" s="4">
        <f t="shared" ca="1" si="114"/>
        <v>-1.1263498599697501</v>
      </c>
      <c r="Q1066" s="4">
        <f t="shared" ca="1" si="115"/>
        <v>1957.3870031628978</v>
      </c>
      <c r="R1066" s="4">
        <f t="shared" ca="1" si="116"/>
        <v>33.716959162897865</v>
      </c>
      <c r="S1066" s="4">
        <f t="shared" ca="1" si="117"/>
        <v>17.530624848228481</v>
      </c>
    </row>
    <row r="1067" spans="15:19" x14ac:dyDescent="0.2">
      <c r="O1067" s="4">
        <f t="shared" ca="1" si="113"/>
        <v>0.18368018162622313</v>
      </c>
      <c r="P1067" s="4">
        <f t="shared" ca="1" si="114"/>
        <v>-0.90142882100591537</v>
      </c>
      <c r="Q1067" s="4">
        <f t="shared" ca="1" si="115"/>
        <v>1950.5730302737566</v>
      </c>
      <c r="R1067" s="4">
        <f t="shared" ca="1" si="116"/>
        <v>26.902986273756596</v>
      </c>
      <c r="S1067" s="4">
        <f t="shared" ca="1" si="117"/>
        <v>13.913179930408027</v>
      </c>
    </row>
    <row r="1068" spans="15:19" x14ac:dyDescent="0.2">
      <c r="O1068" s="4">
        <f t="shared" ca="1" si="113"/>
        <v>0.94656632545772379</v>
      </c>
      <c r="P1068" s="4">
        <f t="shared" ca="1" si="114"/>
        <v>1.6124348374940405</v>
      </c>
      <c r="Q1068" s="4">
        <f t="shared" ca="1" si="115"/>
        <v>1874.415642352523</v>
      </c>
      <c r="R1068" s="4">
        <f t="shared" ca="1" si="116"/>
        <v>-49.254401647476925</v>
      </c>
      <c r="S1068" s="4">
        <f t="shared" ca="1" si="117"/>
        <v>-23.945512209574929</v>
      </c>
    </row>
    <row r="1069" spans="15:19" x14ac:dyDescent="0.2">
      <c r="O1069" s="4">
        <f t="shared" ca="1" si="113"/>
        <v>0.75404994021972471</v>
      </c>
      <c r="P1069" s="4">
        <f t="shared" ca="1" si="114"/>
        <v>0.68728980895430525</v>
      </c>
      <c r="Q1069" s="4">
        <f t="shared" ca="1" si="115"/>
        <v>1902.442869916624</v>
      </c>
      <c r="R1069" s="4">
        <f t="shared" ca="1" si="116"/>
        <v>-21.227174083375985</v>
      </c>
      <c r="S1069" s="4">
        <f t="shared" ca="1" si="117"/>
        <v>-10.561980928280306</v>
      </c>
    </row>
    <row r="1070" spans="15:19" x14ac:dyDescent="0.2">
      <c r="O1070" s="4">
        <f t="shared" ca="1" si="113"/>
        <v>0.15042554227265348</v>
      </c>
      <c r="P1070" s="4">
        <f t="shared" ca="1" si="114"/>
        <v>-1.0346099945398226</v>
      </c>
      <c r="Q1070" s="4">
        <f t="shared" ca="1" si="115"/>
        <v>1954.6077480128558</v>
      </c>
      <c r="R1070" s="4">
        <f t="shared" ca="1" si="116"/>
        <v>30.937704012855875</v>
      </c>
      <c r="S1070" s="4">
        <f t="shared" ca="1" si="117"/>
        <v>16.050591664557718</v>
      </c>
    </row>
    <row r="1071" spans="15:19" x14ac:dyDescent="0.2">
      <c r="O1071" s="4">
        <f t="shared" ca="1" si="113"/>
        <v>0.57033464821136404</v>
      </c>
      <c r="P1071" s="4">
        <f t="shared" ca="1" si="114"/>
        <v>0.17722621680058323</v>
      </c>
      <c r="Q1071" s="4">
        <f t="shared" ca="1" si="115"/>
        <v>1917.8952237946094</v>
      </c>
      <c r="R1071" s="4">
        <f t="shared" ca="1" si="116"/>
        <v>-5.774820205390597</v>
      </c>
      <c r="S1071" s="4">
        <f t="shared" ca="1" si="117"/>
        <v>-2.9096953840083088</v>
      </c>
    </row>
    <row r="1072" spans="15:19" x14ac:dyDescent="0.2">
      <c r="O1072" s="4">
        <f t="shared" ca="1" si="113"/>
        <v>0.97061985804917716</v>
      </c>
      <c r="P1072" s="4">
        <f t="shared" ca="1" si="114"/>
        <v>1.8899826249082445</v>
      </c>
      <c r="Q1072" s="4">
        <f t="shared" ca="1" si="115"/>
        <v>1866.0073444556526</v>
      </c>
      <c r="R1072" s="4">
        <f t="shared" ca="1" si="116"/>
        <v>-57.662699544347333</v>
      </c>
      <c r="S1072" s="4">
        <f t="shared" ca="1" si="117"/>
        <v>-27.835923459459501</v>
      </c>
    </row>
    <row r="1073" spans="15:19" x14ac:dyDescent="0.2">
      <c r="O1073" s="4">
        <f t="shared" ca="1" si="113"/>
        <v>0.63722002104111808</v>
      </c>
      <c r="P1073" s="4">
        <f t="shared" ca="1" si="114"/>
        <v>0.35103784324164666</v>
      </c>
      <c r="Q1073" s="4">
        <f t="shared" ca="1" si="115"/>
        <v>1912.6296082886392</v>
      </c>
      <c r="R1073" s="4">
        <f t="shared" ca="1" si="116"/>
        <v>-11.040435711360715</v>
      </c>
      <c r="S1073" s="4">
        <f t="shared" ca="1" si="117"/>
        <v>-5.5391585322822721</v>
      </c>
    </row>
    <row r="1074" spans="15:19" x14ac:dyDescent="0.2">
      <c r="O1074" s="4">
        <f t="shared" ca="1" si="113"/>
        <v>0.51591828816800644</v>
      </c>
      <c r="P1074" s="4">
        <f t="shared" ca="1" si="114"/>
        <v>3.9911824956235194E-2</v>
      </c>
      <c r="Q1074" s="4">
        <f t="shared" ca="1" si="115"/>
        <v>1922.0551571989129</v>
      </c>
      <c r="R1074" s="4">
        <f t="shared" ca="1" si="116"/>
        <v>-1.6148868010870956</v>
      </c>
      <c r="S1074" s="4">
        <f t="shared" ca="1" si="117"/>
        <v>-0.81640993707505372</v>
      </c>
    </row>
    <row r="1075" spans="15:19" x14ac:dyDescent="0.2">
      <c r="O1075" s="4">
        <f t="shared" ca="1" si="113"/>
        <v>0.69252285162318616</v>
      </c>
      <c r="P1075" s="4">
        <f t="shared" ca="1" si="114"/>
        <v>0.50301418836091549</v>
      </c>
      <c r="Q1075" s="4">
        <f t="shared" ca="1" si="115"/>
        <v>1908.025491660848</v>
      </c>
      <c r="R1075" s="4">
        <f t="shared" ca="1" si="116"/>
        <v>-15.644552339151915</v>
      </c>
      <c r="S1075" s="4">
        <f t="shared" ca="1" si="117"/>
        <v>-7.8197946165700056</v>
      </c>
    </row>
    <row r="1076" spans="15:19" x14ac:dyDescent="0.2">
      <c r="O1076" s="4">
        <f t="shared" ca="1" si="113"/>
        <v>8.1502915456642011E-2</v>
      </c>
      <c r="P1076" s="4">
        <f t="shared" ca="1" si="114"/>
        <v>-1.3950331909312819</v>
      </c>
      <c r="Q1076" s="4">
        <f t="shared" ca="1" si="115"/>
        <v>1965.5267527451074</v>
      </c>
      <c r="R1076" s="4">
        <f t="shared" ca="1" si="116"/>
        <v>41.856708745107426</v>
      </c>
      <c r="S1076" s="4">
        <f t="shared" ca="1" si="117"/>
        <v>21.901454746914403</v>
      </c>
    </row>
    <row r="1077" spans="15:19" x14ac:dyDescent="0.2">
      <c r="O1077" s="4">
        <f t="shared" ca="1" si="113"/>
        <v>0.40312125097856455</v>
      </c>
      <c r="P1077" s="4">
        <f t="shared" ca="1" si="114"/>
        <v>-0.24527629904467968</v>
      </c>
      <c r="Q1077" s="4">
        <f t="shared" ca="1" si="115"/>
        <v>1930.6949187534544</v>
      </c>
      <c r="R1077" s="4">
        <f t="shared" ca="1" si="116"/>
        <v>7.0248747534544691</v>
      </c>
      <c r="S1077" s="4">
        <f t="shared" ca="1" si="117"/>
        <v>3.5761488125717653</v>
      </c>
    </row>
    <row r="1078" spans="15:19" x14ac:dyDescent="0.2">
      <c r="O1078" s="4">
        <f t="shared" ca="1" si="113"/>
        <v>0.71071269999744757</v>
      </c>
      <c r="P1078" s="4">
        <f t="shared" ca="1" si="114"/>
        <v>0.55546798844483902</v>
      </c>
      <c r="Q1078" s="4">
        <f t="shared" ca="1" si="115"/>
        <v>1906.4364061162016</v>
      </c>
      <c r="R1078" s="4">
        <f t="shared" ca="1" si="116"/>
        <v>-17.233637883798337</v>
      </c>
      <c r="S1078" s="4">
        <f t="shared" ca="1" si="117"/>
        <v>-8.6029374409026538</v>
      </c>
    </row>
    <row r="1079" spans="15:19" x14ac:dyDescent="0.2">
      <c r="O1079" s="4">
        <f t="shared" ca="1" si="113"/>
        <v>0.15977809891193295</v>
      </c>
      <c r="P1079" s="4">
        <f t="shared" ca="1" si="114"/>
        <v>-0.99537030036440532</v>
      </c>
      <c r="Q1079" s="4">
        <f t="shared" ca="1" si="115"/>
        <v>1953.4189832200145</v>
      </c>
      <c r="R1079" s="4">
        <f t="shared" ca="1" si="116"/>
        <v>29.748939220014563</v>
      </c>
      <c r="S1079" s="4">
        <f t="shared" ca="1" si="117"/>
        <v>15.419460435527473</v>
      </c>
    </row>
    <row r="1080" spans="15:19" x14ac:dyDescent="0.2">
      <c r="O1080" s="4">
        <f t="shared" ca="1" si="113"/>
        <v>4.0580059421688963E-2</v>
      </c>
      <c r="P1080" s="4">
        <f t="shared" ca="1" si="114"/>
        <v>-1.7439940988508009</v>
      </c>
      <c r="Q1080" s="4">
        <f t="shared" ca="1" si="115"/>
        <v>1976.0985079570153</v>
      </c>
      <c r="R1080" s="4">
        <f t="shared" ca="1" si="116"/>
        <v>52.42846395701531</v>
      </c>
      <c r="S1080" s="4">
        <f t="shared" ca="1" si="117"/>
        <v>27.658731010677915</v>
      </c>
    </row>
    <row r="1081" spans="15:19" x14ac:dyDescent="0.2">
      <c r="O1081" s="4">
        <f t="shared" ca="1" si="113"/>
        <v>0.92152488077422423</v>
      </c>
      <c r="P1081" s="4">
        <f t="shared" ca="1" si="114"/>
        <v>1.4154034507631783</v>
      </c>
      <c r="Q1081" s="4">
        <f t="shared" ca="1" si="115"/>
        <v>1880.3846994655387</v>
      </c>
      <c r="R1081" s="4">
        <f t="shared" ca="1" si="116"/>
        <v>-43.285344534461274</v>
      </c>
      <c r="S1081" s="4">
        <f t="shared" ca="1" si="117"/>
        <v>-21.148771908466699</v>
      </c>
    </row>
    <row r="1082" spans="15:19" x14ac:dyDescent="0.2">
      <c r="O1082" s="4">
        <f t="shared" ca="1" si="113"/>
        <v>0.27951789961951345</v>
      </c>
      <c r="P1082" s="4">
        <f t="shared" ca="1" si="114"/>
        <v>-0.58427427144395394</v>
      </c>
      <c r="Q1082" s="4">
        <f t="shared" ca="1" si="115"/>
        <v>1940.9648472761207</v>
      </c>
      <c r="R1082" s="4">
        <f t="shared" ca="1" si="116"/>
        <v>17.294803276120774</v>
      </c>
      <c r="S1082" s="4">
        <f t="shared" ca="1" si="117"/>
        <v>8.8765573851454072</v>
      </c>
    </row>
    <row r="1083" spans="15:19" x14ac:dyDescent="0.2">
      <c r="O1083" s="4">
        <f t="shared" ca="1" si="113"/>
        <v>0.30966279618348302</v>
      </c>
      <c r="P1083" s="4">
        <f t="shared" ca="1" si="114"/>
        <v>-0.49680638474370115</v>
      </c>
      <c r="Q1083" s="4">
        <f t="shared" ca="1" si="115"/>
        <v>1938.3150115320227</v>
      </c>
      <c r="R1083" s="4">
        <f t="shared" ca="1" si="116"/>
        <v>14.644967532022747</v>
      </c>
      <c r="S1083" s="4">
        <f t="shared" ca="1" si="117"/>
        <v>7.500732213099794</v>
      </c>
    </row>
    <row r="1084" spans="15:19" x14ac:dyDescent="0.2">
      <c r="O1084" s="4">
        <f t="shared" ca="1" si="113"/>
        <v>0.76903759921650994</v>
      </c>
      <c r="P1084" s="4">
        <f t="shared" ca="1" si="114"/>
        <v>0.73568108807670896</v>
      </c>
      <c r="Q1084" s="4">
        <f t="shared" ca="1" si="115"/>
        <v>1900.9768582641348</v>
      </c>
      <c r="R1084" s="4">
        <f t="shared" ca="1" si="116"/>
        <v>-22.6931857358652</v>
      </c>
      <c r="S1084" s="4">
        <f t="shared" ca="1" si="117"/>
        <v>-11.277880110900595</v>
      </c>
    </row>
    <row r="1085" spans="15:19" x14ac:dyDescent="0.2">
      <c r="O1085" s="4">
        <f t="shared" ca="1" si="113"/>
        <v>0.68746499391482419</v>
      </c>
      <c r="P1085" s="4">
        <f t="shared" ca="1" si="114"/>
        <v>0.48867753304528588</v>
      </c>
      <c r="Q1085" s="4">
        <f t="shared" ca="1" si="115"/>
        <v>1908.4598199971019</v>
      </c>
      <c r="R1085" s="4">
        <f t="shared" ca="1" si="116"/>
        <v>-15.21022400289803</v>
      </c>
      <c r="S1085" s="4">
        <f t="shared" ca="1" si="117"/>
        <v>-7.6053885354498743</v>
      </c>
    </row>
    <row r="1086" spans="15:19" x14ac:dyDescent="0.2">
      <c r="O1086" s="4">
        <f t="shared" ca="1" si="113"/>
        <v>0.41148393254698656</v>
      </c>
      <c r="P1086" s="4">
        <f t="shared" ca="1" si="114"/>
        <v>-0.22372940356538543</v>
      </c>
      <c r="Q1086" s="4">
        <f t="shared" ca="1" si="115"/>
        <v>1930.0421565115698</v>
      </c>
      <c r="R1086" s="4">
        <f t="shared" ca="1" si="116"/>
        <v>6.3721125115698669</v>
      </c>
      <c r="S1086" s="4">
        <f t="shared" ca="1" si="117"/>
        <v>3.2421543322942949</v>
      </c>
    </row>
    <row r="1087" spans="15:19" x14ac:dyDescent="0.2">
      <c r="O1087" s="4">
        <f t="shared" ca="1" si="113"/>
        <v>0.17508415712896008</v>
      </c>
      <c r="P1087" s="4">
        <f t="shared" ca="1" si="114"/>
        <v>-0.93426286607251074</v>
      </c>
      <c r="Q1087" s="4">
        <f t="shared" ca="1" si="115"/>
        <v>1951.5677362112503</v>
      </c>
      <c r="R1087" s="4">
        <f t="shared" ca="1" si="116"/>
        <v>27.897692211250387</v>
      </c>
      <c r="S1087" s="4">
        <f t="shared" ca="1" si="117"/>
        <v>14.438899390580364</v>
      </c>
    </row>
    <row r="1088" spans="15:19" x14ac:dyDescent="0.2">
      <c r="O1088" s="4">
        <f t="shared" ca="1" si="113"/>
        <v>0.18815924446893517</v>
      </c>
      <c r="P1088" s="4">
        <f t="shared" ca="1" si="114"/>
        <v>-0.88469993837241134</v>
      </c>
      <c r="Q1088" s="4">
        <f t="shared" ca="1" si="115"/>
        <v>1950.0662295171203</v>
      </c>
      <c r="R1088" s="4">
        <f t="shared" ca="1" si="116"/>
        <v>26.39618551712033</v>
      </c>
      <c r="S1088" s="4">
        <f t="shared" ca="1" si="117"/>
        <v>13.645636644742781</v>
      </c>
    </row>
    <row r="1089" spans="15:19" x14ac:dyDescent="0.2">
      <c r="O1089" s="4">
        <f t="shared" ca="1" si="113"/>
        <v>0.67586431100112609</v>
      </c>
      <c r="P1089" s="4">
        <f t="shared" ca="1" si="114"/>
        <v>0.45616493563129418</v>
      </c>
      <c r="Q1089" s="4">
        <f t="shared" ca="1" si="115"/>
        <v>1909.4447876922322</v>
      </c>
      <c r="R1089" s="4">
        <f t="shared" ca="1" si="116"/>
        <v>-14.225256307767722</v>
      </c>
      <c r="S1089" s="4">
        <f t="shared" ca="1" si="117"/>
        <v>-7.1185903974299389</v>
      </c>
    </row>
    <row r="1090" spans="15:19" x14ac:dyDescent="0.2">
      <c r="O1090" s="4">
        <f t="shared" ca="1" si="113"/>
        <v>0.9499204837462325</v>
      </c>
      <c r="P1090" s="4">
        <f t="shared" ca="1" si="114"/>
        <v>1.6440831281770591</v>
      </c>
      <c r="Q1090" s="4">
        <f t="shared" ca="1" si="115"/>
        <v>1873.4568587914334</v>
      </c>
      <c r="R1090" s="4">
        <f t="shared" ca="1" si="116"/>
        <v>-50.213185208566529</v>
      </c>
      <c r="S1090" s="4">
        <f t="shared" ca="1" si="117"/>
        <v>-24.392036507415575</v>
      </c>
    </row>
    <row r="1091" spans="15:19" x14ac:dyDescent="0.2">
      <c r="O1091" s="4">
        <f t="shared" ref="O1091:O1154" ca="1" si="118">RAND()</f>
        <v>0.94452043118597584</v>
      </c>
      <c r="P1091" s="4">
        <f t="shared" ref="P1091:P1154" ca="1" si="119">NORMSINV(O1091)</f>
        <v>1.5938968609968929</v>
      </c>
      <c r="Q1091" s="4">
        <f t="shared" ref="Q1091:Q1154" ca="1" si="120">$B$4*(1+$B$17-$B$6/SQRT(252)*P1091)</f>
        <v>1874.9772495274367</v>
      </c>
      <c r="R1091" s="4">
        <f t="shared" ref="R1091:R1154" ca="1" si="121">Q1091-$B$4</f>
        <v>-48.692794472563264</v>
      </c>
      <c r="S1091" s="4">
        <f t="shared" ref="S1091:S1154" ca="1" si="122">R1091*$B$12+0.5*$B$13*R1091^2</f>
        <v>-23.68361315888118</v>
      </c>
    </row>
    <row r="1092" spans="15:19" x14ac:dyDescent="0.2">
      <c r="O1092" s="4">
        <f t="shared" ca="1" si="118"/>
        <v>0.47062216723535588</v>
      </c>
      <c r="P1092" s="4">
        <f t="shared" ca="1" si="119"/>
        <v>-7.3705987429640976E-2</v>
      </c>
      <c r="Q1092" s="4">
        <f t="shared" ca="1" si="120"/>
        <v>1925.497203780626</v>
      </c>
      <c r="R1092" s="4">
        <f t="shared" ca="1" si="121"/>
        <v>1.8271597806260615</v>
      </c>
      <c r="S1092" s="4">
        <f t="shared" ca="1" si="122"/>
        <v>0.92628518365682555</v>
      </c>
    </row>
    <row r="1093" spans="15:19" x14ac:dyDescent="0.2">
      <c r="O1093" s="4">
        <f t="shared" ca="1" si="118"/>
        <v>0.44023182798416638</v>
      </c>
      <c r="P1093" s="4">
        <f t="shared" ca="1" si="119"/>
        <v>-0.15038147487791295</v>
      </c>
      <c r="Q1093" s="4">
        <f t="shared" ca="1" si="120"/>
        <v>1927.8200842685571</v>
      </c>
      <c r="R1093" s="4">
        <f t="shared" ca="1" si="121"/>
        <v>4.1500402685571771</v>
      </c>
      <c r="S1093" s="4">
        <f t="shared" ca="1" si="122"/>
        <v>2.1078019189908623</v>
      </c>
    </row>
    <row r="1094" spans="15:19" x14ac:dyDescent="0.2">
      <c r="O1094" s="4">
        <f t="shared" ca="1" si="118"/>
        <v>0.91231891499821471</v>
      </c>
      <c r="P1094" s="4">
        <f t="shared" ca="1" si="119"/>
        <v>1.3551738628926409</v>
      </c>
      <c r="Q1094" s="4">
        <f t="shared" ca="1" si="120"/>
        <v>1882.2093521559434</v>
      </c>
      <c r="R1094" s="4">
        <f t="shared" ca="1" si="121"/>
        <v>-41.460691844056555</v>
      </c>
      <c r="S1094" s="4">
        <f t="shared" ca="1" si="122"/>
        <v>-20.288060806696947</v>
      </c>
    </row>
    <row r="1095" spans="15:19" x14ac:dyDescent="0.2">
      <c r="O1095" s="4">
        <f t="shared" ca="1" si="118"/>
        <v>4.9862035362754353E-3</v>
      </c>
      <c r="P1095" s="4">
        <f t="shared" ca="1" si="119"/>
        <v>-2.576784607335123</v>
      </c>
      <c r="Q1095" s="4">
        <f t="shared" ca="1" si="120"/>
        <v>2001.3278594364854</v>
      </c>
      <c r="R1095" s="4">
        <f t="shared" ca="1" si="121"/>
        <v>77.657815436485407</v>
      </c>
      <c r="S1095" s="4">
        <f t="shared" ca="1" si="122"/>
        <v>41.766073980475312</v>
      </c>
    </row>
    <row r="1096" spans="15:19" x14ac:dyDescent="0.2">
      <c r="O1096" s="4">
        <f t="shared" ca="1" si="118"/>
        <v>0.37797218046188374</v>
      </c>
      <c r="P1096" s="4">
        <f t="shared" ca="1" si="119"/>
        <v>-0.31081092880286071</v>
      </c>
      <c r="Q1096" s="4">
        <f t="shared" ca="1" si="120"/>
        <v>1932.6802874523066</v>
      </c>
      <c r="R1096" s="4">
        <f t="shared" ca="1" si="121"/>
        <v>9.0102434523066677</v>
      </c>
      <c r="S1096" s="4">
        <f t="shared" ca="1" si="122"/>
        <v>4.5941211963332638</v>
      </c>
    </row>
    <row r="1097" spans="15:19" x14ac:dyDescent="0.2">
      <c r="O1097" s="4">
        <f t="shared" ca="1" si="118"/>
        <v>0.86466390679958061</v>
      </c>
      <c r="P1097" s="4">
        <f t="shared" ca="1" si="119"/>
        <v>1.1015159043305953</v>
      </c>
      <c r="Q1097" s="4">
        <f t="shared" ca="1" si="120"/>
        <v>1889.8939087484221</v>
      </c>
      <c r="R1097" s="4">
        <f t="shared" ca="1" si="121"/>
        <v>-33.776135251577898</v>
      </c>
      <c r="S1097" s="4">
        <f t="shared" ca="1" si="122"/>
        <v>-16.633414807594033</v>
      </c>
    </row>
    <row r="1098" spans="15:19" x14ac:dyDescent="0.2">
      <c r="O1098" s="4">
        <f t="shared" ca="1" si="118"/>
        <v>2.3379640207914498E-3</v>
      </c>
      <c r="P1098" s="4">
        <f t="shared" ca="1" si="119"/>
        <v>-2.8285507927706712</v>
      </c>
      <c r="Q1098" s="4">
        <f t="shared" ca="1" si="120"/>
        <v>2008.9551048460894</v>
      </c>
      <c r="R1098" s="4">
        <f t="shared" ca="1" si="121"/>
        <v>85.285060846089436</v>
      </c>
      <c r="S1098" s="4">
        <f t="shared" ca="1" si="122"/>
        <v>46.132968108268408</v>
      </c>
    </row>
    <row r="1099" spans="15:19" x14ac:dyDescent="0.2">
      <c r="O1099" s="4">
        <f t="shared" ca="1" si="118"/>
        <v>0.90926052303188332</v>
      </c>
      <c r="P1099" s="4">
        <f t="shared" ca="1" si="119"/>
        <v>1.336215170418938</v>
      </c>
      <c r="Q1099" s="4">
        <f t="shared" ca="1" si="120"/>
        <v>1882.7837049026873</v>
      </c>
      <c r="R1099" s="4">
        <f t="shared" ca="1" si="121"/>
        <v>-40.886339097312657</v>
      </c>
      <c r="S1099" s="4">
        <f t="shared" ca="1" si="122"/>
        <v>-20.016570665748183</v>
      </c>
    </row>
    <row r="1100" spans="15:19" x14ac:dyDescent="0.2">
      <c r="O1100" s="4">
        <f t="shared" ca="1" si="118"/>
        <v>0.56374420609201936</v>
      </c>
      <c r="P1100" s="4">
        <f t="shared" ca="1" si="119"/>
        <v>0.16046906570319128</v>
      </c>
      <c r="Q1100" s="4">
        <f t="shared" ca="1" si="120"/>
        <v>1918.4028809431043</v>
      </c>
      <c r="R1100" s="4">
        <f t="shared" ca="1" si="121"/>
        <v>-5.2671630568956971</v>
      </c>
      <c r="S1100" s="4">
        <f t="shared" ca="1" si="122"/>
        <v>-2.6549962065209667</v>
      </c>
    </row>
    <row r="1101" spans="15:19" x14ac:dyDescent="0.2">
      <c r="O1101" s="4">
        <f t="shared" ca="1" si="118"/>
        <v>0.37696383268708722</v>
      </c>
      <c r="P1101" s="4">
        <f t="shared" ca="1" si="119"/>
        <v>-0.31346466073166734</v>
      </c>
      <c r="Q1101" s="4">
        <f t="shared" ca="1" si="120"/>
        <v>1932.7606821432669</v>
      </c>
      <c r="R1101" s="4">
        <f t="shared" ca="1" si="121"/>
        <v>9.090638143266915</v>
      </c>
      <c r="S1101" s="4">
        <f t="shared" ca="1" si="122"/>
        <v>4.6354101495103119</v>
      </c>
    </row>
    <row r="1102" spans="15:19" x14ac:dyDescent="0.2">
      <c r="O1102" s="4">
        <f t="shared" ca="1" si="118"/>
        <v>0.53527796706390751</v>
      </c>
      <c r="P1102" s="4">
        <f t="shared" ca="1" si="119"/>
        <v>8.8544313086738602E-2</v>
      </c>
      <c r="Q1102" s="4">
        <f t="shared" ca="1" si="120"/>
        <v>1920.5818381302331</v>
      </c>
      <c r="R1102" s="4">
        <f t="shared" ca="1" si="121"/>
        <v>-3.0882058697668526</v>
      </c>
      <c r="S1102" s="4">
        <f t="shared" ca="1" si="122"/>
        <v>-1.559397834447533</v>
      </c>
    </row>
    <row r="1103" spans="15:19" x14ac:dyDescent="0.2">
      <c r="O1103" s="4">
        <f t="shared" ca="1" si="118"/>
        <v>0.86139446714533319</v>
      </c>
      <c r="P1103" s="4">
        <f t="shared" ca="1" si="119"/>
        <v>1.0866057886500371</v>
      </c>
      <c r="Q1103" s="4">
        <f t="shared" ca="1" si="120"/>
        <v>1890.3456100409703</v>
      </c>
      <c r="R1103" s="4">
        <f t="shared" ca="1" si="121"/>
        <v>-33.324433959029648</v>
      </c>
      <c r="S1103" s="4">
        <f t="shared" ca="1" si="122"/>
        <v>-16.417097218560158</v>
      </c>
    </row>
    <row r="1104" spans="15:19" x14ac:dyDescent="0.2">
      <c r="O1104" s="4">
        <f t="shared" ca="1" si="118"/>
        <v>0.55252976124786624</v>
      </c>
      <c r="P1104" s="4">
        <f t="shared" ca="1" si="119"/>
        <v>0.13205539370679012</v>
      </c>
      <c r="Q1104" s="4">
        <f t="shared" ca="1" si="120"/>
        <v>1919.2636718746967</v>
      </c>
      <c r="R1104" s="4">
        <f t="shared" ca="1" si="121"/>
        <v>-4.4063721253032782</v>
      </c>
      <c r="S1104" s="4">
        <f t="shared" ca="1" si="122"/>
        <v>-2.2226450268022808</v>
      </c>
    </row>
    <row r="1105" spans="15:19" x14ac:dyDescent="0.2">
      <c r="O1105" s="4">
        <f t="shared" ca="1" si="118"/>
        <v>0.82573462309516377</v>
      </c>
      <c r="P1105" s="4">
        <f t="shared" ca="1" si="119"/>
        <v>0.93744295557911739</v>
      </c>
      <c r="Q1105" s="4">
        <f t="shared" ca="1" si="120"/>
        <v>1894.8644914461738</v>
      </c>
      <c r="R1105" s="4">
        <f t="shared" ca="1" si="121"/>
        <v>-28.805552553826146</v>
      </c>
      <c r="S1105" s="4">
        <f t="shared" ca="1" si="122"/>
        <v>-14.243883147499464</v>
      </c>
    </row>
    <row r="1106" spans="15:19" x14ac:dyDescent="0.2">
      <c r="O1106" s="4">
        <f t="shared" ca="1" si="118"/>
        <v>0.53921544296904267</v>
      </c>
      <c r="P1106" s="4">
        <f t="shared" ca="1" si="119"/>
        <v>9.8457379046053506E-2</v>
      </c>
      <c r="Q1106" s="4">
        <f t="shared" ca="1" si="120"/>
        <v>1920.2815222371257</v>
      </c>
      <c r="R1106" s="4">
        <f t="shared" ca="1" si="121"/>
        <v>-3.3885217628742339</v>
      </c>
      <c r="S1106" s="4">
        <f t="shared" ca="1" si="122"/>
        <v>-1.7106289053087054</v>
      </c>
    </row>
    <row r="1107" spans="15:19" x14ac:dyDescent="0.2">
      <c r="O1107" s="4">
        <f t="shared" ca="1" si="118"/>
        <v>0.61382381486778825</v>
      </c>
      <c r="P1107" s="4">
        <f t="shared" ca="1" si="119"/>
        <v>0.2892992708319358</v>
      </c>
      <c r="Q1107" s="4">
        <f t="shared" ca="1" si="120"/>
        <v>1914.4999755986607</v>
      </c>
      <c r="R1107" s="4">
        <f t="shared" ca="1" si="121"/>
        <v>-9.170068401339222</v>
      </c>
      <c r="S1107" s="4">
        <f t="shared" ca="1" si="122"/>
        <v>-4.6077479306329465</v>
      </c>
    </row>
    <row r="1108" spans="15:19" x14ac:dyDescent="0.2">
      <c r="O1108" s="4">
        <f t="shared" ca="1" si="118"/>
        <v>0.35685461952330355</v>
      </c>
      <c r="P1108" s="4">
        <f t="shared" ca="1" si="119"/>
        <v>-0.36687905010785188</v>
      </c>
      <c r="Q1108" s="4">
        <f t="shared" ca="1" si="120"/>
        <v>1934.378868697873</v>
      </c>
      <c r="R1108" s="4">
        <f t="shared" ca="1" si="121"/>
        <v>10.708824697873069</v>
      </c>
      <c r="S1108" s="4">
        <f t="shared" ca="1" si="122"/>
        <v>5.4675942157700952</v>
      </c>
    </row>
    <row r="1109" spans="15:19" x14ac:dyDescent="0.2">
      <c r="O1109" s="4">
        <f t="shared" ca="1" si="118"/>
        <v>0.3603122217713487</v>
      </c>
      <c r="P1109" s="4">
        <f t="shared" ca="1" si="119"/>
        <v>-0.35762436297731809</v>
      </c>
      <c r="Q1109" s="4">
        <f t="shared" ca="1" si="120"/>
        <v>1934.0984983621524</v>
      </c>
      <c r="R1109" s="4">
        <f t="shared" ca="1" si="121"/>
        <v>10.428454362152479</v>
      </c>
      <c r="S1109" s="4">
        <f t="shared" ca="1" si="122"/>
        <v>5.3232556051046069</v>
      </c>
    </row>
    <row r="1110" spans="15:19" x14ac:dyDescent="0.2">
      <c r="O1110" s="4">
        <f t="shared" ca="1" si="118"/>
        <v>0.15623038737572359</v>
      </c>
      <c r="P1110" s="4">
        <f t="shared" ca="1" si="119"/>
        <v>-1.0100720442260152</v>
      </c>
      <c r="Q1110" s="4">
        <f t="shared" ca="1" si="120"/>
        <v>1953.8643718975597</v>
      </c>
      <c r="R1110" s="4">
        <f t="shared" ca="1" si="121"/>
        <v>30.194327897559788</v>
      </c>
      <c r="S1110" s="4">
        <f t="shared" ca="1" si="122"/>
        <v>15.65578850218804</v>
      </c>
    </row>
    <row r="1111" spans="15:19" x14ac:dyDescent="0.2">
      <c r="O1111" s="4">
        <f t="shared" ca="1" si="118"/>
        <v>0.10046140379931567</v>
      </c>
      <c r="P1111" s="4">
        <f t="shared" ca="1" si="119"/>
        <v>-1.2789268753142646</v>
      </c>
      <c r="Q1111" s="4">
        <f t="shared" ca="1" si="120"/>
        <v>1962.0093170684936</v>
      </c>
      <c r="R1111" s="4">
        <f t="shared" ca="1" si="121"/>
        <v>38.33927306849364</v>
      </c>
      <c r="S1111" s="4">
        <f t="shared" ca="1" si="122"/>
        <v>20.006066554503274</v>
      </c>
    </row>
    <row r="1112" spans="15:19" x14ac:dyDescent="0.2">
      <c r="O1112" s="4">
        <f t="shared" ca="1" si="118"/>
        <v>0.22426743541641458</v>
      </c>
      <c r="P1112" s="4">
        <f t="shared" ca="1" si="119"/>
        <v>-0.75785987932506094</v>
      </c>
      <c r="Q1112" s="4">
        <f t="shared" ca="1" si="120"/>
        <v>1946.2236155598523</v>
      </c>
      <c r="R1112" s="4">
        <f t="shared" ca="1" si="121"/>
        <v>22.553571559852344</v>
      </c>
      <c r="S1112" s="4">
        <f t="shared" ca="1" si="122"/>
        <v>11.62390012748023</v>
      </c>
    </row>
    <row r="1113" spans="15:19" x14ac:dyDescent="0.2">
      <c r="O1113" s="4">
        <f t="shared" ca="1" si="118"/>
        <v>0.38768396727210463</v>
      </c>
      <c r="P1113" s="4">
        <f t="shared" ca="1" si="119"/>
        <v>-0.28536054155275026</v>
      </c>
      <c r="Q1113" s="4">
        <f t="shared" ca="1" si="120"/>
        <v>1931.909269100536</v>
      </c>
      <c r="R1113" s="4">
        <f t="shared" ca="1" si="121"/>
        <v>8.2392251005360322</v>
      </c>
      <c r="S1113" s="4">
        <f t="shared" ca="1" si="122"/>
        <v>4.1984102736139404</v>
      </c>
    </row>
    <row r="1114" spans="15:19" x14ac:dyDescent="0.2">
      <c r="O1114" s="4">
        <f t="shared" ca="1" si="118"/>
        <v>0.78666523622061524</v>
      </c>
      <c r="P1114" s="4">
        <f t="shared" ca="1" si="119"/>
        <v>0.79490369012495743</v>
      </c>
      <c r="Q1114" s="4">
        <f t="shared" ca="1" si="120"/>
        <v>1899.1827121645072</v>
      </c>
      <c r="R1114" s="4">
        <f t="shared" ca="1" si="121"/>
        <v>-24.487331835492796</v>
      </c>
      <c r="S1114" s="4">
        <f t="shared" ca="1" si="122"/>
        <v>-12.15163654232977</v>
      </c>
    </row>
    <row r="1115" spans="15:19" x14ac:dyDescent="0.2">
      <c r="O1115" s="4">
        <f t="shared" ca="1" si="118"/>
        <v>0.64582141270310534</v>
      </c>
      <c r="P1115" s="4">
        <f t="shared" ca="1" si="119"/>
        <v>0.3740633640570955</v>
      </c>
      <c r="Q1115" s="4">
        <f t="shared" ca="1" si="120"/>
        <v>1911.9320511578453</v>
      </c>
      <c r="R1115" s="4">
        <f t="shared" ca="1" si="121"/>
        <v>-11.737992842154654</v>
      </c>
      <c r="S1115" s="4">
        <f t="shared" ca="1" si="122"/>
        <v>-5.8858007575578144</v>
      </c>
    </row>
    <row r="1116" spans="15:19" x14ac:dyDescent="0.2">
      <c r="O1116" s="4">
        <f t="shared" ca="1" si="118"/>
        <v>0.95547505383921827</v>
      </c>
      <c r="P1116" s="4">
        <f t="shared" ca="1" si="119"/>
        <v>1.7004309605565056</v>
      </c>
      <c r="Q1116" s="4">
        <f t="shared" ca="1" si="120"/>
        <v>1871.749803711285</v>
      </c>
      <c r="R1116" s="4">
        <f t="shared" ca="1" si="121"/>
        <v>-51.920240288714922</v>
      </c>
      <c r="S1116" s="4">
        <f t="shared" ca="1" si="122"/>
        <v>-25.185193055285534</v>
      </c>
    </row>
    <row r="1117" spans="15:19" x14ac:dyDescent="0.2">
      <c r="O1117" s="4">
        <f t="shared" ca="1" si="118"/>
        <v>0.77224690938388052</v>
      </c>
      <c r="P1117" s="4">
        <f t="shared" ca="1" si="119"/>
        <v>0.74626693480419848</v>
      </c>
      <c r="Q1117" s="4">
        <f t="shared" ca="1" si="120"/>
        <v>1900.6561605075265</v>
      </c>
      <c r="R1117" s="4">
        <f t="shared" ca="1" si="121"/>
        <v>-23.013883492473497</v>
      </c>
      <c r="S1117" s="4">
        <f t="shared" ca="1" si="122"/>
        <v>-11.434253572871445</v>
      </c>
    </row>
    <row r="1118" spans="15:19" x14ac:dyDescent="0.2">
      <c r="O1118" s="4">
        <f t="shared" ca="1" si="118"/>
        <v>0.73138673516506725</v>
      </c>
      <c r="P1118" s="4">
        <f t="shared" ca="1" si="119"/>
        <v>0.6170124260147446</v>
      </c>
      <c r="Q1118" s="4">
        <f t="shared" ca="1" si="120"/>
        <v>1904.5719201125326</v>
      </c>
      <c r="R1118" s="4">
        <f t="shared" ca="1" si="121"/>
        <v>-19.098123887467409</v>
      </c>
      <c r="S1118" s="4">
        <f t="shared" ca="1" si="122"/>
        <v>-9.5191836241151275</v>
      </c>
    </row>
    <row r="1119" spans="15:19" x14ac:dyDescent="0.2">
      <c r="O1119" s="4">
        <f t="shared" ca="1" si="118"/>
        <v>0.28642078285374761</v>
      </c>
      <c r="P1119" s="4">
        <f t="shared" ca="1" si="119"/>
        <v>-0.56387153167487403</v>
      </c>
      <c r="Q1119" s="4">
        <f t="shared" ca="1" si="120"/>
        <v>1940.3467471806778</v>
      </c>
      <c r="R1119" s="4">
        <f t="shared" ca="1" si="121"/>
        <v>16.676703180677805</v>
      </c>
      <c r="S1119" s="4">
        <f t="shared" ca="1" si="122"/>
        <v>8.5551215079197149</v>
      </c>
    </row>
    <row r="1120" spans="15:19" x14ac:dyDescent="0.2">
      <c r="O1120" s="4">
        <f t="shared" ca="1" si="118"/>
        <v>3.9645643021521626E-2</v>
      </c>
      <c r="P1120" s="4">
        <f t="shared" ca="1" si="119"/>
        <v>-1.7548130769742607</v>
      </c>
      <c r="Q1120" s="4">
        <f t="shared" ca="1" si="120"/>
        <v>1976.4262684189134</v>
      </c>
      <c r="R1120" s="4">
        <f t="shared" ca="1" si="121"/>
        <v>52.756224418913462</v>
      </c>
      <c r="S1120" s="4">
        <f t="shared" ca="1" si="122"/>
        <v>27.838680433950042</v>
      </c>
    </row>
    <row r="1121" spans="15:19" x14ac:dyDescent="0.2">
      <c r="O1121" s="4">
        <f t="shared" ca="1" si="118"/>
        <v>0.27131862360005488</v>
      </c>
      <c r="P1121" s="4">
        <f t="shared" ca="1" si="119"/>
        <v>-0.60882981774120437</v>
      </c>
      <c r="Q1121" s="4">
        <f t="shared" ca="1" si="120"/>
        <v>1941.7087564609542</v>
      </c>
      <c r="R1121" s="4">
        <f t="shared" ca="1" si="121"/>
        <v>18.03871246095423</v>
      </c>
      <c r="S1121" s="4">
        <f t="shared" ca="1" si="122"/>
        <v>9.2638312858654519</v>
      </c>
    </row>
    <row r="1122" spans="15:19" x14ac:dyDescent="0.2">
      <c r="O1122" s="4">
        <f t="shared" ca="1" si="118"/>
        <v>0.18278555803538743</v>
      </c>
      <c r="P1122" s="4">
        <f t="shared" ca="1" si="119"/>
        <v>-0.90480044465218734</v>
      </c>
      <c r="Q1122" s="4">
        <f t="shared" ca="1" si="120"/>
        <v>1950.6751734624236</v>
      </c>
      <c r="R1122" s="4">
        <f t="shared" ca="1" si="121"/>
        <v>27.005129462423611</v>
      </c>
      <c r="S1122" s="4">
        <f t="shared" ca="1" si="122"/>
        <v>13.967127277337417</v>
      </c>
    </row>
    <row r="1123" spans="15:19" x14ac:dyDescent="0.2">
      <c r="O1123" s="4">
        <f t="shared" ca="1" si="118"/>
        <v>0.80313908972352743</v>
      </c>
      <c r="P1123" s="4">
        <f t="shared" ca="1" si="119"/>
        <v>0.85288727221977167</v>
      </c>
      <c r="Q1123" s="4">
        <f t="shared" ca="1" si="120"/>
        <v>1897.4261021193577</v>
      </c>
      <c r="R1123" s="4">
        <f t="shared" ca="1" si="121"/>
        <v>-26.243941880642296</v>
      </c>
      <c r="S1123" s="4">
        <f t="shared" ca="1" si="122"/>
        <v>-13.004573752497912</v>
      </c>
    </row>
    <row r="1124" spans="15:19" x14ac:dyDescent="0.2">
      <c r="O1124" s="4">
        <f t="shared" ca="1" si="118"/>
        <v>0.9844566397028538</v>
      </c>
      <c r="P1124" s="4">
        <f t="shared" ca="1" si="119"/>
        <v>2.1559608719231798</v>
      </c>
      <c r="Q1124" s="4">
        <f t="shared" ca="1" si="120"/>
        <v>1857.9495452715023</v>
      </c>
      <c r="R1124" s="4">
        <f t="shared" ca="1" si="121"/>
        <v>-65.72049872849766</v>
      </c>
      <c r="S1124" s="4">
        <f t="shared" ca="1" si="122"/>
        <v>-31.510153314847706</v>
      </c>
    </row>
    <row r="1125" spans="15:19" x14ac:dyDescent="0.2">
      <c r="O1125" s="4">
        <f t="shared" ca="1" si="118"/>
        <v>0.4095054995853431</v>
      </c>
      <c r="P1125" s="4">
        <f t="shared" ca="1" si="119"/>
        <v>-0.22881719817562407</v>
      </c>
      <c r="Q1125" s="4">
        <f t="shared" ca="1" si="120"/>
        <v>1930.1962910233935</v>
      </c>
      <c r="R1125" s="4">
        <f t="shared" ca="1" si="121"/>
        <v>6.5262470233935801</v>
      </c>
      <c r="S1125" s="4">
        <f t="shared" ca="1" si="122"/>
        <v>3.3209880190554348</v>
      </c>
    </row>
    <row r="1126" spans="15:19" x14ac:dyDescent="0.2">
      <c r="O1126" s="4">
        <f t="shared" ca="1" si="118"/>
        <v>0.92079020852613314</v>
      </c>
      <c r="P1126" s="4">
        <f t="shared" ca="1" si="119"/>
        <v>1.4104068532625651</v>
      </c>
      <c r="Q1126" s="4">
        <f t="shared" ca="1" si="120"/>
        <v>1880.536071164976</v>
      </c>
      <c r="R1126" s="4">
        <f t="shared" ca="1" si="121"/>
        <v>-43.133972835023997</v>
      </c>
      <c r="S1126" s="4">
        <f t="shared" ca="1" si="122"/>
        <v>-21.077471122758556</v>
      </c>
    </row>
    <row r="1127" spans="15:19" x14ac:dyDescent="0.2">
      <c r="O1127" s="4">
        <f t="shared" ca="1" si="118"/>
        <v>0.32364257025315202</v>
      </c>
      <c r="P1127" s="4">
        <f t="shared" ca="1" si="119"/>
        <v>-0.45753696333304739</v>
      </c>
      <c r="Q1127" s="4">
        <f t="shared" ca="1" si="120"/>
        <v>1937.12534615391</v>
      </c>
      <c r="R1127" s="4">
        <f t="shared" ca="1" si="121"/>
        <v>13.455302153909997</v>
      </c>
      <c r="S1127" s="4">
        <f t="shared" ca="1" si="122"/>
        <v>6.8849036552185803</v>
      </c>
    </row>
    <row r="1128" spans="15:19" x14ac:dyDescent="0.2">
      <c r="O1128" s="4">
        <f t="shared" ca="1" si="118"/>
        <v>0.18243695833103724</v>
      </c>
      <c r="P1128" s="4">
        <f t="shared" ca="1" si="119"/>
        <v>-0.90611702181590004</v>
      </c>
      <c r="Q1128" s="4">
        <f t="shared" ca="1" si="120"/>
        <v>1950.7150591091438</v>
      </c>
      <c r="R1128" s="4">
        <f t="shared" ca="1" si="121"/>
        <v>27.045015109143833</v>
      </c>
      <c r="S1128" s="4">
        <f t="shared" ca="1" si="122"/>
        <v>13.988195352385317</v>
      </c>
    </row>
    <row r="1129" spans="15:19" x14ac:dyDescent="0.2">
      <c r="O1129" s="4">
        <f t="shared" ca="1" si="118"/>
        <v>8.3836468139015463E-2</v>
      </c>
      <c r="P1129" s="4">
        <f t="shared" ca="1" si="119"/>
        <v>-1.3797197930285883</v>
      </c>
      <c r="Q1129" s="4">
        <f t="shared" ca="1" si="120"/>
        <v>1965.0628340355447</v>
      </c>
      <c r="R1129" s="4">
        <f t="shared" ca="1" si="121"/>
        <v>41.392790035544749</v>
      </c>
      <c r="S1129" s="4">
        <f t="shared" ca="1" si="122"/>
        <v>21.650893131508155</v>
      </c>
    </row>
    <row r="1130" spans="15:19" x14ac:dyDescent="0.2">
      <c r="O1130" s="4">
        <f t="shared" ca="1" si="118"/>
        <v>0.29578489332245872</v>
      </c>
      <c r="P1130" s="4">
        <f t="shared" ca="1" si="119"/>
        <v>-0.53656259620364888</v>
      </c>
      <c r="Q1130" s="4">
        <f t="shared" ca="1" si="120"/>
        <v>1939.5194241930662</v>
      </c>
      <c r="R1130" s="4">
        <f t="shared" ca="1" si="121"/>
        <v>15.849380193066281</v>
      </c>
      <c r="S1130" s="4">
        <f t="shared" ca="1" si="122"/>
        <v>8.1253684475810761</v>
      </c>
    </row>
    <row r="1131" spans="15:19" x14ac:dyDescent="0.2">
      <c r="O1131" s="4">
        <f t="shared" ca="1" si="118"/>
        <v>0.97352201403126304</v>
      </c>
      <c r="P1131" s="4">
        <f t="shared" ca="1" si="119"/>
        <v>1.935279782340291</v>
      </c>
      <c r="Q1131" s="4">
        <f t="shared" ca="1" si="120"/>
        <v>1864.6350690823972</v>
      </c>
      <c r="R1131" s="4">
        <f t="shared" ca="1" si="121"/>
        <v>-59.034974917602767</v>
      </c>
      <c r="S1131" s="4">
        <f t="shared" ca="1" si="122"/>
        <v>-28.465394081481627</v>
      </c>
    </row>
    <row r="1132" spans="15:19" x14ac:dyDescent="0.2">
      <c r="O1132" s="4">
        <f t="shared" ca="1" si="118"/>
        <v>0.83341061333772859</v>
      </c>
      <c r="P1132" s="4">
        <f t="shared" ca="1" si="119"/>
        <v>0.96773091682860601</v>
      </c>
      <c r="Q1132" s="4">
        <f t="shared" ca="1" si="120"/>
        <v>1893.9469190048756</v>
      </c>
      <c r="R1132" s="4">
        <f t="shared" ca="1" si="121"/>
        <v>-29.723124995124408</v>
      </c>
      <c r="S1132" s="4">
        <f t="shared" ca="1" si="122"/>
        <v>-14.686505936371764</v>
      </c>
    </row>
    <row r="1133" spans="15:19" x14ac:dyDescent="0.2">
      <c r="O1133" s="4">
        <f t="shared" ca="1" si="118"/>
        <v>0.60071005787233056</v>
      </c>
      <c r="P1133" s="4">
        <f t="shared" ca="1" si="119"/>
        <v>0.25518542942100175</v>
      </c>
      <c r="Q1133" s="4">
        <f t="shared" ca="1" si="120"/>
        <v>1915.5334529095846</v>
      </c>
      <c r="R1133" s="4">
        <f t="shared" ca="1" si="121"/>
        <v>-8.1365910904153225</v>
      </c>
      <c r="S1133" s="4">
        <f t="shared" ca="1" si="122"/>
        <v>-4.091872449449351</v>
      </c>
    </row>
    <row r="1134" spans="15:19" x14ac:dyDescent="0.2">
      <c r="O1134" s="4">
        <f t="shared" ca="1" si="118"/>
        <v>0.66239448479395202</v>
      </c>
      <c r="P1134" s="4">
        <f t="shared" ca="1" si="119"/>
        <v>0.41900698101350492</v>
      </c>
      <c r="Q1134" s="4">
        <f t="shared" ca="1" si="120"/>
        <v>1910.5704862776024</v>
      </c>
      <c r="R1134" s="4">
        <f t="shared" ca="1" si="121"/>
        <v>-13.099557722397549</v>
      </c>
      <c r="S1134" s="4">
        <f t="shared" ca="1" si="122"/>
        <v>-6.5612719950847431</v>
      </c>
    </row>
    <row r="1135" spans="15:19" x14ac:dyDescent="0.2">
      <c r="O1135" s="4">
        <f t="shared" ca="1" si="118"/>
        <v>0.17956077816167293</v>
      </c>
      <c r="P1135" s="4">
        <f t="shared" ca="1" si="119"/>
        <v>-0.91704023588325645</v>
      </c>
      <c r="Q1135" s="4">
        <f t="shared" ca="1" si="120"/>
        <v>1951.0459773943346</v>
      </c>
      <c r="R1135" s="4">
        <f t="shared" ca="1" si="121"/>
        <v>27.375933394334652</v>
      </c>
      <c r="S1135" s="4">
        <f t="shared" ca="1" si="122"/>
        <v>14.163040293332189</v>
      </c>
    </row>
    <row r="1136" spans="15:19" x14ac:dyDescent="0.2">
      <c r="O1136" s="4">
        <f t="shared" ca="1" si="118"/>
        <v>0.11676133884831885</v>
      </c>
      <c r="P1136" s="4">
        <f t="shared" ca="1" si="119"/>
        <v>-1.1913335254024382</v>
      </c>
      <c r="Q1136" s="4">
        <f t="shared" ca="1" si="120"/>
        <v>1959.3556804219713</v>
      </c>
      <c r="R1136" s="4">
        <f t="shared" ca="1" si="121"/>
        <v>35.685636421971367</v>
      </c>
      <c r="S1136" s="4">
        <f t="shared" ca="1" si="122"/>
        <v>18.58280696202257</v>
      </c>
    </row>
    <row r="1137" spans="15:19" x14ac:dyDescent="0.2">
      <c r="O1137" s="4">
        <f t="shared" ca="1" si="118"/>
        <v>9.1606705440158809E-2</v>
      </c>
      <c r="P1137" s="4">
        <f t="shared" ca="1" si="119"/>
        <v>-1.3309258490007345</v>
      </c>
      <c r="Q1137" s="4">
        <f t="shared" ca="1" si="120"/>
        <v>1963.5846236676227</v>
      </c>
      <c r="R1137" s="4">
        <f t="shared" ca="1" si="121"/>
        <v>39.914579667622775</v>
      </c>
      <c r="S1137" s="4">
        <f t="shared" ca="1" si="122"/>
        <v>20.853683159604692</v>
      </c>
    </row>
    <row r="1138" spans="15:19" x14ac:dyDescent="0.2">
      <c r="O1138" s="4">
        <f t="shared" ca="1" si="118"/>
        <v>0.73950998529499801</v>
      </c>
      <c r="P1138" s="4">
        <f t="shared" ca="1" si="119"/>
        <v>0.64183545025586763</v>
      </c>
      <c r="Q1138" s="4">
        <f t="shared" ca="1" si="120"/>
        <v>1903.8199076952651</v>
      </c>
      <c r="R1138" s="4">
        <f t="shared" ca="1" si="121"/>
        <v>-19.85013630473486</v>
      </c>
      <c r="S1138" s="4">
        <f t="shared" ca="1" si="122"/>
        <v>-9.8879367908888955</v>
      </c>
    </row>
    <row r="1139" spans="15:19" x14ac:dyDescent="0.2">
      <c r="O1139" s="4">
        <f t="shared" ca="1" si="118"/>
        <v>0.20091144298667096</v>
      </c>
      <c r="P1139" s="4">
        <f t="shared" ca="1" si="119"/>
        <v>-0.83837008357147513</v>
      </c>
      <c r="Q1139" s="4">
        <f t="shared" ca="1" si="120"/>
        <v>1948.6626686229249</v>
      </c>
      <c r="R1139" s="4">
        <f t="shared" ca="1" si="121"/>
        <v>24.99262462292495</v>
      </c>
      <c r="S1139" s="4">
        <f t="shared" ca="1" si="122"/>
        <v>12.905779558293146</v>
      </c>
    </row>
    <row r="1140" spans="15:19" x14ac:dyDescent="0.2">
      <c r="O1140" s="4">
        <f t="shared" ca="1" si="118"/>
        <v>0.27700375433012669</v>
      </c>
      <c r="P1140" s="4">
        <f t="shared" ca="1" si="119"/>
        <v>-0.59176567903542232</v>
      </c>
      <c r="Q1140" s="4">
        <f t="shared" ca="1" si="120"/>
        <v>1941.191799136493</v>
      </c>
      <c r="R1140" s="4">
        <f t="shared" ca="1" si="121"/>
        <v>17.521755136493084</v>
      </c>
      <c r="S1140" s="4">
        <f t="shared" ca="1" si="122"/>
        <v>8.9946591716979736</v>
      </c>
    </row>
    <row r="1141" spans="15:19" x14ac:dyDescent="0.2">
      <c r="O1141" s="4">
        <f t="shared" ca="1" si="118"/>
        <v>0.36333549218939587</v>
      </c>
      <c r="P1141" s="4">
        <f t="shared" ca="1" si="119"/>
        <v>-0.34955726909512969</v>
      </c>
      <c r="Q1141" s="4">
        <f t="shared" ca="1" si="120"/>
        <v>1933.8541061111625</v>
      </c>
      <c r="R1141" s="4">
        <f t="shared" ca="1" si="121"/>
        <v>10.184062111162575</v>
      </c>
      <c r="S1141" s="4">
        <f t="shared" ca="1" si="122"/>
        <v>5.1974912266322946</v>
      </c>
    </row>
    <row r="1142" spans="15:19" x14ac:dyDescent="0.2">
      <c r="O1142" s="4">
        <f t="shared" ca="1" si="118"/>
        <v>0.5523493817164431</v>
      </c>
      <c r="P1142" s="4">
        <f t="shared" ca="1" si="119"/>
        <v>0.13159930336600631</v>
      </c>
      <c r="Q1142" s="4">
        <f t="shared" ca="1" si="120"/>
        <v>1919.2774891113208</v>
      </c>
      <c r="R1142" s="4">
        <f t="shared" ca="1" si="121"/>
        <v>-4.3925548886791148</v>
      </c>
      <c r="S1142" s="4">
        <f t="shared" ca="1" si="122"/>
        <v>-2.2157000964814824</v>
      </c>
    </row>
    <row r="1143" spans="15:19" x14ac:dyDescent="0.2">
      <c r="O1143" s="4">
        <f t="shared" ca="1" si="118"/>
        <v>0.97005262086315103</v>
      </c>
      <c r="P1143" s="4">
        <f t="shared" ca="1" si="119"/>
        <v>1.8815675303234642</v>
      </c>
      <c r="Q1143" s="4">
        <f t="shared" ca="1" si="120"/>
        <v>1866.262279372477</v>
      </c>
      <c r="R1143" s="4">
        <f t="shared" ca="1" si="121"/>
        <v>-57.407764627522965</v>
      </c>
      <c r="S1143" s="4">
        <f t="shared" ca="1" si="122"/>
        <v>-27.718814478309131</v>
      </c>
    </row>
    <row r="1144" spans="15:19" x14ac:dyDescent="0.2">
      <c r="O1144" s="4">
        <f t="shared" ca="1" si="118"/>
        <v>0.375108676481687</v>
      </c>
      <c r="P1144" s="4">
        <f t="shared" ca="1" si="119"/>
        <v>-0.3183527793527744</v>
      </c>
      <c r="Q1144" s="4">
        <f t="shared" ca="1" si="120"/>
        <v>1932.9087674798657</v>
      </c>
      <c r="R1144" s="4">
        <f t="shared" ca="1" si="121"/>
        <v>9.2387234798657119</v>
      </c>
      <c r="S1144" s="4">
        <f t="shared" ca="1" si="122"/>
        <v>4.7114773093206077</v>
      </c>
    </row>
    <row r="1145" spans="15:19" x14ac:dyDescent="0.2">
      <c r="O1145" s="4">
        <f t="shared" ca="1" si="118"/>
        <v>0.53848964311624237</v>
      </c>
      <c r="P1145" s="4">
        <f t="shared" ca="1" si="119"/>
        <v>9.6629392633297354E-2</v>
      </c>
      <c r="Q1145" s="4">
        <f t="shared" ca="1" si="120"/>
        <v>1920.3369010043393</v>
      </c>
      <c r="R1145" s="4">
        <f t="shared" ca="1" si="121"/>
        <v>-3.3331429956606371</v>
      </c>
      <c r="S1145" s="4">
        <f t="shared" ca="1" si="122"/>
        <v>-1.6827471573495434</v>
      </c>
    </row>
    <row r="1146" spans="15:19" x14ac:dyDescent="0.2">
      <c r="O1146" s="4">
        <f t="shared" ca="1" si="118"/>
        <v>4.1358692899646443E-2</v>
      </c>
      <c r="P1146" s="4">
        <f t="shared" ca="1" si="119"/>
        <v>-1.7351322354143208</v>
      </c>
      <c r="Q1146" s="4">
        <f t="shared" ca="1" si="120"/>
        <v>1975.8300381976646</v>
      </c>
      <c r="R1146" s="4">
        <f t="shared" ca="1" si="121"/>
        <v>52.159994197664673</v>
      </c>
      <c r="S1146" s="4">
        <f t="shared" ca="1" si="122"/>
        <v>27.511398957936606</v>
      </c>
    </row>
    <row r="1147" spans="15:19" x14ac:dyDescent="0.2">
      <c r="O1147" s="4">
        <f t="shared" ca="1" si="118"/>
        <v>0.96813662369530185</v>
      </c>
      <c r="P1147" s="4">
        <f t="shared" ca="1" si="119"/>
        <v>1.8540867318832279</v>
      </c>
      <c r="Q1147" s="4">
        <f t="shared" ca="1" si="120"/>
        <v>1867.094808941104</v>
      </c>
      <c r="R1147" s="4">
        <f t="shared" ca="1" si="121"/>
        <v>-56.575235058895942</v>
      </c>
      <c r="S1147" s="4">
        <f t="shared" ca="1" si="122"/>
        <v>-27.336008371790154</v>
      </c>
    </row>
    <row r="1148" spans="15:19" x14ac:dyDescent="0.2">
      <c r="O1148" s="4">
        <f t="shared" ca="1" si="118"/>
        <v>0.59974892670492985</v>
      </c>
      <c r="P1148" s="4">
        <f t="shared" ca="1" si="119"/>
        <v>0.25269728432353566</v>
      </c>
      <c r="Q1148" s="4">
        <f t="shared" ca="1" si="120"/>
        <v>1915.6088311548413</v>
      </c>
      <c r="R1148" s="4">
        <f t="shared" ca="1" si="121"/>
        <v>-8.0612128451587068</v>
      </c>
      <c r="S1148" s="4">
        <f t="shared" ca="1" si="122"/>
        <v>-4.05421225944899</v>
      </c>
    </row>
    <row r="1149" spans="15:19" x14ac:dyDescent="0.2">
      <c r="O1149" s="4">
        <f t="shared" ca="1" si="118"/>
        <v>0.47638168540570536</v>
      </c>
      <c r="P1149" s="4">
        <f t="shared" ca="1" si="119"/>
        <v>-5.9236960856243588E-2</v>
      </c>
      <c r="Q1149" s="4">
        <f t="shared" ca="1" si="120"/>
        <v>1925.0588652629954</v>
      </c>
      <c r="R1149" s="4">
        <f t="shared" ca="1" si="121"/>
        <v>1.3888212629954069</v>
      </c>
      <c r="S1149" s="4">
        <f t="shared" ca="1" si="122"/>
        <v>0.7038200917972447</v>
      </c>
    </row>
    <row r="1150" spans="15:19" x14ac:dyDescent="0.2">
      <c r="O1150" s="4">
        <f t="shared" ca="1" si="118"/>
        <v>0.23857534788222989</v>
      </c>
      <c r="P1150" s="4">
        <f t="shared" ca="1" si="119"/>
        <v>-0.71089275527289875</v>
      </c>
      <c r="Q1150" s="4">
        <f t="shared" ca="1" si="120"/>
        <v>1944.8007486219849</v>
      </c>
      <c r="R1150" s="4">
        <f t="shared" ca="1" si="121"/>
        <v>21.130704621984933</v>
      </c>
      <c r="S1150" s="4">
        <f t="shared" ca="1" si="122"/>
        <v>10.878328780527397</v>
      </c>
    </row>
    <row r="1151" spans="15:19" x14ac:dyDescent="0.2">
      <c r="O1151" s="4">
        <f t="shared" ca="1" si="118"/>
        <v>0.65294605108389525</v>
      </c>
      <c r="P1151" s="4">
        <f t="shared" ca="1" si="119"/>
        <v>0.39328648670643374</v>
      </c>
      <c r="Q1151" s="4">
        <f t="shared" ca="1" si="120"/>
        <v>1911.3496875106707</v>
      </c>
      <c r="R1151" s="4">
        <f t="shared" ca="1" si="121"/>
        <v>-12.320356489329242</v>
      </c>
      <c r="S1151" s="4">
        <f t="shared" ca="1" si="122"/>
        <v>-6.1748956118718352</v>
      </c>
    </row>
    <row r="1152" spans="15:19" x14ac:dyDescent="0.2">
      <c r="O1152" s="4">
        <f t="shared" ca="1" si="118"/>
        <v>0.18245087877594257</v>
      </c>
      <c r="P1152" s="4">
        <f t="shared" ca="1" si="119"/>
        <v>-0.90606441754326017</v>
      </c>
      <c r="Q1152" s="4">
        <f t="shared" ca="1" si="120"/>
        <v>1950.7134654650399</v>
      </c>
      <c r="R1152" s="4">
        <f t="shared" ca="1" si="121"/>
        <v>27.043421465039955</v>
      </c>
      <c r="S1152" s="4">
        <f t="shared" ca="1" si="122"/>
        <v>13.987353545692001</v>
      </c>
    </row>
    <row r="1153" spans="15:19" x14ac:dyDescent="0.2">
      <c r="O1153" s="4">
        <f t="shared" ca="1" si="118"/>
        <v>0.34543836267680239</v>
      </c>
      <c r="P1153" s="4">
        <f t="shared" ca="1" si="119"/>
        <v>-0.39766556268171221</v>
      </c>
      <c r="Q1153" s="4">
        <f t="shared" ca="1" si="120"/>
        <v>1935.3115447294076</v>
      </c>
      <c r="R1153" s="4">
        <f t="shared" ca="1" si="121"/>
        <v>11.641500729407653</v>
      </c>
      <c r="S1153" s="4">
        <f t="shared" ca="1" si="122"/>
        <v>5.9482095658782121</v>
      </c>
    </row>
    <row r="1154" spans="15:19" x14ac:dyDescent="0.2">
      <c r="O1154" s="4">
        <f t="shared" ca="1" si="118"/>
        <v>0.46441527670725413</v>
      </c>
      <c r="P1154" s="4">
        <f t="shared" ca="1" si="119"/>
        <v>-8.9316283516685385E-2</v>
      </c>
      <c r="Q1154" s="4">
        <f t="shared" ca="1" si="120"/>
        <v>1925.9701170075016</v>
      </c>
      <c r="R1154" s="4">
        <f t="shared" ca="1" si="121"/>
        <v>2.3000730075016236</v>
      </c>
      <c r="S1154" s="4">
        <f t="shared" ca="1" si="122"/>
        <v>1.1664730183091434</v>
      </c>
    </row>
    <row r="1155" spans="15:19" x14ac:dyDescent="0.2">
      <c r="O1155" s="4">
        <f t="shared" ref="O1155:O1218" ca="1" si="123">RAND()</f>
        <v>0.25590326483174386</v>
      </c>
      <c r="P1155" s="4">
        <f t="shared" ref="P1155:P1218" ca="1" si="124">NORMSINV(O1155)</f>
        <v>-0.65602734566096144</v>
      </c>
      <c r="Q1155" s="4">
        <f t="shared" ref="Q1155:Q1218" ca="1" si="125">$B$4*(1+$B$17-$B$6/SQRT(252)*P1155)</f>
        <v>1943.1386034737604</v>
      </c>
      <c r="R1155" s="4">
        <f t="shared" ref="R1155:R1218" ca="1" si="126">Q1155-$B$4</f>
        <v>19.468559473760479</v>
      </c>
      <c r="S1155" s="4">
        <f t="shared" ref="S1155:S1218" ca="1" si="127">R1155*$B$12+0.5*$B$13*R1155^2</f>
        <v>10.009464833435652</v>
      </c>
    </row>
    <row r="1156" spans="15:19" x14ac:dyDescent="0.2">
      <c r="O1156" s="4">
        <f t="shared" ca="1" si="123"/>
        <v>0.74249485904533408</v>
      </c>
      <c r="P1156" s="4">
        <f t="shared" ca="1" si="124"/>
        <v>0.65105608714888774</v>
      </c>
      <c r="Q1156" s="4">
        <f t="shared" ca="1" si="125"/>
        <v>1903.5405689099782</v>
      </c>
      <c r="R1156" s="4">
        <f t="shared" ca="1" si="126"/>
        <v>-20.129475090021742</v>
      </c>
      <c r="S1156" s="4">
        <f t="shared" ca="1" si="127"/>
        <v>-10.024794729569217</v>
      </c>
    </row>
    <row r="1157" spans="15:19" x14ac:dyDescent="0.2">
      <c r="O1157" s="4">
        <f t="shared" ca="1" si="123"/>
        <v>6.0450869262070661E-2</v>
      </c>
      <c r="P1157" s="4">
        <f t="shared" ca="1" si="124"/>
        <v>-1.5509997723160922</v>
      </c>
      <c r="Q1157" s="4">
        <f t="shared" ca="1" si="125"/>
        <v>1970.2517534034002</v>
      </c>
      <c r="R1157" s="4">
        <f t="shared" ca="1" si="126"/>
        <v>46.581709403400282</v>
      </c>
      <c r="S1157" s="4">
        <f t="shared" ca="1" si="127"/>
        <v>24.463399023218805</v>
      </c>
    </row>
    <row r="1158" spans="15:19" x14ac:dyDescent="0.2">
      <c r="O1158" s="4">
        <f t="shared" ca="1" si="123"/>
        <v>0.2681057045061197</v>
      </c>
      <c r="P1158" s="4">
        <f t="shared" ca="1" si="124"/>
        <v>-0.61855218574108095</v>
      </c>
      <c r="Q1158" s="4">
        <f t="shared" ca="1" si="125"/>
        <v>1942.0032951678472</v>
      </c>
      <c r="R1158" s="4">
        <f t="shared" ca="1" si="126"/>
        <v>18.333251167847266</v>
      </c>
      <c r="S1158" s="4">
        <f t="shared" ca="1" si="127"/>
        <v>9.4172905769970665</v>
      </c>
    </row>
    <row r="1159" spans="15:19" x14ac:dyDescent="0.2">
      <c r="O1159" s="4">
        <f t="shared" ca="1" si="123"/>
        <v>0.53198475058976979</v>
      </c>
      <c r="P1159" s="4">
        <f t="shared" ca="1" si="124"/>
        <v>8.0259964916712764E-2</v>
      </c>
      <c r="Q1159" s="4">
        <f t="shared" ca="1" si="125"/>
        <v>1920.8328120902272</v>
      </c>
      <c r="R1159" s="4">
        <f t="shared" ca="1" si="126"/>
        <v>-2.8372319097727541</v>
      </c>
      <c r="S1159" s="4">
        <f t="shared" ca="1" si="127"/>
        <v>-1.4329577227277954</v>
      </c>
    </row>
    <row r="1160" spans="15:19" x14ac:dyDescent="0.2">
      <c r="O1160" s="4">
        <f t="shared" ca="1" si="123"/>
        <v>0.17342796510019531</v>
      </c>
      <c r="P1160" s="4">
        <f t="shared" ca="1" si="124"/>
        <v>-0.94070524537426192</v>
      </c>
      <c r="Q1160" s="4">
        <f t="shared" ca="1" si="125"/>
        <v>1951.762907806162</v>
      </c>
      <c r="R1160" s="4">
        <f t="shared" ca="1" si="126"/>
        <v>28.092863806162086</v>
      </c>
      <c r="S1160" s="4">
        <f t="shared" ca="1" si="127"/>
        <v>14.542145520904576</v>
      </c>
    </row>
    <row r="1161" spans="15:19" x14ac:dyDescent="0.2">
      <c r="O1161" s="4">
        <f t="shared" ca="1" si="123"/>
        <v>0.15050159255311524</v>
      </c>
      <c r="P1161" s="4">
        <f t="shared" ca="1" si="124"/>
        <v>-1.0342844908529367</v>
      </c>
      <c r="Q1161" s="4">
        <f t="shared" ca="1" si="125"/>
        <v>1954.5978868931138</v>
      </c>
      <c r="R1161" s="4">
        <f t="shared" ca="1" si="126"/>
        <v>30.927842893113848</v>
      </c>
      <c r="S1161" s="4">
        <f t="shared" ca="1" si="127"/>
        <v>16.045351531052134</v>
      </c>
    </row>
    <row r="1162" spans="15:19" x14ac:dyDescent="0.2">
      <c r="O1162" s="4">
        <f t="shared" ca="1" si="123"/>
        <v>0.11853541637391962</v>
      </c>
      <c r="P1162" s="4">
        <f t="shared" ca="1" si="124"/>
        <v>-1.1823399680446183</v>
      </c>
      <c r="Q1162" s="4">
        <f t="shared" ca="1" si="125"/>
        <v>1959.0832210011215</v>
      </c>
      <c r="R1162" s="4">
        <f t="shared" ca="1" si="126"/>
        <v>35.413177001121539</v>
      </c>
      <c r="S1162" s="4">
        <f t="shared" ca="1" si="127"/>
        <v>18.436999776062944</v>
      </c>
    </row>
    <row r="1163" spans="15:19" x14ac:dyDescent="0.2">
      <c r="O1163" s="4">
        <f t="shared" ca="1" si="123"/>
        <v>0.55732982951708765</v>
      </c>
      <c r="P1163" s="4">
        <f t="shared" ca="1" si="124"/>
        <v>0.14420278608269058</v>
      </c>
      <c r="Q1163" s="4">
        <f t="shared" ca="1" si="125"/>
        <v>1918.895667162001</v>
      </c>
      <c r="R1163" s="4">
        <f t="shared" ca="1" si="126"/>
        <v>-4.7743768379989433</v>
      </c>
      <c r="S1163" s="4">
        <f t="shared" ca="1" si="127"/>
        <v>-2.4075573095909628</v>
      </c>
    </row>
    <row r="1164" spans="15:19" x14ac:dyDescent="0.2">
      <c r="O1164" s="4">
        <f t="shared" ca="1" si="123"/>
        <v>0.69353896145093952</v>
      </c>
      <c r="P1164" s="4">
        <f t="shared" ca="1" si="124"/>
        <v>0.50590680189406101</v>
      </c>
      <c r="Q1164" s="4">
        <f t="shared" ca="1" si="125"/>
        <v>1907.9378600622906</v>
      </c>
      <c r="R1164" s="4">
        <f t="shared" ca="1" si="126"/>
        <v>-15.732183937709351</v>
      </c>
      <c r="S1164" s="4">
        <f t="shared" ca="1" si="127"/>
        <v>-7.8630353151824925</v>
      </c>
    </row>
    <row r="1165" spans="15:19" x14ac:dyDescent="0.2">
      <c r="O1165" s="4">
        <f t="shared" ca="1" si="123"/>
        <v>0.54890984687207556</v>
      </c>
      <c r="P1165" s="4">
        <f t="shared" ca="1" si="124"/>
        <v>0.12290755084507449</v>
      </c>
      <c r="Q1165" s="4">
        <f t="shared" ca="1" si="125"/>
        <v>1919.5408053680374</v>
      </c>
      <c r="R1165" s="4">
        <f t="shared" ca="1" si="126"/>
        <v>-4.1292386319626075</v>
      </c>
      <c r="S1165" s="4">
        <f t="shared" ca="1" si="127"/>
        <v>-2.083320261706759</v>
      </c>
    </row>
    <row r="1166" spans="15:19" x14ac:dyDescent="0.2">
      <c r="O1166" s="4">
        <f t="shared" ca="1" si="123"/>
        <v>0.97442204421052236</v>
      </c>
      <c r="P1166" s="4">
        <f t="shared" ca="1" si="124"/>
        <v>1.9501695687992082</v>
      </c>
      <c r="Q1166" s="4">
        <f t="shared" ca="1" si="125"/>
        <v>1864.1839836627159</v>
      </c>
      <c r="R1166" s="4">
        <f t="shared" ca="1" si="126"/>
        <v>-59.486060337284016</v>
      </c>
      <c r="S1166" s="4">
        <f t="shared" ca="1" si="127"/>
        <v>-28.671974752092247</v>
      </c>
    </row>
    <row r="1167" spans="15:19" x14ac:dyDescent="0.2">
      <c r="O1167" s="4">
        <f t="shared" ca="1" si="123"/>
        <v>0.88285360202036356</v>
      </c>
      <c r="P1167" s="4">
        <f t="shared" ca="1" si="124"/>
        <v>1.1893733171250715</v>
      </c>
      <c r="Q1167" s="4">
        <f t="shared" ca="1" si="125"/>
        <v>1887.2322723285943</v>
      </c>
      <c r="R1167" s="4">
        <f t="shared" ca="1" si="126"/>
        <v>-36.437771671405699</v>
      </c>
      <c r="S1167" s="4">
        <f t="shared" ca="1" si="127"/>
        <v>-17.904686552633084</v>
      </c>
    </row>
    <row r="1168" spans="15:19" x14ac:dyDescent="0.2">
      <c r="O1168" s="4">
        <f t="shared" ca="1" si="123"/>
        <v>3.3208782509740353E-2</v>
      </c>
      <c r="P1168" s="4">
        <f t="shared" ca="1" si="124"/>
        <v>-1.8355950823067413</v>
      </c>
      <c r="Q1168" s="4">
        <f t="shared" ca="1" si="125"/>
        <v>1978.8735556838212</v>
      </c>
      <c r="R1168" s="4">
        <f t="shared" ca="1" si="126"/>
        <v>55.203511683821262</v>
      </c>
      <c r="S1168" s="4">
        <f t="shared" ca="1" si="127"/>
        <v>29.185072362745341</v>
      </c>
    </row>
    <row r="1169" spans="15:19" x14ac:dyDescent="0.2">
      <c r="O1169" s="4">
        <f t="shared" ca="1" si="123"/>
        <v>0.54808831268521352</v>
      </c>
      <c r="P1169" s="4">
        <f t="shared" ca="1" si="124"/>
        <v>0.12083292014945601</v>
      </c>
      <c r="Q1169" s="4">
        <f t="shared" ca="1" si="125"/>
        <v>1919.6036562128497</v>
      </c>
      <c r="R1169" s="4">
        <f t="shared" ca="1" si="126"/>
        <v>-4.0663877871502336</v>
      </c>
      <c r="S1169" s="4">
        <f t="shared" ca="1" si="127"/>
        <v>-2.0517142306349609</v>
      </c>
    </row>
    <row r="1170" spans="15:19" x14ac:dyDescent="0.2">
      <c r="O1170" s="4">
        <f t="shared" ca="1" si="123"/>
        <v>0.51333403986155834</v>
      </c>
      <c r="P1170" s="4">
        <f t="shared" ca="1" si="124"/>
        <v>3.3429706823693374E-2</v>
      </c>
      <c r="Q1170" s="4">
        <f t="shared" ca="1" si="125"/>
        <v>1922.2515326799387</v>
      </c>
      <c r="R1170" s="4">
        <f t="shared" ca="1" si="126"/>
        <v>-1.4185113200612705</v>
      </c>
      <c r="S1170" s="4">
        <f t="shared" ca="1" si="127"/>
        <v>-0.7172452301384219</v>
      </c>
    </row>
    <row r="1171" spans="15:19" x14ac:dyDescent="0.2">
      <c r="O1171" s="4">
        <f t="shared" ca="1" si="123"/>
        <v>0.94277629717358791</v>
      </c>
      <c r="P1171" s="4">
        <f t="shared" ca="1" si="124"/>
        <v>1.5785147352634896</v>
      </c>
      <c r="Q1171" s="4">
        <f t="shared" ca="1" si="125"/>
        <v>1875.4432503435789</v>
      </c>
      <c r="R1171" s="4">
        <f t="shared" ca="1" si="126"/>
        <v>-48.226793656421023</v>
      </c>
      <c r="S1171" s="4">
        <f t="shared" ca="1" si="127"/>
        <v>-23.466104102986495</v>
      </c>
    </row>
    <row r="1172" spans="15:19" x14ac:dyDescent="0.2">
      <c r="O1172" s="4">
        <f t="shared" ca="1" si="123"/>
        <v>0.28104496395535328</v>
      </c>
      <c r="P1172" s="4">
        <f t="shared" ca="1" si="124"/>
        <v>-0.57974005437826603</v>
      </c>
      <c r="Q1172" s="4">
        <f t="shared" ca="1" si="125"/>
        <v>1940.8274833714302</v>
      </c>
      <c r="R1172" s="4">
        <f t="shared" ca="1" si="126"/>
        <v>17.1574393714302</v>
      </c>
      <c r="S1172" s="4">
        <f t="shared" ca="1" si="127"/>
        <v>8.8050959782219866</v>
      </c>
    </row>
    <row r="1173" spans="15:19" x14ac:dyDescent="0.2">
      <c r="O1173" s="4">
        <f t="shared" ca="1" si="123"/>
        <v>0.36799123720877447</v>
      </c>
      <c r="P1173" s="4">
        <f t="shared" ca="1" si="124"/>
        <v>-0.33717832672978387</v>
      </c>
      <c r="Q1173" s="4">
        <f t="shared" ca="1" si="125"/>
        <v>1933.4790866018168</v>
      </c>
      <c r="R1173" s="4">
        <f t="shared" ca="1" si="126"/>
        <v>9.8090426018168273</v>
      </c>
      <c r="S1173" s="4">
        <f t="shared" ca="1" si="127"/>
        <v>5.004600552321711</v>
      </c>
    </row>
    <row r="1174" spans="15:19" x14ac:dyDescent="0.2">
      <c r="O1174" s="4">
        <f t="shared" ca="1" si="123"/>
        <v>0.4039575448354974</v>
      </c>
      <c r="P1174" s="4">
        <f t="shared" ca="1" si="124"/>
        <v>-0.24311657719089638</v>
      </c>
      <c r="Q1174" s="4">
        <f t="shared" ca="1" si="125"/>
        <v>1930.6294900757835</v>
      </c>
      <c r="R1174" s="4">
        <f t="shared" ca="1" si="126"/>
        <v>6.9594460757834895</v>
      </c>
      <c r="S1174" s="4">
        <f t="shared" ca="1" si="127"/>
        <v>3.542655716649814</v>
      </c>
    </row>
    <row r="1175" spans="15:19" x14ac:dyDescent="0.2">
      <c r="O1175" s="4">
        <f t="shared" ca="1" si="123"/>
        <v>0.25978040040834915</v>
      </c>
      <c r="P1175" s="4">
        <f t="shared" ca="1" si="124"/>
        <v>-0.64402256630678956</v>
      </c>
      <c r="Q1175" s="4">
        <f t="shared" ca="1" si="125"/>
        <v>1942.774919216226</v>
      </c>
      <c r="R1175" s="4">
        <f t="shared" ca="1" si="126"/>
        <v>19.104875216225992</v>
      </c>
      <c r="S1175" s="4">
        <f t="shared" ca="1" si="127"/>
        <v>9.8196537086430737</v>
      </c>
    </row>
    <row r="1176" spans="15:19" x14ac:dyDescent="0.2">
      <c r="O1176" s="4">
        <f t="shared" ca="1" si="123"/>
        <v>0.42410213439845712</v>
      </c>
      <c r="P1176" s="4">
        <f t="shared" ca="1" si="124"/>
        <v>-0.19141014966528833</v>
      </c>
      <c r="Q1176" s="4">
        <f t="shared" ca="1" si="125"/>
        <v>1929.0630461496085</v>
      </c>
      <c r="R1176" s="4">
        <f t="shared" ca="1" si="126"/>
        <v>5.3930021496084919</v>
      </c>
      <c r="S1176" s="4">
        <f t="shared" ca="1" si="127"/>
        <v>2.7418299056514051</v>
      </c>
    </row>
    <row r="1177" spans="15:19" x14ac:dyDescent="0.2">
      <c r="O1177" s="4">
        <f t="shared" ca="1" si="123"/>
        <v>0.7367481915244839</v>
      </c>
      <c r="P1177" s="4">
        <f t="shared" ca="1" si="124"/>
        <v>0.63335228477351568</v>
      </c>
      <c r="Q1177" s="4">
        <f t="shared" ca="1" si="125"/>
        <v>1904.0769048169091</v>
      </c>
      <c r="R1177" s="4">
        <f t="shared" ca="1" si="126"/>
        <v>-19.593139183090898</v>
      </c>
      <c r="S1177" s="4">
        <f t="shared" ca="1" si="127"/>
        <v>-9.7619687133434923</v>
      </c>
    </row>
    <row r="1178" spans="15:19" x14ac:dyDescent="0.2">
      <c r="O1178" s="4">
        <f t="shared" ca="1" si="123"/>
        <v>0.65220756887947839</v>
      </c>
      <c r="P1178" s="4">
        <f t="shared" ca="1" si="124"/>
        <v>0.39128733107063501</v>
      </c>
      <c r="Q1178" s="4">
        <f t="shared" ca="1" si="125"/>
        <v>1911.410251841897</v>
      </c>
      <c r="R1178" s="4">
        <f t="shared" ca="1" si="126"/>
        <v>-12.259792158102982</v>
      </c>
      <c r="S1178" s="4">
        <f t="shared" ca="1" si="127"/>
        <v>-6.1448433501057442</v>
      </c>
    </row>
    <row r="1179" spans="15:19" x14ac:dyDescent="0.2">
      <c r="O1179" s="4">
        <f t="shared" ca="1" si="123"/>
        <v>0.78285588133211004</v>
      </c>
      <c r="P1179" s="4">
        <f t="shared" ca="1" si="124"/>
        <v>0.78187466187298726</v>
      </c>
      <c r="Q1179" s="4">
        <f t="shared" ca="1" si="125"/>
        <v>1899.5774259969248</v>
      </c>
      <c r="R1179" s="4">
        <f t="shared" ca="1" si="126"/>
        <v>-24.092618003075131</v>
      </c>
      <c r="S1179" s="4">
        <f t="shared" ca="1" si="127"/>
        <v>-11.959634159110045</v>
      </c>
    </row>
    <row r="1180" spans="15:19" x14ac:dyDescent="0.2">
      <c r="O1180" s="4">
        <f t="shared" ca="1" si="123"/>
        <v>0.76739108555967694</v>
      </c>
      <c r="P1180" s="4">
        <f t="shared" ca="1" si="124"/>
        <v>0.73028199935430971</v>
      </c>
      <c r="Q1180" s="4">
        <f t="shared" ca="1" si="125"/>
        <v>1901.1404234172658</v>
      </c>
      <c r="R1180" s="4">
        <f t="shared" ca="1" si="126"/>
        <v>-22.529620582734196</v>
      </c>
      <c r="S1180" s="4">
        <f t="shared" ca="1" si="127"/>
        <v>-11.198092868557461</v>
      </c>
    </row>
    <row r="1181" spans="15:19" x14ac:dyDescent="0.2">
      <c r="O1181" s="4">
        <f t="shared" ca="1" si="123"/>
        <v>0.31574334485976352</v>
      </c>
      <c r="P1181" s="4">
        <f t="shared" ca="1" si="124"/>
        <v>-0.47963537231971598</v>
      </c>
      <c r="Q1181" s="4">
        <f t="shared" ca="1" si="125"/>
        <v>1937.794816473014</v>
      </c>
      <c r="R1181" s="4">
        <f t="shared" ca="1" si="126"/>
        <v>14.124772473013991</v>
      </c>
      <c r="S1181" s="4">
        <f t="shared" ca="1" si="127"/>
        <v>7.2313122311683573</v>
      </c>
    </row>
    <row r="1182" spans="15:19" x14ac:dyDescent="0.2">
      <c r="O1182" s="4">
        <f t="shared" ca="1" si="123"/>
        <v>0.38110374445613693</v>
      </c>
      <c r="P1182" s="4">
        <f t="shared" ca="1" si="124"/>
        <v>-0.30258323960250483</v>
      </c>
      <c r="Q1182" s="4">
        <f t="shared" ca="1" si="125"/>
        <v>1932.4310299732831</v>
      </c>
      <c r="R1182" s="4">
        <f t="shared" ca="1" si="126"/>
        <v>8.760985973283141</v>
      </c>
      <c r="S1182" s="4">
        <f t="shared" ca="1" si="127"/>
        <v>4.4661414603337652</v>
      </c>
    </row>
    <row r="1183" spans="15:19" x14ac:dyDescent="0.2">
      <c r="O1183" s="4">
        <f t="shared" ca="1" si="123"/>
        <v>0.46081452718285187</v>
      </c>
      <c r="P1183" s="4">
        <f t="shared" ca="1" si="124"/>
        <v>-9.8381890291774077E-2</v>
      </c>
      <c r="Q1183" s="4">
        <f t="shared" ca="1" si="125"/>
        <v>1926.2447591622495</v>
      </c>
      <c r="R1183" s="4">
        <f t="shared" ca="1" si="126"/>
        <v>2.5747151622495039</v>
      </c>
      <c r="S1183" s="4">
        <f t="shared" ca="1" si="127"/>
        <v>1.3060445605044542</v>
      </c>
    </row>
    <row r="1184" spans="15:19" x14ac:dyDescent="0.2">
      <c r="O1184" s="4">
        <f t="shared" ca="1" si="123"/>
        <v>0.50006868030638429</v>
      </c>
      <c r="P1184" s="4">
        <f t="shared" ca="1" si="124"/>
        <v>1.7215599874357681E-4</v>
      </c>
      <c r="Q1184" s="4">
        <f t="shared" ca="1" si="125"/>
        <v>1923.2590687055786</v>
      </c>
      <c r="R1184" s="4">
        <f t="shared" ca="1" si="126"/>
        <v>-0.41097529442140512</v>
      </c>
      <c r="S1184" s="4">
        <f t="shared" ca="1" si="127"/>
        <v>-0.20797096522609471</v>
      </c>
    </row>
    <row r="1185" spans="15:19" x14ac:dyDescent="0.2">
      <c r="O1185" s="4">
        <f t="shared" ca="1" si="123"/>
        <v>0.50094913966649823</v>
      </c>
      <c r="P1185" s="4">
        <f t="shared" ca="1" si="124"/>
        <v>2.3791425690675295E-3</v>
      </c>
      <c r="Q1185" s="4">
        <f t="shared" ca="1" si="125"/>
        <v>1923.1922081454188</v>
      </c>
      <c r="R1185" s="4">
        <f t="shared" ca="1" si="126"/>
        <v>-0.4778358545811443</v>
      </c>
      <c r="S1185" s="4">
        <f t="shared" ca="1" si="127"/>
        <v>-0.24179224500858459</v>
      </c>
    </row>
    <row r="1186" spans="15:19" x14ac:dyDescent="0.2">
      <c r="O1186" s="4">
        <f t="shared" ca="1" si="123"/>
        <v>0.22343421163188604</v>
      </c>
      <c r="P1186" s="4">
        <f t="shared" ca="1" si="124"/>
        <v>-0.76064618958019004</v>
      </c>
      <c r="Q1186" s="4">
        <f t="shared" ca="1" si="125"/>
        <v>1946.3080267053217</v>
      </c>
      <c r="R1186" s="4">
        <f t="shared" ca="1" si="126"/>
        <v>22.637982705321747</v>
      </c>
      <c r="S1186" s="4">
        <f t="shared" ca="1" si="127"/>
        <v>11.668182711229866</v>
      </c>
    </row>
    <row r="1187" spans="15:19" x14ac:dyDescent="0.2">
      <c r="O1187" s="4">
        <f t="shared" ca="1" si="123"/>
        <v>0.61308039742671316</v>
      </c>
      <c r="P1187" s="4">
        <f t="shared" ca="1" si="124"/>
        <v>0.28735670900346633</v>
      </c>
      <c r="Q1187" s="4">
        <f t="shared" ca="1" si="125"/>
        <v>1914.5588254230063</v>
      </c>
      <c r="R1187" s="4">
        <f t="shared" ca="1" si="126"/>
        <v>-9.1112185769936787</v>
      </c>
      <c r="S1187" s="4">
        <f t="shared" ca="1" si="127"/>
        <v>-4.5783955187619938</v>
      </c>
    </row>
    <row r="1188" spans="15:19" x14ac:dyDescent="0.2">
      <c r="O1188" s="4">
        <f t="shared" ca="1" si="123"/>
        <v>0.66425046540030064</v>
      </c>
      <c r="P1188" s="4">
        <f t="shared" ca="1" si="124"/>
        <v>0.42409152063871275</v>
      </c>
      <c r="Q1188" s="4">
        <f t="shared" ca="1" si="125"/>
        <v>1910.416450375405</v>
      </c>
      <c r="R1188" s="4">
        <f t="shared" ca="1" si="126"/>
        <v>-13.253593624594942</v>
      </c>
      <c r="S1188" s="4">
        <f t="shared" ca="1" si="127"/>
        <v>-6.637594048636478</v>
      </c>
    </row>
    <row r="1189" spans="15:19" x14ac:dyDescent="0.2">
      <c r="O1189" s="4">
        <f t="shared" ca="1" si="123"/>
        <v>0.14023088396646677</v>
      </c>
      <c r="P1189" s="4">
        <f t="shared" ca="1" si="124"/>
        <v>-1.0792825983124619</v>
      </c>
      <c r="Q1189" s="4">
        <f t="shared" ca="1" si="125"/>
        <v>1955.9611025607294</v>
      </c>
      <c r="R1189" s="4">
        <f t="shared" ca="1" si="126"/>
        <v>32.291058560729425</v>
      </c>
      <c r="S1189" s="4">
        <f t="shared" ca="1" si="127"/>
        <v>16.770506286269448</v>
      </c>
    </row>
    <row r="1190" spans="15:19" x14ac:dyDescent="0.2">
      <c r="O1190" s="4">
        <f t="shared" ca="1" si="123"/>
        <v>0.23835650437181011</v>
      </c>
      <c r="P1190" s="4">
        <f t="shared" ca="1" si="124"/>
        <v>-0.71159919004354089</v>
      </c>
      <c r="Q1190" s="4">
        <f t="shared" ca="1" si="125"/>
        <v>1944.8221500319964</v>
      </c>
      <c r="R1190" s="4">
        <f t="shared" ca="1" si="126"/>
        <v>21.152106031996482</v>
      </c>
      <c r="S1190" s="4">
        <f t="shared" ca="1" si="127"/>
        <v>10.889530745632479</v>
      </c>
    </row>
    <row r="1191" spans="15:19" x14ac:dyDescent="0.2">
      <c r="O1191" s="4">
        <f t="shared" ca="1" si="123"/>
        <v>0.77784787117520349</v>
      </c>
      <c r="P1191" s="4">
        <f t="shared" ca="1" si="124"/>
        <v>0.76494506469856305</v>
      </c>
      <c r="Q1191" s="4">
        <f t="shared" ca="1" si="125"/>
        <v>1900.090307391667</v>
      </c>
      <c r="R1191" s="4">
        <f t="shared" ca="1" si="126"/>
        <v>-23.579736608332951</v>
      </c>
      <c r="S1191" s="4">
        <f t="shared" ca="1" si="127"/>
        <v>-11.709961523389737</v>
      </c>
    </row>
    <row r="1192" spans="15:19" x14ac:dyDescent="0.2">
      <c r="O1192" s="4">
        <f t="shared" ca="1" si="123"/>
        <v>0.7677045983048616</v>
      </c>
      <c r="P1192" s="4">
        <f t="shared" ca="1" si="124"/>
        <v>0.73130839582812945</v>
      </c>
      <c r="Q1192" s="4">
        <f t="shared" ca="1" si="125"/>
        <v>1901.1093287816625</v>
      </c>
      <c r="R1192" s="4">
        <f t="shared" ca="1" si="126"/>
        <v>-22.560715218337464</v>
      </c>
      <c r="S1192" s="4">
        <f t="shared" ca="1" si="127"/>
        <v>-11.213262539112385</v>
      </c>
    </row>
    <row r="1193" spans="15:19" x14ac:dyDescent="0.2">
      <c r="O1193" s="4">
        <f t="shared" ca="1" si="123"/>
        <v>4.0437772072428158E-2</v>
      </c>
      <c r="P1193" s="4">
        <f t="shared" ca="1" si="124"/>
        <v>-1.7456283991697816</v>
      </c>
      <c r="Q1193" s="4">
        <f t="shared" ca="1" si="125"/>
        <v>1976.1480190126174</v>
      </c>
      <c r="R1193" s="4">
        <f t="shared" ca="1" si="126"/>
        <v>52.477975012617435</v>
      </c>
      <c r="S1193" s="4">
        <f t="shared" ca="1" si="127"/>
        <v>27.685908321153111</v>
      </c>
    </row>
    <row r="1194" spans="15:19" x14ac:dyDescent="0.2">
      <c r="O1194" s="4">
        <f t="shared" ca="1" si="123"/>
        <v>0.31728913527301128</v>
      </c>
      <c r="P1194" s="4">
        <f t="shared" ca="1" si="124"/>
        <v>-0.47529282768751563</v>
      </c>
      <c r="Q1194" s="4">
        <f t="shared" ca="1" si="125"/>
        <v>1937.6632592761862</v>
      </c>
      <c r="R1194" s="4">
        <f t="shared" ca="1" si="126"/>
        <v>13.99321527618622</v>
      </c>
      <c r="S1194" s="4">
        <f t="shared" ca="1" si="127"/>
        <v>7.1632108901442644</v>
      </c>
    </row>
    <row r="1195" spans="15:19" x14ac:dyDescent="0.2">
      <c r="O1195" s="4">
        <f t="shared" ca="1" si="123"/>
        <v>0.45176783477103477</v>
      </c>
      <c r="P1195" s="4">
        <f t="shared" ca="1" si="124"/>
        <v>-0.12119615499081461</v>
      </c>
      <c r="Q1195" s="4">
        <f t="shared" ca="1" si="125"/>
        <v>1926.9359162983765</v>
      </c>
      <c r="R1195" s="4">
        <f t="shared" ca="1" si="126"/>
        <v>3.2658722983765074</v>
      </c>
      <c r="S1195" s="4">
        <f t="shared" ca="1" si="127"/>
        <v>1.6575583149056157</v>
      </c>
    </row>
    <row r="1196" spans="15:19" x14ac:dyDescent="0.2">
      <c r="O1196" s="4">
        <f t="shared" ca="1" si="123"/>
        <v>6.8530620385776841E-2</v>
      </c>
      <c r="P1196" s="4">
        <f t="shared" ca="1" si="124"/>
        <v>-1.4868242280891983</v>
      </c>
      <c r="Q1196" s="4">
        <f t="shared" ca="1" si="125"/>
        <v>1968.3075581403766</v>
      </c>
      <c r="R1196" s="4">
        <f t="shared" ca="1" si="126"/>
        <v>44.637514140376652</v>
      </c>
      <c r="S1196" s="4">
        <f t="shared" ca="1" si="127"/>
        <v>23.407035432023299</v>
      </c>
    </row>
    <row r="1197" spans="15:19" x14ac:dyDescent="0.2">
      <c r="O1197" s="4">
        <f t="shared" ca="1" si="123"/>
        <v>0.23777989531701726</v>
      </c>
      <c r="P1197" s="4">
        <f t="shared" ca="1" si="124"/>
        <v>-0.71346220815427508</v>
      </c>
      <c r="Q1197" s="4">
        <f t="shared" ca="1" si="125"/>
        <v>1944.8785900829453</v>
      </c>
      <c r="R1197" s="4">
        <f t="shared" ca="1" si="126"/>
        <v>21.208546082945304</v>
      </c>
      <c r="S1197" s="4">
        <f t="shared" ca="1" si="127"/>
        <v>10.919074488562183</v>
      </c>
    </row>
    <row r="1198" spans="15:19" x14ac:dyDescent="0.2">
      <c r="O1198" s="4">
        <f t="shared" ca="1" si="123"/>
        <v>0.13706413890885272</v>
      </c>
      <c r="P1198" s="4">
        <f t="shared" ca="1" si="124"/>
        <v>-1.0936049488675197</v>
      </c>
      <c r="Q1198" s="4">
        <f t="shared" ca="1" si="125"/>
        <v>1956.3949975348969</v>
      </c>
      <c r="R1198" s="4">
        <f t="shared" ca="1" si="126"/>
        <v>32.72495353489694</v>
      </c>
      <c r="S1198" s="4">
        <f t="shared" ca="1" si="127"/>
        <v>17.001631644221249</v>
      </c>
    </row>
    <row r="1199" spans="15:19" x14ac:dyDescent="0.2">
      <c r="O1199" s="4">
        <f t="shared" ca="1" si="123"/>
        <v>0.15139929423536747</v>
      </c>
      <c r="P1199" s="4">
        <f t="shared" ca="1" si="124"/>
        <v>-1.030450476702353</v>
      </c>
      <c r="Q1199" s="4">
        <f t="shared" ca="1" si="125"/>
        <v>1954.4817356046483</v>
      </c>
      <c r="R1199" s="4">
        <f t="shared" ca="1" si="126"/>
        <v>30.811691604648331</v>
      </c>
      <c r="S1199" s="4">
        <f t="shared" ca="1" si="127"/>
        <v>15.983635466235684</v>
      </c>
    </row>
    <row r="1200" spans="15:19" x14ac:dyDescent="0.2">
      <c r="O1200" s="4">
        <f t="shared" ca="1" si="123"/>
        <v>0.80502836401464617</v>
      </c>
      <c r="P1200" s="4">
        <f t="shared" ca="1" si="124"/>
        <v>0.85972024545092862</v>
      </c>
      <c r="Q1200" s="4">
        <f t="shared" ca="1" si="125"/>
        <v>1897.219097498697</v>
      </c>
      <c r="R1200" s="4">
        <f t="shared" ca="1" si="126"/>
        <v>-26.450946501302951</v>
      </c>
      <c r="S1200" s="4">
        <f t="shared" ca="1" si="127"/>
        <v>-13.104921173197068</v>
      </c>
    </row>
    <row r="1201" spans="15:19" x14ac:dyDescent="0.2">
      <c r="O1201" s="4">
        <f t="shared" ca="1" si="123"/>
        <v>0.71606172115823319</v>
      </c>
      <c r="P1201" s="4">
        <f t="shared" ca="1" si="124"/>
        <v>0.57118158796160523</v>
      </c>
      <c r="Q1201" s="4">
        <f t="shared" ca="1" si="125"/>
        <v>1905.9603633165093</v>
      </c>
      <c r="R1201" s="4">
        <f t="shared" ca="1" si="126"/>
        <v>-17.70968068349066</v>
      </c>
      <c r="S1201" s="4">
        <f t="shared" ca="1" si="127"/>
        <v>-8.837143569677707</v>
      </c>
    </row>
    <row r="1202" spans="15:19" x14ac:dyDescent="0.2">
      <c r="O1202" s="4">
        <f t="shared" ca="1" si="123"/>
        <v>0.67105729448215468</v>
      </c>
      <c r="P1202" s="4">
        <f t="shared" ca="1" si="124"/>
        <v>0.44283454983107018</v>
      </c>
      <c r="Q1202" s="4">
        <f t="shared" ca="1" si="125"/>
        <v>1909.8486311381944</v>
      </c>
      <c r="R1202" s="4">
        <f t="shared" ca="1" si="126"/>
        <v>-13.821412861805584</v>
      </c>
      <c r="S1202" s="4">
        <f t="shared" ca="1" si="127"/>
        <v>-6.9187715442130138</v>
      </c>
    </row>
    <row r="1203" spans="15:19" x14ac:dyDescent="0.2">
      <c r="O1203" s="4">
        <f t="shared" ca="1" si="123"/>
        <v>0.88484270637524698</v>
      </c>
      <c r="P1203" s="4">
        <f t="shared" ca="1" si="124"/>
        <v>1.1995488878365963</v>
      </c>
      <c r="Q1203" s="4">
        <f t="shared" ca="1" si="125"/>
        <v>1886.9240038656735</v>
      </c>
      <c r="R1203" s="4">
        <f t="shared" ca="1" si="126"/>
        <v>-36.746040134326449</v>
      </c>
      <c r="S1203" s="4">
        <f t="shared" ca="1" si="127"/>
        <v>-18.05155147997479</v>
      </c>
    </row>
    <row r="1204" spans="15:19" x14ac:dyDescent="0.2">
      <c r="O1204" s="4">
        <f t="shared" ca="1" si="123"/>
        <v>0.12444303657837053</v>
      </c>
      <c r="P1204" s="4">
        <f t="shared" ca="1" si="124"/>
        <v>-1.1530592326626212</v>
      </c>
      <c r="Q1204" s="4">
        <f t="shared" ca="1" si="125"/>
        <v>1958.196162422759</v>
      </c>
      <c r="R1204" s="4">
        <f t="shared" ca="1" si="126"/>
        <v>34.526118422759055</v>
      </c>
      <c r="S1204" s="4">
        <f t="shared" ca="1" si="127"/>
        <v>17.962707357707185</v>
      </c>
    </row>
    <row r="1205" spans="15:19" x14ac:dyDescent="0.2">
      <c r="O1205" s="4">
        <f t="shared" ca="1" si="123"/>
        <v>0.88950221294046172</v>
      </c>
      <c r="P1205" s="4">
        <f t="shared" ca="1" si="124"/>
        <v>1.2238851028903064</v>
      </c>
      <c r="Q1205" s="4">
        <f t="shared" ca="1" si="125"/>
        <v>1886.1867393111249</v>
      </c>
      <c r="R1205" s="4">
        <f t="shared" ca="1" si="126"/>
        <v>-37.483304688875023</v>
      </c>
      <c r="S1205" s="4">
        <f t="shared" ca="1" si="127"/>
        <v>-18.402484477838357</v>
      </c>
    </row>
    <row r="1206" spans="15:19" x14ac:dyDescent="0.2">
      <c r="O1206" s="4">
        <f t="shared" ca="1" si="123"/>
        <v>0.14106795740292821</v>
      </c>
      <c r="P1206" s="4">
        <f t="shared" ca="1" si="124"/>
        <v>-1.0755335611530175</v>
      </c>
      <c r="Q1206" s="4">
        <f t="shared" ca="1" si="125"/>
        <v>1955.8475256464378</v>
      </c>
      <c r="R1206" s="4">
        <f t="shared" ca="1" si="126"/>
        <v>32.177481646437855</v>
      </c>
      <c r="S1206" s="4">
        <f t="shared" ca="1" si="127"/>
        <v>16.710031922788264</v>
      </c>
    </row>
    <row r="1207" spans="15:19" x14ac:dyDescent="0.2">
      <c r="O1207" s="4">
        <f t="shared" ca="1" si="123"/>
        <v>0.10064473929678786</v>
      </c>
      <c r="P1207" s="4">
        <f t="shared" ca="1" si="124"/>
        <v>-1.2778864154475329</v>
      </c>
      <c r="Q1207" s="4">
        <f t="shared" ca="1" si="125"/>
        <v>1961.9777963830263</v>
      </c>
      <c r="R1207" s="4">
        <f t="shared" ca="1" si="126"/>
        <v>38.307752383026354</v>
      </c>
      <c r="S1207" s="4">
        <f t="shared" ca="1" si="127"/>
        <v>19.989127009050559</v>
      </c>
    </row>
    <row r="1208" spans="15:19" x14ac:dyDescent="0.2">
      <c r="O1208" s="4">
        <f t="shared" ca="1" si="123"/>
        <v>0.80149017396283673</v>
      </c>
      <c r="P1208" s="4">
        <f t="shared" ca="1" si="124"/>
        <v>0.8469559907614217</v>
      </c>
      <c r="Q1208" s="4">
        <f t="shared" ca="1" si="125"/>
        <v>1897.6057900277956</v>
      </c>
      <c r="R1208" s="4">
        <f t="shared" ca="1" si="126"/>
        <v>-26.064253972204369</v>
      </c>
      <c r="S1208" s="4">
        <f t="shared" ca="1" si="127"/>
        <v>-12.917440078058547</v>
      </c>
    </row>
    <row r="1209" spans="15:19" x14ac:dyDescent="0.2">
      <c r="O1209" s="4">
        <f t="shared" ca="1" si="123"/>
        <v>9.2511153752111275E-2</v>
      </c>
      <c r="P1209" s="4">
        <f t="shared" ca="1" si="124"/>
        <v>-1.3254488993797968</v>
      </c>
      <c r="Q1209" s="4">
        <f t="shared" ca="1" si="125"/>
        <v>1963.4186997220277</v>
      </c>
      <c r="R1209" s="4">
        <f t="shared" ca="1" si="126"/>
        <v>39.748655722027706</v>
      </c>
      <c r="S1209" s="4">
        <f t="shared" ca="1" si="127"/>
        <v>20.764310176504505</v>
      </c>
    </row>
    <row r="1210" spans="15:19" x14ac:dyDescent="0.2">
      <c r="O1210" s="4">
        <f t="shared" ca="1" si="123"/>
        <v>0.7881893337847623</v>
      </c>
      <c r="P1210" s="4">
        <f t="shared" ca="1" si="124"/>
        <v>0.80015442332044318</v>
      </c>
      <c r="Q1210" s="4">
        <f t="shared" ca="1" si="125"/>
        <v>1899.0236414354772</v>
      </c>
      <c r="R1210" s="4">
        <f t="shared" ca="1" si="126"/>
        <v>-24.646402564522759</v>
      </c>
      <c r="S1210" s="4">
        <f t="shared" ca="1" si="127"/>
        <v>-12.228978156644196</v>
      </c>
    </row>
    <row r="1211" spans="15:19" x14ac:dyDescent="0.2">
      <c r="O1211" s="4">
        <f t="shared" ca="1" si="123"/>
        <v>9.3493153950207519E-2</v>
      </c>
      <c r="P1211" s="4">
        <f t="shared" ca="1" si="124"/>
        <v>-1.319547000806421</v>
      </c>
      <c r="Q1211" s="4">
        <f t="shared" ca="1" si="125"/>
        <v>1963.2399019667855</v>
      </c>
      <c r="R1211" s="4">
        <f t="shared" ca="1" si="126"/>
        <v>39.569857966785548</v>
      </c>
      <c r="S1211" s="4">
        <f t="shared" ca="1" si="127"/>
        <v>20.668027957052363</v>
      </c>
    </row>
    <row r="1212" spans="15:19" x14ac:dyDescent="0.2">
      <c r="O1212" s="4">
        <f t="shared" ca="1" si="123"/>
        <v>0.36648902266937855</v>
      </c>
      <c r="P1212" s="4">
        <f t="shared" ca="1" si="124"/>
        <v>-0.34116676006439162</v>
      </c>
      <c r="Q1212" s="4">
        <f t="shared" ca="1" si="125"/>
        <v>1933.5999160126062</v>
      </c>
      <c r="R1212" s="4">
        <f t="shared" ca="1" si="126"/>
        <v>9.9298720126062108</v>
      </c>
      <c r="S1212" s="4">
        <f t="shared" ca="1" si="127"/>
        <v>5.0667364605411391</v>
      </c>
    </row>
    <row r="1213" spans="15:19" x14ac:dyDescent="0.2">
      <c r="O1213" s="4">
        <f t="shared" ca="1" si="123"/>
        <v>0.68861597450804324</v>
      </c>
      <c r="P1213" s="4">
        <f t="shared" ca="1" si="124"/>
        <v>0.49193110123542627</v>
      </c>
      <c r="Q1213" s="4">
        <f t="shared" ca="1" si="125"/>
        <v>1908.3612532932368</v>
      </c>
      <c r="R1213" s="4">
        <f t="shared" ca="1" si="126"/>
        <v>-15.308790706763148</v>
      </c>
      <c r="S1213" s="4">
        <f t="shared" ca="1" si="127"/>
        <v>-7.654059437571104</v>
      </c>
    </row>
    <row r="1214" spans="15:19" x14ac:dyDescent="0.2">
      <c r="O1214" s="4">
        <f t="shared" ca="1" si="123"/>
        <v>0.48523433724199683</v>
      </c>
      <c r="P1214" s="4">
        <f t="shared" ca="1" si="124"/>
        <v>-3.7020482219266029E-2</v>
      </c>
      <c r="Q1214" s="4">
        <f t="shared" ca="1" si="125"/>
        <v>1924.3858180290774</v>
      </c>
      <c r="R1214" s="4">
        <f t="shared" ca="1" si="126"/>
        <v>0.71577402907746546</v>
      </c>
      <c r="S1214" s="4">
        <f t="shared" ca="1" si="127"/>
        <v>0.36254037923604732</v>
      </c>
    </row>
    <row r="1215" spans="15:19" x14ac:dyDescent="0.2">
      <c r="O1215" s="4">
        <f t="shared" ca="1" si="123"/>
        <v>0.77997598063123286</v>
      </c>
      <c r="P1215" s="4">
        <f t="shared" ca="1" si="124"/>
        <v>0.77211209586041807</v>
      </c>
      <c r="Q1215" s="4">
        <f t="shared" ca="1" si="125"/>
        <v>1899.8731825008276</v>
      </c>
      <c r="R1215" s="4">
        <f t="shared" ca="1" si="126"/>
        <v>-23.796861499172337</v>
      </c>
      <c r="S1215" s="4">
        <f t="shared" ca="1" si="127"/>
        <v>-11.815684895802505</v>
      </c>
    </row>
    <row r="1216" spans="15:19" x14ac:dyDescent="0.2">
      <c r="O1216" s="4">
        <f t="shared" ca="1" si="123"/>
        <v>0.62009422778135403</v>
      </c>
      <c r="P1216" s="4">
        <f t="shared" ca="1" si="124"/>
        <v>0.30572827326841212</v>
      </c>
      <c r="Q1216" s="4">
        <f t="shared" ca="1" si="125"/>
        <v>1914.0022596992787</v>
      </c>
      <c r="R1216" s="4">
        <f t="shared" ca="1" si="126"/>
        <v>-9.6677843007212232</v>
      </c>
      <c r="S1216" s="4">
        <f t="shared" ca="1" si="127"/>
        <v>-4.8558799541152275</v>
      </c>
    </row>
    <row r="1217" spans="15:19" x14ac:dyDescent="0.2">
      <c r="O1217" s="4">
        <f t="shared" ca="1" si="123"/>
        <v>9.3741449011874423E-2</v>
      </c>
      <c r="P1217" s="4">
        <f t="shared" ca="1" si="124"/>
        <v>-1.3180619876421695</v>
      </c>
      <c r="Q1217" s="4">
        <f t="shared" ca="1" si="125"/>
        <v>1963.1949135589077</v>
      </c>
      <c r="R1217" s="4">
        <f t="shared" ca="1" si="126"/>
        <v>39.524869558907767</v>
      </c>
      <c r="S1217" s="4">
        <f t="shared" ca="1" si="127"/>
        <v>20.64380589123213</v>
      </c>
    </row>
    <row r="1218" spans="15:19" x14ac:dyDescent="0.2">
      <c r="O1218" s="4">
        <f t="shared" ca="1" si="123"/>
        <v>0.50602130783004284</v>
      </c>
      <c r="P1218" s="4">
        <f t="shared" ca="1" si="124"/>
        <v>1.5093753550792609E-2</v>
      </c>
      <c r="Q1218" s="4">
        <f t="shared" ca="1" si="125"/>
        <v>1922.8070195702435</v>
      </c>
      <c r="R1218" s="4">
        <f t="shared" ca="1" si="126"/>
        <v>-0.86302442975647864</v>
      </c>
      <c r="S1218" s="4">
        <f t="shared" ca="1" si="127"/>
        <v>-0.43656822988061633</v>
      </c>
    </row>
    <row r="1219" spans="15:19" x14ac:dyDescent="0.2">
      <c r="O1219" s="4">
        <f t="shared" ref="O1219:O1282" ca="1" si="128">RAND()</f>
        <v>0.6206486469055742</v>
      </c>
      <c r="P1219" s="4">
        <f t="shared" ref="P1219:P1282" ca="1" si="129">NORMSINV(O1219)</f>
        <v>0.30718481082563498</v>
      </c>
      <c r="Q1219" s="4">
        <f t="shared" ref="Q1219:Q1282" ca="1" si="130">$B$4*(1+$B$17-$B$6/SQRT(252)*P1219)</f>
        <v>1913.9581339586518</v>
      </c>
      <c r="R1219" s="4">
        <f t="shared" ref="R1219:R1282" ca="1" si="131">Q1219-$B$4</f>
        <v>-9.7119100413481192</v>
      </c>
      <c r="S1219" s="4">
        <f t="shared" ref="S1219:S1282" ca="1" si="132">R1219*$B$12+0.5*$B$13*R1219^2</f>
        <v>-4.8778687336801454</v>
      </c>
    </row>
    <row r="1220" spans="15:19" x14ac:dyDescent="0.2">
      <c r="O1220" s="4">
        <f t="shared" ca="1" si="128"/>
        <v>2.4323813801453653E-2</v>
      </c>
      <c r="P1220" s="4">
        <f t="shared" ca="1" si="129"/>
        <v>-1.9716670488038146</v>
      </c>
      <c r="Q1220" s="4">
        <f t="shared" ca="1" si="130"/>
        <v>1982.9958498673911</v>
      </c>
      <c r="R1220" s="4">
        <f t="shared" ca="1" si="131"/>
        <v>59.325805867391182</v>
      </c>
      <c r="S1220" s="4">
        <f t="shared" ca="1" si="132"/>
        <v>31.464005019660515</v>
      </c>
    </row>
    <row r="1221" spans="15:19" x14ac:dyDescent="0.2">
      <c r="O1221" s="4">
        <f t="shared" ca="1" si="128"/>
        <v>0.67410129879980341</v>
      </c>
      <c r="P1221" s="4">
        <f t="shared" ca="1" si="129"/>
        <v>0.45126661629359105</v>
      </c>
      <c r="Q1221" s="4">
        <f t="shared" ca="1" si="130"/>
        <v>1909.5931820590874</v>
      </c>
      <c r="R1221" s="4">
        <f t="shared" ca="1" si="131"/>
        <v>-14.076861940912522</v>
      </c>
      <c r="S1221" s="4">
        <f t="shared" ca="1" si="132"/>
        <v>-7.0451813552501541</v>
      </c>
    </row>
    <row r="1222" spans="15:19" x14ac:dyDescent="0.2">
      <c r="O1222" s="4">
        <f t="shared" ca="1" si="128"/>
        <v>0.54292270501092221</v>
      </c>
      <c r="P1222" s="4">
        <f t="shared" ca="1" si="129"/>
        <v>0.10779968851765223</v>
      </c>
      <c r="Q1222" s="4">
        <f t="shared" ca="1" si="130"/>
        <v>1919.9984973864728</v>
      </c>
      <c r="R1222" s="4">
        <f t="shared" ca="1" si="131"/>
        <v>-3.6715466135271981</v>
      </c>
      <c r="S1222" s="4">
        <f t="shared" ca="1" si="132"/>
        <v>-1.8530854614430594</v>
      </c>
    </row>
    <row r="1223" spans="15:19" x14ac:dyDescent="0.2">
      <c r="O1223" s="4">
        <f t="shared" ca="1" si="128"/>
        <v>0.88025959772393569</v>
      </c>
      <c r="P1223" s="4">
        <f t="shared" ca="1" si="129"/>
        <v>1.1762855087668644</v>
      </c>
      <c r="Q1223" s="4">
        <f t="shared" ca="1" si="130"/>
        <v>1887.6287669017204</v>
      </c>
      <c r="R1223" s="4">
        <f t="shared" ca="1" si="131"/>
        <v>-36.041277098279579</v>
      </c>
      <c r="S1223" s="4">
        <f t="shared" ca="1" si="132"/>
        <v>-17.715675288115197</v>
      </c>
    </row>
    <row r="1224" spans="15:19" x14ac:dyDescent="0.2">
      <c r="O1224" s="4">
        <f t="shared" ca="1" si="128"/>
        <v>0.70183674149130093</v>
      </c>
      <c r="P1224" s="4">
        <f t="shared" ca="1" si="129"/>
        <v>0.52969052695123819</v>
      </c>
      <c r="Q1224" s="4">
        <f t="shared" ca="1" si="130"/>
        <v>1907.2173331676568</v>
      </c>
      <c r="R1224" s="4">
        <f t="shared" ca="1" si="131"/>
        <v>-16.4527108323432</v>
      </c>
      <c r="S1224" s="4">
        <f t="shared" ca="1" si="132"/>
        <v>-8.218333117899455</v>
      </c>
    </row>
    <row r="1225" spans="15:19" x14ac:dyDescent="0.2">
      <c r="O1225" s="4">
        <f t="shared" ca="1" si="128"/>
        <v>0.42728862283204538</v>
      </c>
      <c r="P1225" s="4">
        <f t="shared" ca="1" si="129"/>
        <v>-0.18328137728625529</v>
      </c>
      <c r="Q1225" s="4">
        <f t="shared" ca="1" si="130"/>
        <v>1928.8167853512948</v>
      </c>
      <c r="R1225" s="4">
        <f t="shared" ca="1" si="131"/>
        <v>5.1467413512948497</v>
      </c>
      <c r="S1225" s="4">
        <f t="shared" ca="1" si="132"/>
        <v>2.6161137188276808</v>
      </c>
    </row>
    <row r="1226" spans="15:19" x14ac:dyDescent="0.2">
      <c r="O1226" s="4">
        <f t="shared" ca="1" si="128"/>
        <v>0.24193308566069727</v>
      </c>
      <c r="P1226" s="4">
        <f t="shared" ca="1" si="129"/>
        <v>-0.7000978934337192</v>
      </c>
      <c r="Q1226" s="4">
        <f t="shared" ca="1" si="130"/>
        <v>1944.473718761848</v>
      </c>
      <c r="R1226" s="4">
        <f t="shared" ca="1" si="131"/>
        <v>20.803674761848015</v>
      </c>
      <c r="S1226" s="4">
        <f t="shared" ca="1" si="132"/>
        <v>10.707200598502592</v>
      </c>
    </row>
    <row r="1227" spans="15:19" x14ac:dyDescent="0.2">
      <c r="O1227" s="4">
        <f t="shared" ca="1" si="128"/>
        <v>0.86400955585716843</v>
      </c>
      <c r="P1227" s="4">
        <f t="shared" ca="1" si="129"/>
        <v>1.0985122115582069</v>
      </c>
      <c r="Q1227" s="4">
        <f t="shared" ca="1" si="130"/>
        <v>1889.9849054876006</v>
      </c>
      <c r="R1227" s="4">
        <f t="shared" ca="1" si="131"/>
        <v>-33.685138512399362</v>
      </c>
      <c r="S1227" s="4">
        <f t="shared" ca="1" si="132"/>
        <v>-16.589850265542147</v>
      </c>
    </row>
    <row r="1228" spans="15:19" x14ac:dyDescent="0.2">
      <c r="O1228" s="4">
        <f t="shared" ca="1" si="128"/>
        <v>0.81541128837946231</v>
      </c>
      <c r="P1228" s="4">
        <f t="shared" ca="1" si="129"/>
        <v>0.89801524263580834</v>
      </c>
      <c r="Q1228" s="4">
        <f t="shared" ca="1" si="130"/>
        <v>1896.0589522592404</v>
      </c>
      <c r="R1228" s="4">
        <f t="shared" ca="1" si="131"/>
        <v>-27.611091740759548</v>
      </c>
      <c r="S1228" s="4">
        <f t="shared" ca="1" si="132"/>
        <v>-13.666666749862918</v>
      </c>
    </row>
    <row r="1229" spans="15:19" x14ac:dyDescent="0.2">
      <c r="O1229" s="4">
        <f t="shared" ca="1" si="128"/>
        <v>0.68863039876772025</v>
      </c>
      <c r="P1229" s="4">
        <f t="shared" ca="1" si="129"/>
        <v>0.49197190842021493</v>
      </c>
      <c r="Q1229" s="4">
        <f t="shared" ca="1" si="130"/>
        <v>1908.3600170413856</v>
      </c>
      <c r="R1229" s="4">
        <f t="shared" ca="1" si="131"/>
        <v>-15.310026958614344</v>
      </c>
      <c r="S1229" s="4">
        <f t="shared" ca="1" si="132"/>
        <v>-7.6546698317507795</v>
      </c>
    </row>
    <row r="1230" spans="15:19" x14ac:dyDescent="0.2">
      <c r="O1230" s="4">
        <f t="shared" ca="1" si="128"/>
        <v>0.19792191002329085</v>
      </c>
      <c r="P1230" s="4">
        <f t="shared" ca="1" si="129"/>
        <v>-0.849067344459282</v>
      </c>
      <c r="Q1230" s="4">
        <f t="shared" ca="1" si="130"/>
        <v>1948.9867416665734</v>
      </c>
      <c r="R1230" s="4">
        <f t="shared" ca="1" si="131"/>
        <v>25.316697666573418</v>
      </c>
      <c r="S1230" s="4">
        <f t="shared" ca="1" si="132"/>
        <v>13.076465321247579</v>
      </c>
    </row>
    <row r="1231" spans="15:19" x14ac:dyDescent="0.2">
      <c r="O1231" s="4">
        <f t="shared" ca="1" si="128"/>
        <v>0.45242957203842915</v>
      </c>
      <c r="P1231" s="4">
        <f t="shared" ca="1" si="129"/>
        <v>-0.11952536706777958</v>
      </c>
      <c r="Q1231" s="4">
        <f t="shared" ca="1" si="130"/>
        <v>1926.8852998524289</v>
      </c>
      <c r="R1231" s="4">
        <f t="shared" ca="1" si="131"/>
        <v>3.2152558524289816</v>
      </c>
      <c r="S1231" s="4">
        <f t="shared" ca="1" si="132"/>
        <v>1.6318022344432601</v>
      </c>
    </row>
    <row r="1232" spans="15:19" x14ac:dyDescent="0.2">
      <c r="O1232" s="4">
        <f t="shared" ca="1" si="128"/>
        <v>0.86890278998743875</v>
      </c>
      <c r="P1232" s="4">
        <f t="shared" ca="1" si="129"/>
        <v>1.1212195499943256</v>
      </c>
      <c r="Q1232" s="4">
        <f t="shared" ca="1" si="130"/>
        <v>1889.2969876778611</v>
      </c>
      <c r="R1232" s="4">
        <f t="shared" ca="1" si="131"/>
        <v>-34.373056322138837</v>
      </c>
      <c r="S1232" s="4">
        <f t="shared" ca="1" si="132"/>
        <v>-16.919022651040681</v>
      </c>
    </row>
    <row r="1233" spans="15:19" x14ac:dyDescent="0.2">
      <c r="O1233" s="4">
        <f t="shared" ca="1" si="128"/>
        <v>0.18300677796490461</v>
      </c>
      <c r="P1233" s="4">
        <f t="shared" ca="1" si="129"/>
        <v>-0.903965763080675</v>
      </c>
      <c r="Q1233" s="4">
        <f t="shared" ca="1" si="130"/>
        <v>1950.6498868212739</v>
      </c>
      <c r="R1233" s="4">
        <f t="shared" ca="1" si="131"/>
        <v>26.979842821273905</v>
      </c>
      <c r="S1233" s="4">
        <f t="shared" ca="1" si="132"/>
        <v>13.953771242268228</v>
      </c>
    </row>
    <row r="1234" spans="15:19" x14ac:dyDescent="0.2">
      <c r="O1234" s="4">
        <f t="shared" ca="1" si="128"/>
        <v>0.54569977491510147</v>
      </c>
      <c r="P1234" s="4">
        <f t="shared" ca="1" si="129"/>
        <v>0.11480403571786504</v>
      </c>
      <c r="Q1234" s="4">
        <f t="shared" ca="1" si="130"/>
        <v>1919.7863009990283</v>
      </c>
      <c r="R1234" s="4">
        <f t="shared" ca="1" si="131"/>
        <v>-3.8837430009716627</v>
      </c>
      <c r="S1234" s="4">
        <f t="shared" ca="1" si="132"/>
        <v>-1.9598487357268963</v>
      </c>
    </row>
    <row r="1235" spans="15:19" x14ac:dyDescent="0.2">
      <c r="O1235" s="4">
        <f t="shared" ca="1" si="128"/>
        <v>0.86172626243367312</v>
      </c>
      <c r="P1235" s="4">
        <f t="shared" ca="1" si="129"/>
        <v>1.0881079032815326</v>
      </c>
      <c r="Q1235" s="4">
        <f t="shared" ca="1" si="130"/>
        <v>1890.3001035449015</v>
      </c>
      <c r="R1235" s="4">
        <f t="shared" ca="1" si="131"/>
        <v>-33.369940455098458</v>
      </c>
      <c r="S1235" s="4">
        <f t="shared" ca="1" si="132"/>
        <v>-16.438897586394191</v>
      </c>
    </row>
    <row r="1236" spans="15:19" x14ac:dyDescent="0.2">
      <c r="O1236" s="4">
        <f t="shared" ca="1" si="128"/>
        <v>0.76229163986634374</v>
      </c>
      <c r="P1236" s="4">
        <f t="shared" ca="1" si="129"/>
        <v>0.71369351024738314</v>
      </c>
      <c r="Q1236" s="4">
        <f t="shared" ca="1" si="130"/>
        <v>1901.642970958248</v>
      </c>
      <c r="R1236" s="4">
        <f t="shared" ca="1" si="131"/>
        <v>-22.027073041751919</v>
      </c>
      <c r="S1236" s="4">
        <f t="shared" ca="1" si="132"/>
        <v>-10.952813416723071</v>
      </c>
    </row>
    <row r="1237" spans="15:19" x14ac:dyDescent="0.2">
      <c r="O1237" s="4">
        <f t="shared" ca="1" si="128"/>
        <v>3.6480997308971141E-2</v>
      </c>
      <c r="P1237" s="4">
        <f t="shared" ca="1" si="129"/>
        <v>-1.7930683566274093</v>
      </c>
      <c r="Q1237" s="4">
        <f t="shared" ca="1" si="130"/>
        <v>1977.5852104175096</v>
      </c>
      <c r="R1237" s="4">
        <f t="shared" ca="1" si="131"/>
        <v>53.915166417509681</v>
      </c>
      <c r="S1237" s="4">
        <f t="shared" ca="1" si="132"/>
        <v>28.475672547103724</v>
      </c>
    </row>
    <row r="1238" spans="15:19" x14ac:dyDescent="0.2">
      <c r="O1238" s="4">
        <f t="shared" ca="1" si="128"/>
        <v>1.6397117851774556E-2</v>
      </c>
      <c r="P1238" s="4">
        <f t="shared" ca="1" si="129"/>
        <v>-2.1345934162475619</v>
      </c>
      <c r="Q1238" s="4">
        <f t="shared" ca="1" si="130"/>
        <v>1987.9316969353324</v>
      </c>
      <c r="R1238" s="4">
        <f t="shared" ca="1" si="131"/>
        <v>64.261652935332449</v>
      </c>
      <c r="S1238" s="4">
        <f t="shared" ca="1" si="132"/>
        <v>34.210894959952263</v>
      </c>
    </row>
    <row r="1239" spans="15:19" x14ac:dyDescent="0.2">
      <c r="O1239" s="4">
        <f t="shared" ca="1" si="128"/>
        <v>0.46880717452393372</v>
      </c>
      <c r="P1239" s="4">
        <f t="shared" ca="1" si="129"/>
        <v>-7.8268656999172237E-2</v>
      </c>
      <c r="Q1239" s="4">
        <f t="shared" ca="1" si="130"/>
        <v>1925.635429652657</v>
      </c>
      <c r="R1239" s="4">
        <f t="shared" ca="1" si="131"/>
        <v>1.9653856526570053</v>
      </c>
      <c r="S1239" s="4">
        <f t="shared" ca="1" si="132"/>
        <v>0.99646987103348761</v>
      </c>
    </row>
    <row r="1240" spans="15:19" x14ac:dyDescent="0.2">
      <c r="O1240" s="4">
        <f t="shared" ca="1" si="128"/>
        <v>0.71185528415074262</v>
      </c>
      <c r="P1240" s="4">
        <f t="shared" ca="1" si="129"/>
        <v>0.55881287936907975</v>
      </c>
      <c r="Q1240" s="4">
        <f t="shared" ca="1" si="130"/>
        <v>1906.3350727941618</v>
      </c>
      <c r="R1240" s="4">
        <f t="shared" ca="1" si="131"/>
        <v>-17.334971205838201</v>
      </c>
      <c r="S1240" s="4">
        <f t="shared" ca="1" si="132"/>
        <v>-8.6528074171122071</v>
      </c>
    </row>
    <row r="1241" spans="15:19" x14ac:dyDescent="0.2">
      <c r="O1241" s="4">
        <f t="shared" ca="1" si="128"/>
        <v>0.4911166864333012</v>
      </c>
      <c r="P1241" s="4">
        <f t="shared" ca="1" si="129"/>
        <v>-2.2269005387013228E-2</v>
      </c>
      <c r="Q1241" s="4">
        <f t="shared" ca="1" si="130"/>
        <v>1923.9389226933952</v>
      </c>
      <c r="R1241" s="4">
        <f t="shared" ca="1" si="131"/>
        <v>0.26887869339520876</v>
      </c>
      <c r="S1241" s="4">
        <f t="shared" ca="1" si="132"/>
        <v>0.13613845761372775</v>
      </c>
    </row>
    <row r="1242" spans="15:19" x14ac:dyDescent="0.2">
      <c r="O1242" s="4">
        <f t="shared" ca="1" si="128"/>
        <v>0.75993036700590721</v>
      </c>
      <c r="P1242" s="4">
        <f t="shared" ca="1" si="129"/>
        <v>0.70607858892220432</v>
      </c>
      <c r="Q1242" s="4">
        <f t="shared" ca="1" si="130"/>
        <v>1901.8736646616994</v>
      </c>
      <c r="R1242" s="4">
        <f t="shared" ca="1" si="131"/>
        <v>-21.79637933830054</v>
      </c>
      <c r="S1242" s="4">
        <f t="shared" ca="1" si="132"/>
        <v>-10.840149390643614</v>
      </c>
    </row>
    <row r="1243" spans="15:19" x14ac:dyDescent="0.2">
      <c r="O1243" s="4">
        <f t="shared" ca="1" si="128"/>
        <v>0.63352318534848095</v>
      </c>
      <c r="P1243" s="4">
        <f t="shared" ca="1" si="129"/>
        <v>0.34119919494425666</v>
      </c>
      <c r="Q1243" s="4">
        <f t="shared" ca="1" si="130"/>
        <v>1912.9276697019827</v>
      </c>
      <c r="R1243" s="4">
        <f t="shared" ca="1" si="131"/>
        <v>-10.742374298017239</v>
      </c>
      <c r="S1243" s="4">
        <f t="shared" ca="1" si="132"/>
        <v>-5.3909198691816345</v>
      </c>
    </row>
    <row r="1244" spans="15:19" x14ac:dyDescent="0.2">
      <c r="O1244" s="4">
        <f t="shared" ca="1" si="128"/>
        <v>0.15070602685683698</v>
      </c>
      <c r="P1244" s="4">
        <f t="shared" ca="1" si="129"/>
        <v>-1.0334100319646753</v>
      </c>
      <c r="Q1244" s="4">
        <f t="shared" ca="1" si="130"/>
        <v>1954.5713951999192</v>
      </c>
      <c r="R1244" s="4">
        <f t="shared" ca="1" si="131"/>
        <v>30.901351199919191</v>
      </c>
      <c r="S1244" s="4">
        <f t="shared" ca="1" si="132"/>
        <v>16.031274413347948</v>
      </c>
    </row>
    <row r="1245" spans="15:19" x14ac:dyDescent="0.2">
      <c r="O1245" s="4">
        <f t="shared" ca="1" si="128"/>
        <v>0.39142977780138521</v>
      </c>
      <c r="P1245" s="4">
        <f t="shared" ca="1" si="129"/>
        <v>-0.27559447252463953</v>
      </c>
      <c r="Q1245" s="4">
        <f t="shared" ca="1" si="130"/>
        <v>1931.6134064729333</v>
      </c>
      <c r="R1245" s="4">
        <f t="shared" ca="1" si="131"/>
        <v>7.9433624729333587</v>
      </c>
      <c r="S1245" s="4">
        <f t="shared" ca="1" si="132"/>
        <v>4.0466927382219371</v>
      </c>
    </row>
    <row r="1246" spans="15:19" x14ac:dyDescent="0.2">
      <c r="O1246" s="4">
        <f t="shared" ca="1" si="128"/>
        <v>0.86317979565977898</v>
      </c>
      <c r="P1246" s="4">
        <f t="shared" ca="1" si="129"/>
        <v>1.0947175244565492</v>
      </c>
      <c r="Q1246" s="4">
        <f t="shared" ca="1" si="130"/>
        <v>1890.0998653648649</v>
      </c>
      <c r="R1246" s="4">
        <f t="shared" ca="1" si="131"/>
        <v>-33.570178635135107</v>
      </c>
      <c r="S1246" s="4">
        <f t="shared" ca="1" si="132"/>
        <v>-16.534803771722768</v>
      </c>
    </row>
    <row r="1247" spans="15:19" x14ac:dyDescent="0.2">
      <c r="O1247" s="4">
        <f t="shared" ca="1" si="128"/>
        <v>0.47463158711102083</v>
      </c>
      <c r="P1247" s="4">
        <f t="shared" ca="1" si="129"/>
        <v>-6.3632096485044268E-2</v>
      </c>
      <c r="Q1247" s="4">
        <f t="shared" ca="1" si="130"/>
        <v>1925.1920157017303</v>
      </c>
      <c r="R1247" s="4">
        <f t="shared" ca="1" si="131"/>
        <v>1.5219717017303083</v>
      </c>
      <c r="S1247" s="4">
        <f t="shared" ca="1" si="132"/>
        <v>0.77137991726850952</v>
      </c>
    </row>
    <row r="1248" spans="15:19" x14ac:dyDescent="0.2">
      <c r="O1248" s="4">
        <f t="shared" ca="1" si="128"/>
        <v>3.9301434280819891E-2</v>
      </c>
      <c r="P1248" s="4">
        <f t="shared" ca="1" si="129"/>
        <v>-1.7588507125531319</v>
      </c>
      <c r="Q1248" s="4">
        <f t="shared" ca="1" si="130"/>
        <v>1976.5485884095087</v>
      </c>
      <c r="R1248" s="4">
        <f t="shared" ca="1" si="131"/>
        <v>52.878544409508777</v>
      </c>
      <c r="S1248" s="4">
        <f t="shared" ca="1" si="132"/>
        <v>27.905859852064054</v>
      </c>
    </row>
    <row r="1249" spans="15:19" x14ac:dyDescent="0.2">
      <c r="O1249" s="4">
        <f t="shared" ca="1" si="128"/>
        <v>0.96319897850207747</v>
      </c>
      <c r="P1249" s="4">
        <f t="shared" ca="1" si="129"/>
        <v>1.7890793145708213</v>
      </c>
      <c r="Q1249" s="4">
        <f t="shared" ca="1" si="130"/>
        <v>1869.0642057623195</v>
      </c>
      <c r="R1249" s="4">
        <f t="shared" ca="1" si="131"/>
        <v>-54.605838237680473</v>
      </c>
      <c r="S1249" s="4">
        <f t="shared" ca="1" si="132"/>
        <v>-26.428212146975454</v>
      </c>
    </row>
    <row r="1250" spans="15:19" x14ac:dyDescent="0.2">
      <c r="O1250" s="4">
        <f t="shared" ca="1" si="128"/>
        <v>0.93952254603725671</v>
      </c>
      <c r="P1250" s="4">
        <f t="shared" ca="1" si="129"/>
        <v>1.5507779442636216</v>
      </c>
      <c r="Q1250" s="4">
        <f t="shared" ca="1" si="130"/>
        <v>1876.2835351954343</v>
      </c>
      <c r="R1250" s="4">
        <f t="shared" ca="1" si="131"/>
        <v>-47.386508804565665</v>
      </c>
      <c r="S1250" s="4">
        <f t="shared" ca="1" si="132"/>
        <v>-23.0734486029741</v>
      </c>
    </row>
    <row r="1251" spans="15:19" x14ac:dyDescent="0.2">
      <c r="O1251" s="4">
        <f t="shared" ca="1" si="128"/>
        <v>0.70168380484434312</v>
      </c>
      <c r="P1251" s="4">
        <f t="shared" ca="1" si="129"/>
        <v>0.52924948872737942</v>
      </c>
      <c r="Q1251" s="4">
        <f t="shared" ca="1" si="130"/>
        <v>1907.2306944010672</v>
      </c>
      <c r="R1251" s="4">
        <f t="shared" ca="1" si="131"/>
        <v>-16.439349598932722</v>
      </c>
      <c r="S1251" s="4">
        <f t="shared" ca="1" si="132"/>
        <v>-8.2117484288464606</v>
      </c>
    </row>
    <row r="1252" spans="15:19" x14ac:dyDescent="0.2">
      <c r="O1252" s="4">
        <f t="shared" ca="1" si="128"/>
        <v>4.0073765707235975E-2</v>
      </c>
      <c r="P1252" s="4">
        <f t="shared" ca="1" si="129"/>
        <v>-1.7498307008181624</v>
      </c>
      <c r="Q1252" s="4">
        <f t="shared" ca="1" si="130"/>
        <v>1976.2753275544774</v>
      </c>
      <c r="R1252" s="4">
        <f t="shared" ca="1" si="131"/>
        <v>52.60528355447741</v>
      </c>
      <c r="S1252" s="4">
        <f t="shared" ca="1" si="132"/>
        <v>27.755798922663132</v>
      </c>
    </row>
    <row r="1253" spans="15:19" x14ac:dyDescent="0.2">
      <c r="O1253" s="4">
        <f t="shared" ca="1" si="128"/>
        <v>0.1586666373634843</v>
      </c>
      <c r="P1253" s="4">
        <f t="shared" ca="1" si="129"/>
        <v>-0.99995295644009163</v>
      </c>
      <c r="Q1253" s="4">
        <f t="shared" ca="1" si="130"/>
        <v>1953.5578145823624</v>
      </c>
      <c r="R1253" s="4">
        <f t="shared" ca="1" si="131"/>
        <v>29.887770582362464</v>
      </c>
      <c r="S1253" s="4">
        <f t="shared" ca="1" si="132"/>
        <v>15.493108538525529</v>
      </c>
    </row>
    <row r="1254" spans="15:19" x14ac:dyDescent="0.2">
      <c r="O1254" s="4">
        <f t="shared" ca="1" si="128"/>
        <v>0.41273558321002257</v>
      </c>
      <c r="P1254" s="4">
        <f t="shared" ca="1" si="129"/>
        <v>-0.22051361972126568</v>
      </c>
      <c r="Q1254" s="4">
        <f t="shared" ca="1" si="130"/>
        <v>1929.9447344827897</v>
      </c>
      <c r="R1254" s="4">
        <f t="shared" ca="1" si="131"/>
        <v>6.2746904827897652</v>
      </c>
      <c r="S1254" s="4">
        <f t="shared" ca="1" si="132"/>
        <v>3.1923368063722468</v>
      </c>
    </row>
    <row r="1255" spans="15:19" x14ac:dyDescent="0.2">
      <c r="O1255" s="4">
        <f t="shared" ca="1" si="128"/>
        <v>0.58169028813156909</v>
      </c>
      <c r="P1255" s="4">
        <f t="shared" ca="1" si="129"/>
        <v>0.20621954182249272</v>
      </c>
      <c r="Q1255" s="4">
        <f t="shared" ca="1" si="130"/>
        <v>1917.0168723003453</v>
      </c>
      <c r="R1255" s="4">
        <f t="shared" ca="1" si="131"/>
        <v>-6.6531716996546493</v>
      </c>
      <c r="S1255" s="4">
        <f t="shared" ca="1" si="132"/>
        <v>-3.349881886975449</v>
      </c>
    </row>
    <row r="1256" spans="15:19" x14ac:dyDescent="0.2">
      <c r="O1256" s="4">
        <f t="shared" ca="1" si="128"/>
        <v>0.73168540033951501</v>
      </c>
      <c r="P1256" s="4">
        <f t="shared" ca="1" si="129"/>
        <v>0.61791829384958652</v>
      </c>
      <c r="Q1256" s="4">
        <f t="shared" ca="1" si="130"/>
        <v>1904.5444768866957</v>
      </c>
      <c r="R1256" s="4">
        <f t="shared" ca="1" si="131"/>
        <v>-19.125567113304214</v>
      </c>
      <c r="S1256" s="4">
        <f t="shared" ca="1" si="132"/>
        <v>-9.5326486457975452</v>
      </c>
    </row>
    <row r="1257" spans="15:19" x14ac:dyDescent="0.2">
      <c r="O1257" s="4">
        <f t="shared" ca="1" si="128"/>
        <v>0.68357214854944837</v>
      </c>
      <c r="P1257" s="4">
        <f t="shared" ca="1" si="129"/>
        <v>0.4777112965612263</v>
      </c>
      <c r="Q1257" s="4">
        <f t="shared" ca="1" si="130"/>
        <v>1908.7920416444967</v>
      </c>
      <c r="R1257" s="4">
        <f t="shared" ca="1" si="131"/>
        <v>-14.878002355503213</v>
      </c>
      <c r="S1257" s="4">
        <f t="shared" ca="1" si="132"/>
        <v>-7.4412837312087303</v>
      </c>
    </row>
    <row r="1258" spans="15:19" x14ac:dyDescent="0.2">
      <c r="O1258" s="4">
        <f t="shared" ca="1" si="128"/>
        <v>0.36998973520649447</v>
      </c>
      <c r="P1258" s="4">
        <f t="shared" ca="1" si="129"/>
        <v>-0.33188053309377646</v>
      </c>
      <c r="Q1258" s="4">
        <f t="shared" ca="1" si="130"/>
        <v>1933.3185901788306</v>
      </c>
      <c r="R1258" s="4">
        <f t="shared" ca="1" si="131"/>
        <v>9.6485461788306566</v>
      </c>
      <c r="S1258" s="4">
        <f t="shared" ca="1" si="132"/>
        <v>4.9220844653021416</v>
      </c>
    </row>
    <row r="1259" spans="15:19" x14ac:dyDescent="0.2">
      <c r="O1259" s="4">
        <f t="shared" ca="1" si="128"/>
        <v>3.6155285783404323E-2</v>
      </c>
      <c r="P1259" s="4">
        <f t="shared" ca="1" si="129"/>
        <v>-1.7971578017247816</v>
      </c>
      <c r="Q1259" s="4">
        <f t="shared" ca="1" si="130"/>
        <v>1977.7090999751676</v>
      </c>
      <c r="R1259" s="4">
        <f t="shared" ca="1" si="131"/>
        <v>54.039055975167685</v>
      </c>
      <c r="S1259" s="4">
        <f t="shared" ca="1" si="132"/>
        <v>28.54383096167922</v>
      </c>
    </row>
    <row r="1260" spans="15:19" x14ac:dyDescent="0.2">
      <c r="O1260" s="4">
        <f t="shared" ca="1" si="128"/>
        <v>0.67647559343211672</v>
      </c>
      <c r="P1260" s="4">
        <f t="shared" ca="1" si="129"/>
        <v>0.45786586362973575</v>
      </c>
      <c r="Q1260" s="4">
        <f t="shared" ca="1" si="130"/>
        <v>1909.3932581540389</v>
      </c>
      <c r="R1260" s="4">
        <f t="shared" ca="1" si="131"/>
        <v>-14.276785845961058</v>
      </c>
      <c r="S1260" s="4">
        <f t="shared" ca="1" si="132"/>
        <v>-7.1440772930113443</v>
      </c>
    </row>
    <row r="1261" spans="15:19" x14ac:dyDescent="0.2">
      <c r="O1261" s="4">
        <f t="shared" ca="1" si="128"/>
        <v>0.32727641462520851</v>
      </c>
      <c r="P1261" s="4">
        <f t="shared" ca="1" si="129"/>
        <v>-0.44744633206402346</v>
      </c>
      <c r="Q1261" s="4">
        <f t="shared" ca="1" si="130"/>
        <v>1936.819650927629</v>
      </c>
      <c r="R1261" s="4">
        <f t="shared" ca="1" si="131"/>
        <v>13.149606927629065</v>
      </c>
      <c r="S1261" s="4">
        <f t="shared" ca="1" si="132"/>
        <v>6.7268470459702385</v>
      </c>
    </row>
    <row r="1262" spans="15:19" x14ac:dyDescent="0.2">
      <c r="O1262" s="4">
        <f t="shared" ca="1" si="128"/>
        <v>0.99282435333400687</v>
      </c>
      <c r="P1262" s="4">
        <f t="shared" ca="1" si="129"/>
        <v>2.4483480889981473</v>
      </c>
      <c r="Q1262" s="4">
        <f t="shared" ca="1" si="130"/>
        <v>1849.0916875119153</v>
      </c>
      <c r="R1262" s="4">
        <f t="shared" ca="1" si="131"/>
        <v>-74.578356488084637</v>
      </c>
      <c r="S1262" s="4">
        <f t="shared" ca="1" si="132"/>
        <v>-35.488203492078924</v>
      </c>
    </row>
    <row r="1263" spans="15:19" x14ac:dyDescent="0.2">
      <c r="O1263" s="4">
        <f t="shared" ca="1" si="128"/>
        <v>0.84988616326735633</v>
      </c>
      <c r="P1263" s="4">
        <f t="shared" ca="1" si="129"/>
        <v>1.0359452759984706</v>
      </c>
      <c r="Q1263" s="4">
        <f t="shared" ca="1" si="130"/>
        <v>1891.8803680224735</v>
      </c>
      <c r="R1263" s="4">
        <f t="shared" ca="1" si="131"/>
        <v>-31.789675977526485</v>
      </c>
      <c r="S1263" s="4">
        <f t="shared" ca="1" si="132"/>
        <v>-15.680867914318847</v>
      </c>
    </row>
    <row r="1264" spans="15:19" x14ac:dyDescent="0.2">
      <c r="O1264" s="4">
        <f t="shared" ca="1" si="128"/>
        <v>0.24455031942113448</v>
      </c>
      <c r="P1264" s="4">
        <f t="shared" ca="1" si="129"/>
        <v>-0.69173997371519824</v>
      </c>
      <c r="Q1264" s="4">
        <f t="shared" ca="1" si="130"/>
        <v>1944.2205159550588</v>
      </c>
      <c r="R1264" s="4">
        <f t="shared" ca="1" si="131"/>
        <v>20.550471955058811</v>
      </c>
      <c r="S1264" s="4">
        <f t="shared" ca="1" si="132"/>
        <v>10.574764441436093</v>
      </c>
    </row>
    <row r="1265" spans="15:19" x14ac:dyDescent="0.2">
      <c r="O1265" s="4">
        <f t="shared" ca="1" si="128"/>
        <v>0.93506805817386085</v>
      </c>
      <c r="P1265" s="4">
        <f t="shared" ca="1" si="129"/>
        <v>1.514638867256946</v>
      </c>
      <c r="Q1265" s="4">
        <f t="shared" ca="1" si="130"/>
        <v>1877.378366928813</v>
      </c>
      <c r="R1265" s="4">
        <f t="shared" ca="1" si="131"/>
        <v>-46.291677071186996</v>
      </c>
      <c r="S1265" s="4">
        <f t="shared" ca="1" si="132"/>
        <v>-22.56098382888683</v>
      </c>
    </row>
    <row r="1266" spans="15:19" x14ac:dyDescent="0.2">
      <c r="O1266" s="4">
        <f t="shared" ca="1" si="128"/>
        <v>0.16810731894323738</v>
      </c>
      <c r="P1266" s="4">
        <f t="shared" ca="1" si="129"/>
        <v>-0.96167150993990413</v>
      </c>
      <c r="Q1266" s="4">
        <f t="shared" ca="1" si="130"/>
        <v>1952.3980798602972</v>
      </c>
      <c r="R1266" s="4">
        <f t="shared" ca="1" si="131"/>
        <v>28.728035860297268</v>
      </c>
      <c r="S1266" s="4">
        <f t="shared" ca="1" si="132"/>
        <v>14.878367390943678</v>
      </c>
    </row>
    <row r="1267" spans="15:19" x14ac:dyDescent="0.2">
      <c r="O1267" s="4">
        <f t="shared" ca="1" si="128"/>
        <v>0.4675732486730918</v>
      </c>
      <c r="P1267" s="4">
        <f t="shared" ca="1" si="129"/>
        <v>-8.1371520485199106E-2</v>
      </c>
      <c r="Q1267" s="4">
        <f t="shared" ca="1" si="130"/>
        <v>1925.7294307642023</v>
      </c>
      <c r="R1267" s="4">
        <f t="shared" ca="1" si="131"/>
        <v>2.0593867642023724</v>
      </c>
      <c r="S1267" s="4">
        <f t="shared" ca="1" si="132"/>
        <v>1.0442081621840638</v>
      </c>
    </row>
    <row r="1268" spans="15:19" x14ac:dyDescent="0.2">
      <c r="O1268" s="4">
        <f t="shared" ca="1" si="128"/>
        <v>4.2976096337794978E-2</v>
      </c>
      <c r="P1268" s="4">
        <f t="shared" ca="1" si="129"/>
        <v>-1.717147677824638</v>
      </c>
      <c r="Q1268" s="4">
        <f t="shared" ca="1" si="130"/>
        <v>1975.2851968239818</v>
      </c>
      <c r="R1268" s="4">
        <f t="shared" ca="1" si="131"/>
        <v>51.615152823981816</v>
      </c>
      <c r="S1268" s="4">
        <f t="shared" ca="1" si="132"/>
        <v>27.212578819398395</v>
      </c>
    </row>
    <row r="1269" spans="15:19" x14ac:dyDescent="0.2">
      <c r="O1269" s="4">
        <f t="shared" ca="1" si="128"/>
        <v>0.5326431602529399</v>
      </c>
      <c r="P1269" s="4">
        <f t="shared" ca="1" si="129"/>
        <v>8.1915788164061754E-2</v>
      </c>
      <c r="Q1269" s="4">
        <f t="shared" ca="1" si="130"/>
        <v>1920.7826489984657</v>
      </c>
      <c r="R1269" s="4">
        <f t="shared" ca="1" si="131"/>
        <v>-2.8873950015342871</v>
      </c>
      <c r="S1269" s="4">
        <f t="shared" ca="1" si="132"/>
        <v>-1.4582338750921018</v>
      </c>
    </row>
    <row r="1270" spans="15:19" x14ac:dyDescent="0.2">
      <c r="O1270" s="4">
        <f t="shared" ca="1" si="128"/>
        <v>0.3392188734511753</v>
      </c>
      <c r="P1270" s="4">
        <f t="shared" ca="1" si="129"/>
        <v>-0.41459590436544419</v>
      </c>
      <c r="Q1270" s="4">
        <f t="shared" ca="1" si="130"/>
        <v>1935.8244486790263</v>
      </c>
      <c r="R1270" s="4">
        <f t="shared" ca="1" si="131"/>
        <v>12.154404679026356</v>
      </c>
      <c r="S1270" s="4">
        <f t="shared" ca="1" si="132"/>
        <v>6.2128148545664796</v>
      </c>
    </row>
    <row r="1271" spans="15:19" x14ac:dyDescent="0.2">
      <c r="O1271" s="4">
        <f t="shared" ca="1" si="128"/>
        <v>0.31825293487897521</v>
      </c>
      <c r="P1271" s="4">
        <f t="shared" ca="1" si="129"/>
        <v>-0.47258978768304716</v>
      </c>
      <c r="Q1271" s="4">
        <f t="shared" ca="1" si="130"/>
        <v>1937.5813707992629</v>
      </c>
      <c r="R1271" s="4">
        <f t="shared" ca="1" si="131"/>
        <v>13.911326799262952</v>
      </c>
      <c r="S1271" s="4">
        <f t="shared" ca="1" si="132"/>
        <v>7.120827963247768</v>
      </c>
    </row>
    <row r="1272" spans="15:19" x14ac:dyDescent="0.2">
      <c r="O1272" s="4">
        <f t="shared" ca="1" si="128"/>
        <v>0.52394491143494293</v>
      </c>
      <c r="P1272" s="4">
        <f t="shared" ca="1" si="129"/>
        <v>6.0057075345489833E-2</v>
      </c>
      <c r="Q1272" s="4">
        <f t="shared" ca="1" si="130"/>
        <v>1921.4448577327994</v>
      </c>
      <c r="R1272" s="4">
        <f t="shared" ca="1" si="131"/>
        <v>-2.22518626720057</v>
      </c>
      <c r="S1272" s="4">
        <f t="shared" ca="1" si="132"/>
        <v>-1.1243954994310468</v>
      </c>
    </row>
    <row r="1273" spans="15:19" x14ac:dyDescent="0.2">
      <c r="O1273" s="4">
        <f t="shared" ca="1" si="128"/>
        <v>0.49887107522207985</v>
      </c>
      <c r="P1273" s="4">
        <f t="shared" ca="1" si="129"/>
        <v>-2.8297985449861384E-3</v>
      </c>
      <c r="Q1273" s="4">
        <f t="shared" ca="1" si="130"/>
        <v>1923.3500127851974</v>
      </c>
      <c r="R1273" s="4">
        <f t="shared" ca="1" si="131"/>
        <v>-0.32003121480261143</v>
      </c>
      <c r="S1273" s="4">
        <f t="shared" ca="1" si="132"/>
        <v>-0.16196124358724612</v>
      </c>
    </row>
    <row r="1274" spans="15:19" x14ac:dyDescent="0.2">
      <c r="O1274" s="4">
        <f t="shared" ca="1" si="128"/>
        <v>0.21564117909271985</v>
      </c>
      <c r="P1274" s="4">
        <f t="shared" ca="1" si="129"/>
        <v>-0.78699915949200427</v>
      </c>
      <c r="Q1274" s="4">
        <f t="shared" ca="1" si="130"/>
        <v>1947.106388758755</v>
      </c>
      <c r="R1274" s="4">
        <f t="shared" ca="1" si="131"/>
        <v>23.436344758755013</v>
      </c>
      <c r="S1274" s="4">
        <f t="shared" ca="1" si="132"/>
        <v>12.087295034794256</v>
      </c>
    </row>
    <row r="1275" spans="15:19" x14ac:dyDescent="0.2">
      <c r="O1275" s="4">
        <f t="shared" ca="1" si="128"/>
        <v>0.27968003613496883</v>
      </c>
      <c r="P1275" s="4">
        <f t="shared" ca="1" si="129"/>
        <v>-0.58379228082950374</v>
      </c>
      <c r="Q1275" s="4">
        <f t="shared" ca="1" si="130"/>
        <v>1940.9502453918556</v>
      </c>
      <c r="R1275" s="4">
        <f t="shared" ca="1" si="131"/>
        <v>17.280201391855599</v>
      </c>
      <c r="S1275" s="4">
        <f t="shared" ca="1" si="132"/>
        <v>8.8689602552488136</v>
      </c>
    </row>
    <row r="1276" spans="15:19" x14ac:dyDescent="0.2">
      <c r="O1276" s="4">
        <f t="shared" ca="1" si="128"/>
        <v>0.68369504892595412</v>
      </c>
      <c r="P1276" s="4">
        <f t="shared" ca="1" si="129"/>
        <v>0.47805662610393146</v>
      </c>
      <c r="Q1276" s="4">
        <f t="shared" ca="1" si="130"/>
        <v>1908.7815799013326</v>
      </c>
      <c r="R1276" s="4">
        <f t="shared" ca="1" si="131"/>
        <v>-14.888464098667328</v>
      </c>
      <c r="S1276" s="4">
        <f t="shared" ca="1" si="132"/>
        <v>-7.4464528029979986</v>
      </c>
    </row>
    <row r="1277" spans="15:19" x14ac:dyDescent="0.2">
      <c r="O1277" s="4">
        <f t="shared" ca="1" si="128"/>
        <v>0.2085742504478546</v>
      </c>
      <c r="P1277" s="4">
        <f t="shared" ca="1" si="129"/>
        <v>-0.81137822340229759</v>
      </c>
      <c r="Q1277" s="4">
        <f t="shared" ca="1" si="130"/>
        <v>1947.8449514175111</v>
      </c>
      <c r="R1277" s="4">
        <f t="shared" ca="1" si="131"/>
        <v>24.174907417511122</v>
      </c>
      <c r="S1277" s="4">
        <f t="shared" ca="1" si="132"/>
        <v>12.475476825502783</v>
      </c>
    </row>
    <row r="1278" spans="15:19" x14ac:dyDescent="0.2">
      <c r="O1278" s="4">
        <f t="shared" ca="1" si="128"/>
        <v>0.49694870107373357</v>
      </c>
      <c r="P1278" s="4">
        <f t="shared" ca="1" si="129"/>
        <v>-7.648546735947526E-3</v>
      </c>
      <c r="Q1278" s="4">
        <f t="shared" ca="1" si="130"/>
        <v>1923.4959965476949</v>
      </c>
      <c r="R1278" s="4">
        <f t="shared" ca="1" si="131"/>
        <v>-0.17404745230510343</v>
      </c>
      <c r="S1278" s="4">
        <f t="shared" ca="1" si="132"/>
        <v>-8.8092193984290051E-2</v>
      </c>
    </row>
    <row r="1279" spans="15:19" x14ac:dyDescent="0.2">
      <c r="O1279" s="4">
        <f t="shared" ca="1" si="128"/>
        <v>0.64043438823016419</v>
      </c>
      <c r="P1279" s="4">
        <f t="shared" ca="1" si="129"/>
        <v>0.35962013573026141</v>
      </c>
      <c r="Q1279" s="4">
        <f t="shared" ca="1" si="130"/>
        <v>1912.3696081187418</v>
      </c>
      <c r="R1279" s="4">
        <f t="shared" ca="1" si="131"/>
        <v>-11.300435881258181</v>
      </c>
      <c r="S1279" s="4">
        <f t="shared" ca="1" si="132"/>
        <v>-5.6684086502779989</v>
      </c>
    </row>
    <row r="1280" spans="15:19" x14ac:dyDescent="0.2">
      <c r="O1280" s="4">
        <f t="shared" ca="1" si="128"/>
        <v>0.30578368927690935</v>
      </c>
      <c r="P1280" s="4">
        <f t="shared" ca="1" si="129"/>
        <v>-0.50783740044444214</v>
      </c>
      <c r="Q1280" s="4">
        <f t="shared" ca="1" si="130"/>
        <v>1938.6491956629106</v>
      </c>
      <c r="R1280" s="4">
        <f t="shared" ca="1" si="131"/>
        <v>14.979151662910681</v>
      </c>
      <c r="S1280" s="4">
        <f t="shared" ca="1" si="132"/>
        <v>7.6739294423700555</v>
      </c>
    </row>
    <row r="1281" spans="15:19" x14ac:dyDescent="0.2">
      <c r="O1281" s="4">
        <f t="shared" ca="1" si="128"/>
        <v>0.90927874703533496</v>
      </c>
      <c r="P1281" s="4">
        <f t="shared" ca="1" si="129"/>
        <v>1.3363267221177417</v>
      </c>
      <c r="Q1281" s="4">
        <f t="shared" ca="1" si="130"/>
        <v>1882.7803254489247</v>
      </c>
      <c r="R1281" s="4">
        <f t="shared" ca="1" si="131"/>
        <v>-40.889718551075248</v>
      </c>
      <c r="S1281" s="4">
        <f t="shared" ca="1" si="132"/>
        <v>-20.018168881341996</v>
      </c>
    </row>
    <row r="1282" spans="15:19" x14ac:dyDescent="0.2">
      <c r="O1282" s="4">
        <f t="shared" ca="1" si="128"/>
        <v>0.80996456572556963</v>
      </c>
      <c r="P1282" s="4">
        <f t="shared" ca="1" si="129"/>
        <v>0.87776572475758874</v>
      </c>
      <c r="Q1282" s="4">
        <f t="shared" ca="1" si="130"/>
        <v>1896.6724105043029</v>
      </c>
      <c r="R1282" s="4">
        <f t="shared" ca="1" si="131"/>
        <v>-26.997633495697073</v>
      </c>
      <c r="S1282" s="4">
        <f t="shared" ca="1" si="132"/>
        <v>-13.369765066829448</v>
      </c>
    </row>
    <row r="1283" spans="15:19" x14ac:dyDescent="0.2">
      <c r="O1283" s="4">
        <f t="shared" ref="O1283:O1346" ca="1" si="133">RAND()</f>
        <v>0.39197048010034041</v>
      </c>
      <c r="P1283" s="4">
        <f t="shared" ref="P1283:P1346" ca="1" si="134">NORMSINV(O1283)</f>
        <v>-0.27418694500975066</v>
      </c>
      <c r="Q1283" s="4">
        <f t="shared" ref="Q1283:Q1346" ca="1" si="135">$B$4*(1+$B$17-$B$6/SQRT(252)*P1283)</f>
        <v>1931.5707654893627</v>
      </c>
      <c r="R1283" s="4">
        <f t="shared" ref="R1283:R1346" ca="1" si="136">Q1283-$B$4</f>
        <v>7.9007214893626951</v>
      </c>
      <c r="S1283" s="4">
        <f t="shared" ref="S1283:S1346" ca="1" si="137">R1283*$B$12+0.5*$B$13*R1283^2</f>
        <v>4.0248324357238143</v>
      </c>
    </row>
    <row r="1284" spans="15:19" x14ac:dyDescent="0.2">
      <c r="O1284" s="4">
        <f t="shared" ca="1" si="133"/>
        <v>0.85941989003756158</v>
      </c>
      <c r="P1284" s="4">
        <f t="shared" ca="1" si="134"/>
        <v>1.0777166630930117</v>
      </c>
      <c r="Q1284" s="4">
        <f t="shared" ca="1" si="135"/>
        <v>1890.6149057050523</v>
      </c>
      <c r="R1284" s="4">
        <f t="shared" ca="1" si="136"/>
        <v>-33.05513829494771</v>
      </c>
      <c r="S1284" s="4">
        <f t="shared" ca="1" si="137"/>
        <v>-16.288053775650454</v>
      </c>
    </row>
    <row r="1285" spans="15:19" x14ac:dyDescent="0.2">
      <c r="O1285" s="4">
        <f t="shared" ca="1" si="133"/>
        <v>0.56906808576572387</v>
      </c>
      <c r="P1285" s="4">
        <f t="shared" ca="1" si="134"/>
        <v>0.174002078850056</v>
      </c>
      <c r="Q1285" s="4">
        <f t="shared" ca="1" si="135"/>
        <v>1917.9928989106722</v>
      </c>
      <c r="R1285" s="4">
        <f t="shared" ca="1" si="136"/>
        <v>-5.6771450893277233</v>
      </c>
      <c r="S1285" s="4">
        <f t="shared" ca="1" si="137"/>
        <v>-2.860706619792722</v>
      </c>
    </row>
    <row r="1286" spans="15:19" x14ac:dyDescent="0.2">
      <c r="O1286" s="4">
        <f t="shared" ca="1" si="133"/>
        <v>0.81549895239270143</v>
      </c>
      <c r="P1286" s="4">
        <f t="shared" ca="1" si="134"/>
        <v>0.89834416225384373</v>
      </c>
      <c r="Q1286" s="4">
        <f t="shared" ca="1" si="135"/>
        <v>1896.0489876540157</v>
      </c>
      <c r="R1286" s="4">
        <f t="shared" ca="1" si="136"/>
        <v>-27.621056345984243</v>
      </c>
      <c r="S1286" s="4">
        <f t="shared" ca="1" si="137"/>
        <v>-13.671486893344081</v>
      </c>
    </row>
    <row r="1287" spans="15:19" x14ac:dyDescent="0.2">
      <c r="O1287" s="4">
        <f t="shared" ca="1" si="133"/>
        <v>0.55412780476886392</v>
      </c>
      <c r="P1287" s="4">
        <f t="shared" ca="1" si="134"/>
        <v>0.13609726394167015</v>
      </c>
      <c r="Q1287" s="4">
        <f t="shared" ca="1" si="135"/>
        <v>1919.1412235953862</v>
      </c>
      <c r="R1287" s="4">
        <f t="shared" ca="1" si="136"/>
        <v>-4.5288204046137253</v>
      </c>
      <c r="S1287" s="4">
        <f t="shared" ca="1" si="137"/>
        <v>-2.284184171145855</v>
      </c>
    </row>
    <row r="1288" spans="15:19" x14ac:dyDescent="0.2">
      <c r="O1288" s="4">
        <f t="shared" ca="1" si="133"/>
        <v>0.72734190224854578</v>
      </c>
      <c r="P1288" s="4">
        <f t="shared" ca="1" si="134"/>
        <v>0.60479352643286444</v>
      </c>
      <c r="Q1288" s="4">
        <f t="shared" ca="1" si="135"/>
        <v>1904.9420911328589</v>
      </c>
      <c r="R1288" s="4">
        <f t="shared" ca="1" si="136"/>
        <v>-18.727952867141084</v>
      </c>
      <c r="S1288" s="4">
        <f t="shared" ca="1" si="137"/>
        <v>-9.3374992589354857</v>
      </c>
    </row>
    <row r="1289" spans="15:19" x14ac:dyDescent="0.2">
      <c r="O1289" s="4">
        <f t="shared" ca="1" si="133"/>
        <v>0.53422803580848688</v>
      </c>
      <c r="P1289" s="4">
        <f t="shared" ca="1" si="134"/>
        <v>8.5902494671016669E-2</v>
      </c>
      <c r="Q1289" s="4">
        <f t="shared" ca="1" si="135"/>
        <v>1920.6618719018431</v>
      </c>
      <c r="R1289" s="4">
        <f t="shared" ca="1" si="136"/>
        <v>-3.0081720981568196</v>
      </c>
      <c r="S1289" s="4">
        <f t="shared" ca="1" si="137"/>
        <v>-1.5190825709732858</v>
      </c>
    </row>
    <row r="1290" spans="15:19" x14ac:dyDescent="0.2">
      <c r="O1290" s="4">
        <f t="shared" ca="1" si="133"/>
        <v>5.7486937770017565E-2</v>
      </c>
      <c r="P1290" s="4">
        <f t="shared" ca="1" si="134"/>
        <v>-1.5762253621749112</v>
      </c>
      <c r="Q1290" s="4">
        <f t="shared" ca="1" si="135"/>
        <v>1971.0159615281823</v>
      </c>
      <c r="R1290" s="4">
        <f t="shared" ca="1" si="136"/>
        <v>47.345917528182326</v>
      </c>
      <c r="S1290" s="4">
        <f t="shared" ca="1" si="137"/>
        <v>24.879468194417043</v>
      </c>
    </row>
    <row r="1291" spans="15:19" x14ac:dyDescent="0.2">
      <c r="O1291" s="4">
        <f t="shared" ca="1" si="133"/>
        <v>0.10806426316037898</v>
      </c>
      <c r="P1291" s="4">
        <f t="shared" ca="1" si="134"/>
        <v>-1.236888375280089</v>
      </c>
      <c r="Q1291" s="4">
        <f t="shared" ca="1" si="135"/>
        <v>1960.7357625764253</v>
      </c>
      <c r="R1291" s="4">
        <f t="shared" ca="1" si="136"/>
        <v>37.065718576425297</v>
      </c>
      <c r="S1291" s="4">
        <f t="shared" ca="1" si="137"/>
        <v>19.322288975467337</v>
      </c>
    </row>
    <row r="1292" spans="15:19" x14ac:dyDescent="0.2">
      <c r="O1292" s="4">
        <f t="shared" ca="1" si="133"/>
        <v>0.7283091153650455</v>
      </c>
      <c r="P1292" s="4">
        <f t="shared" ca="1" si="134"/>
        <v>0.60770707580150207</v>
      </c>
      <c r="Q1292" s="4">
        <f t="shared" ca="1" si="135"/>
        <v>1904.8538252840947</v>
      </c>
      <c r="R1292" s="4">
        <f t="shared" ca="1" si="136"/>
        <v>-18.816218715905279</v>
      </c>
      <c r="S1292" s="4">
        <f t="shared" ca="1" si="137"/>
        <v>-9.380831322385049</v>
      </c>
    </row>
    <row r="1293" spans="15:19" x14ac:dyDescent="0.2">
      <c r="O1293" s="4">
        <f t="shared" ca="1" si="133"/>
        <v>0.50210515262190125</v>
      </c>
      <c r="P1293" s="4">
        <f t="shared" ca="1" si="134"/>
        <v>5.2768595736119766E-3</v>
      </c>
      <c r="Q1293" s="4">
        <f t="shared" ca="1" si="135"/>
        <v>1923.1044219374216</v>
      </c>
      <c r="R1293" s="4">
        <f t="shared" ca="1" si="136"/>
        <v>-0.56562206257831349</v>
      </c>
      <c r="S1293" s="4">
        <f t="shared" ca="1" si="137"/>
        <v>-0.28619319531920079</v>
      </c>
    </row>
    <row r="1294" spans="15:19" x14ac:dyDescent="0.2">
      <c r="O1294" s="4">
        <f t="shared" ca="1" si="133"/>
        <v>0.13206287327493904</v>
      </c>
      <c r="P1294" s="4">
        <f t="shared" ca="1" si="134"/>
        <v>-1.1166926851195309</v>
      </c>
      <c r="Q1294" s="4">
        <f t="shared" ca="1" si="135"/>
        <v>1957.0944394795795</v>
      </c>
      <c r="R1294" s="4">
        <f t="shared" ca="1" si="136"/>
        <v>33.424395479579516</v>
      </c>
      <c r="S1294" s="4">
        <f t="shared" ca="1" si="137"/>
        <v>17.374530135628632</v>
      </c>
    </row>
    <row r="1295" spans="15:19" x14ac:dyDescent="0.2">
      <c r="O1295" s="4">
        <f t="shared" ca="1" si="133"/>
        <v>0.75586354134046463</v>
      </c>
      <c r="P1295" s="4">
        <f t="shared" ca="1" si="134"/>
        <v>0.69305837676506254</v>
      </c>
      <c r="Q1295" s="4">
        <f t="shared" ca="1" si="135"/>
        <v>1902.2681114109157</v>
      </c>
      <c r="R1295" s="4">
        <f t="shared" ca="1" si="136"/>
        <v>-21.401932589084254</v>
      </c>
      <c r="S1295" s="4">
        <f t="shared" ca="1" si="137"/>
        <v>-10.647412811709513</v>
      </c>
    </row>
    <row r="1296" spans="15:19" x14ac:dyDescent="0.2">
      <c r="O1296" s="4">
        <f t="shared" ca="1" si="133"/>
        <v>0.1188829651229879</v>
      </c>
      <c r="P1296" s="4">
        <f t="shared" ca="1" si="134"/>
        <v>-1.1805892649703933</v>
      </c>
      <c r="Q1296" s="4">
        <f t="shared" ca="1" si="135"/>
        <v>1959.0301835292171</v>
      </c>
      <c r="R1296" s="4">
        <f t="shared" ca="1" si="136"/>
        <v>35.360139529217122</v>
      </c>
      <c r="S1296" s="4">
        <f t="shared" ca="1" si="137"/>
        <v>18.40862369786025</v>
      </c>
    </row>
    <row r="1297" spans="15:19" x14ac:dyDescent="0.2">
      <c r="O1297" s="4">
        <f t="shared" ca="1" si="133"/>
        <v>0.41131906403628915</v>
      </c>
      <c r="P1297" s="4">
        <f t="shared" ca="1" si="134"/>
        <v>-0.22415316118529757</v>
      </c>
      <c r="Q1297" s="4">
        <f t="shared" ca="1" si="135"/>
        <v>1930.0549942298505</v>
      </c>
      <c r="R1297" s="4">
        <f t="shared" ca="1" si="136"/>
        <v>6.384950229850574</v>
      </c>
      <c r="S1297" s="4">
        <f t="shared" ca="1" si="137"/>
        <v>3.2487195774015012</v>
      </c>
    </row>
    <row r="1298" spans="15:19" x14ac:dyDescent="0.2">
      <c r="O1298" s="4">
        <f t="shared" ca="1" si="133"/>
        <v>0.33525906946590434</v>
      </c>
      <c r="P1298" s="4">
        <f t="shared" ca="1" si="134"/>
        <v>-0.42543699932162526</v>
      </c>
      <c r="Q1298" s="4">
        <f t="shared" ca="1" si="135"/>
        <v>1936.15287916939</v>
      </c>
      <c r="R1298" s="4">
        <f t="shared" ca="1" si="136"/>
        <v>12.48283516939</v>
      </c>
      <c r="S1298" s="4">
        <f t="shared" ca="1" si="137"/>
        <v>6.3823634355337235</v>
      </c>
    </row>
    <row r="1299" spans="15:19" x14ac:dyDescent="0.2">
      <c r="O1299" s="4">
        <f t="shared" ca="1" si="133"/>
        <v>0.33812780303269185</v>
      </c>
      <c r="P1299" s="4">
        <f t="shared" ca="1" si="134"/>
        <v>-0.41757810736055417</v>
      </c>
      <c r="Q1299" s="4">
        <f t="shared" ca="1" si="135"/>
        <v>1935.9147943863563</v>
      </c>
      <c r="R1299" s="4">
        <f t="shared" ca="1" si="136"/>
        <v>12.244750386356372</v>
      </c>
      <c r="S1299" s="4">
        <f t="shared" ca="1" si="137"/>
        <v>6.2594460632244671</v>
      </c>
    </row>
    <row r="1300" spans="15:19" x14ac:dyDescent="0.2">
      <c r="O1300" s="4">
        <f t="shared" ca="1" si="133"/>
        <v>0.66413350632944268</v>
      </c>
      <c r="P1300" s="4">
        <f t="shared" ca="1" si="134"/>
        <v>0.42377078366218918</v>
      </c>
      <c r="Q1300" s="4">
        <f t="shared" ca="1" si="135"/>
        <v>1910.4261670878684</v>
      </c>
      <c r="R1300" s="4">
        <f t="shared" ca="1" si="136"/>
        <v>-13.243876912131554</v>
      </c>
      <c r="S1300" s="4">
        <f t="shared" ca="1" si="137"/>
        <v>-6.6327801610356625</v>
      </c>
    </row>
    <row r="1301" spans="15:19" x14ac:dyDescent="0.2">
      <c r="O1301" s="4">
        <f t="shared" ca="1" si="133"/>
        <v>0.47114348821342178</v>
      </c>
      <c r="P1301" s="4">
        <f t="shared" ca="1" si="134"/>
        <v>-7.2395738066762444E-2</v>
      </c>
      <c r="Q1301" s="4">
        <f t="shared" ca="1" si="135"/>
        <v>1925.4575098343516</v>
      </c>
      <c r="R1301" s="4">
        <f t="shared" ca="1" si="136"/>
        <v>1.7874658343516785</v>
      </c>
      <c r="S1301" s="4">
        <f t="shared" ca="1" si="137"/>
        <v>0.90613331346859038</v>
      </c>
    </row>
    <row r="1302" spans="15:19" x14ac:dyDescent="0.2">
      <c r="O1302" s="4">
        <f t="shared" ca="1" si="133"/>
        <v>0.39007235418378805</v>
      </c>
      <c r="P1302" s="4">
        <f t="shared" ca="1" si="134"/>
        <v>-0.2791304595913417</v>
      </c>
      <c r="Q1302" s="4">
        <f t="shared" ca="1" si="135"/>
        <v>1931.7205290441245</v>
      </c>
      <c r="R1302" s="4">
        <f t="shared" ca="1" si="136"/>
        <v>8.0504850441245708</v>
      </c>
      <c r="S1302" s="4">
        <f t="shared" ca="1" si="137"/>
        <v>4.1016166655611661</v>
      </c>
    </row>
    <row r="1303" spans="15:19" x14ac:dyDescent="0.2">
      <c r="O1303" s="4">
        <f t="shared" ca="1" si="133"/>
        <v>4.5302093282896916E-2</v>
      </c>
      <c r="P1303" s="4">
        <f t="shared" ca="1" si="134"/>
        <v>-1.6922192023993252</v>
      </c>
      <c r="Q1303" s="4">
        <f t="shared" ca="1" si="135"/>
        <v>1974.5299897677712</v>
      </c>
      <c r="R1303" s="4">
        <f t="shared" ca="1" si="136"/>
        <v>50.859945767771251</v>
      </c>
      <c r="S1303" s="4">
        <f t="shared" ca="1" si="137"/>
        <v>26.798782556549508</v>
      </c>
    </row>
    <row r="1304" spans="15:19" x14ac:dyDescent="0.2">
      <c r="O1304" s="4">
        <f t="shared" ca="1" si="133"/>
        <v>0.78488442282354531</v>
      </c>
      <c r="P1304" s="4">
        <f t="shared" ca="1" si="134"/>
        <v>0.78879615980020679</v>
      </c>
      <c r="Q1304" s="4">
        <f t="shared" ca="1" si="135"/>
        <v>1899.3677395245275</v>
      </c>
      <c r="R1304" s="4">
        <f t="shared" ca="1" si="136"/>
        <v>-24.302304475472511</v>
      </c>
      <c r="S1304" s="4">
        <f t="shared" ca="1" si="137"/>
        <v>-12.061648664255999</v>
      </c>
    </row>
    <row r="1305" spans="15:19" x14ac:dyDescent="0.2">
      <c r="O1305" s="4">
        <f t="shared" ca="1" si="133"/>
        <v>0.58870348753563762</v>
      </c>
      <c r="P1305" s="4">
        <f t="shared" ca="1" si="134"/>
        <v>0.22421112808323165</v>
      </c>
      <c r="Q1305" s="4">
        <f t="shared" ca="1" si="135"/>
        <v>1916.4718179933845</v>
      </c>
      <c r="R1305" s="4">
        <f t="shared" ca="1" si="136"/>
        <v>-7.198226006615414</v>
      </c>
      <c r="S1305" s="4">
        <f t="shared" ca="1" si="137"/>
        <v>-3.6227204393377255</v>
      </c>
    </row>
    <row r="1306" spans="15:19" x14ac:dyDescent="0.2">
      <c r="O1306" s="4">
        <f t="shared" ca="1" si="133"/>
        <v>0.96169667303895257</v>
      </c>
      <c r="P1306" s="4">
        <f t="shared" ca="1" si="134"/>
        <v>1.7707237326879031</v>
      </c>
      <c r="Q1306" s="4">
        <f t="shared" ca="1" si="135"/>
        <v>1869.6202873004929</v>
      </c>
      <c r="R1306" s="4">
        <f t="shared" ca="1" si="136"/>
        <v>-54.049756699507043</v>
      </c>
      <c r="S1306" s="4">
        <f t="shared" ca="1" si="137"/>
        <v>-26.171313906037607</v>
      </c>
    </row>
    <row r="1307" spans="15:19" x14ac:dyDescent="0.2">
      <c r="O1307" s="4">
        <f t="shared" ca="1" si="133"/>
        <v>0.86956517138289235</v>
      </c>
      <c r="P1307" s="4">
        <f t="shared" ca="1" si="134"/>
        <v>1.1243380145830617</v>
      </c>
      <c r="Q1307" s="4">
        <f t="shared" ca="1" si="135"/>
        <v>1889.2025139316022</v>
      </c>
      <c r="R1307" s="4">
        <f t="shared" ca="1" si="136"/>
        <v>-34.467530068397764</v>
      </c>
      <c r="S1307" s="4">
        <f t="shared" ca="1" si="137"/>
        <v>-16.964198759906925</v>
      </c>
    </row>
    <row r="1308" spans="15:19" x14ac:dyDescent="0.2">
      <c r="O1308" s="4">
        <f t="shared" ca="1" si="133"/>
        <v>0.46479251211105155</v>
      </c>
      <c r="P1308" s="4">
        <f t="shared" ca="1" si="134"/>
        <v>-8.8366955490953136E-2</v>
      </c>
      <c r="Q1308" s="4">
        <f t="shared" ca="1" si="135"/>
        <v>1925.9413571571115</v>
      </c>
      <c r="R1308" s="4">
        <f t="shared" ca="1" si="136"/>
        <v>2.2713131571115355</v>
      </c>
      <c r="S1308" s="4">
        <f t="shared" ca="1" si="137"/>
        <v>1.1518609819808505</v>
      </c>
    </row>
    <row r="1309" spans="15:19" x14ac:dyDescent="0.2">
      <c r="O1309" s="4">
        <f t="shared" ca="1" si="133"/>
        <v>0.59419098502495815</v>
      </c>
      <c r="P1309" s="4">
        <f t="shared" ca="1" si="134"/>
        <v>0.23833918715764996</v>
      </c>
      <c r="Q1309" s="4">
        <f t="shared" ca="1" si="135"/>
        <v>1916.0438090709968</v>
      </c>
      <c r="R1309" s="4">
        <f t="shared" ca="1" si="136"/>
        <v>-7.6262349290032034</v>
      </c>
      <c r="S1309" s="4">
        <f t="shared" ca="1" si="137"/>
        <v>-3.8367998932891147</v>
      </c>
    </row>
    <row r="1310" spans="15:19" x14ac:dyDescent="0.2">
      <c r="O1310" s="4">
        <f t="shared" ca="1" si="133"/>
        <v>0.42882569632240963</v>
      </c>
      <c r="P1310" s="4">
        <f t="shared" ca="1" si="134"/>
        <v>-0.17936464210096678</v>
      </c>
      <c r="Q1310" s="4">
        <f t="shared" ca="1" si="135"/>
        <v>1928.6981280327559</v>
      </c>
      <c r="R1310" s="4">
        <f t="shared" ca="1" si="136"/>
        <v>5.0280840327559417</v>
      </c>
      <c r="S1310" s="4">
        <f t="shared" ca="1" si="137"/>
        <v>2.5555567601474869</v>
      </c>
    </row>
    <row r="1311" spans="15:19" x14ac:dyDescent="0.2">
      <c r="O1311" s="4">
        <f t="shared" ca="1" si="133"/>
        <v>0.9432604699018321</v>
      </c>
      <c r="P1311" s="4">
        <f t="shared" ca="1" si="134"/>
        <v>1.582747354920703</v>
      </c>
      <c r="Q1311" s="4">
        <f t="shared" ca="1" si="135"/>
        <v>1875.3150233189879</v>
      </c>
      <c r="R1311" s="4">
        <f t="shared" ca="1" si="136"/>
        <v>-48.355020681012093</v>
      </c>
      <c r="S1311" s="4">
        <f t="shared" ca="1" si="137"/>
        <v>-23.525972571223406</v>
      </c>
    </row>
    <row r="1312" spans="15:19" x14ac:dyDescent="0.2">
      <c r="O1312" s="4">
        <f t="shared" ca="1" si="133"/>
        <v>9.2196539872244632E-2</v>
      </c>
      <c r="P1312" s="4">
        <f t="shared" ca="1" si="134"/>
        <v>-1.3273495508393565</v>
      </c>
      <c r="Q1312" s="4">
        <f t="shared" ca="1" si="135"/>
        <v>1963.4762798736083</v>
      </c>
      <c r="R1312" s="4">
        <f t="shared" ca="1" si="136"/>
        <v>39.80623587360833</v>
      </c>
      <c r="S1312" s="4">
        <f t="shared" ca="1" si="137"/>
        <v>20.795322508900636</v>
      </c>
    </row>
    <row r="1313" spans="15:19" x14ac:dyDescent="0.2">
      <c r="O1313" s="4">
        <f t="shared" ca="1" si="133"/>
        <v>0.98574901088359124</v>
      </c>
      <c r="P1313" s="4">
        <f t="shared" ca="1" si="134"/>
        <v>2.1903070177209729</v>
      </c>
      <c r="Q1313" s="4">
        <f t="shared" ca="1" si="135"/>
        <v>1856.9090303094929</v>
      </c>
      <c r="R1313" s="4">
        <f t="shared" ca="1" si="136"/>
        <v>-66.76101369050707</v>
      </c>
      <c r="S1313" s="4">
        <f t="shared" ca="1" si="137"/>
        <v>-31.980758096349305</v>
      </c>
    </row>
    <row r="1314" spans="15:19" x14ac:dyDescent="0.2">
      <c r="O1314" s="4">
        <f t="shared" ca="1" si="133"/>
        <v>0.49160354228026748</v>
      </c>
      <c r="P1314" s="4">
        <f t="shared" ca="1" si="134"/>
        <v>-2.10483524100211E-2</v>
      </c>
      <c r="Q1314" s="4">
        <f t="shared" ca="1" si="135"/>
        <v>1923.9019430656531</v>
      </c>
      <c r="R1314" s="4">
        <f t="shared" ca="1" si="136"/>
        <v>0.23189906565312413</v>
      </c>
      <c r="S1314" s="4">
        <f t="shared" ca="1" si="137"/>
        <v>0.11741146949669504</v>
      </c>
    </row>
    <row r="1315" spans="15:19" x14ac:dyDescent="0.2">
      <c r="O1315" s="4">
        <f t="shared" ca="1" si="133"/>
        <v>0.87273829112450019</v>
      </c>
      <c r="P1315" s="4">
        <f t="shared" ca="1" si="134"/>
        <v>1.1394310348472128</v>
      </c>
      <c r="Q1315" s="4">
        <f t="shared" ca="1" si="135"/>
        <v>1888.7452715528148</v>
      </c>
      <c r="R1315" s="4">
        <f t="shared" ca="1" si="136"/>
        <v>-34.924772447185205</v>
      </c>
      <c r="S1315" s="4">
        <f t="shared" ca="1" si="137"/>
        <v>-17.182743389925733</v>
      </c>
    </row>
    <row r="1316" spans="15:19" x14ac:dyDescent="0.2">
      <c r="O1316" s="4">
        <f t="shared" ca="1" si="133"/>
        <v>0.96086829103978988</v>
      </c>
      <c r="P1316" s="4">
        <f t="shared" ca="1" si="134"/>
        <v>1.7608522245012233</v>
      </c>
      <c r="Q1316" s="4">
        <f t="shared" ca="1" si="135"/>
        <v>1869.9193442027233</v>
      </c>
      <c r="R1316" s="4">
        <f t="shared" ca="1" si="136"/>
        <v>-53.750699797276638</v>
      </c>
      <c r="S1316" s="4">
        <f t="shared" ca="1" si="137"/>
        <v>-26.033051662151831</v>
      </c>
    </row>
    <row r="1317" spans="15:19" x14ac:dyDescent="0.2">
      <c r="O1317" s="4">
        <f t="shared" ca="1" si="133"/>
        <v>0.21371294775630467</v>
      </c>
      <c r="P1317" s="4">
        <f t="shared" ca="1" si="134"/>
        <v>-0.79360418472903294</v>
      </c>
      <c r="Q1317" s="4">
        <f t="shared" ca="1" si="135"/>
        <v>1947.306487705054</v>
      </c>
      <c r="R1317" s="4">
        <f t="shared" ca="1" si="136"/>
        <v>23.636443705054035</v>
      </c>
      <c r="S1317" s="4">
        <f t="shared" ca="1" si="137"/>
        <v>12.192421354069134</v>
      </c>
    </row>
    <row r="1318" spans="15:19" x14ac:dyDescent="0.2">
      <c r="O1318" s="4">
        <f t="shared" ca="1" si="133"/>
        <v>0.1900390338433996</v>
      </c>
      <c r="P1318" s="4">
        <f t="shared" ca="1" si="134"/>
        <v>-0.8777524616919371</v>
      </c>
      <c r="Q1318" s="4">
        <f t="shared" ca="1" si="135"/>
        <v>1949.8557560195461</v>
      </c>
      <c r="R1318" s="4">
        <f t="shared" ca="1" si="136"/>
        <v>26.185712019546145</v>
      </c>
      <c r="S1318" s="4">
        <f t="shared" ca="1" si="137"/>
        <v>13.534587824550275</v>
      </c>
    </row>
    <row r="1319" spans="15:19" x14ac:dyDescent="0.2">
      <c r="O1319" s="4">
        <f t="shared" ca="1" si="133"/>
        <v>0.25627325819979641</v>
      </c>
      <c r="P1319" s="4">
        <f t="shared" ca="1" si="134"/>
        <v>-0.65487767288081289</v>
      </c>
      <c r="Q1319" s="4">
        <f t="shared" ca="1" si="135"/>
        <v>1943.1037741879302</v>
      </c>
      <c r="R1319" s="4">
        <f t="shared" ca="1" si="136"/>
        <v>19.433730187930223</v>
      </c>
      <c r="S1319" s="4">
        <f t="shared" ca="1" si="137"/>
        <v>9.9912823538429798</v>
      </c>
    </row>
    <row r="1320" spans="15:19" x14ac:dyDescent="0.2">
      <c r="O1320" s="4">
        <f t="shared" ca="1" si="133"/>
        <v>0.42082087708330418</v>
      </c>
      <c r="P1320" s="4">
        <f t="shared" ca="1" si="134"/>
        <v>-0.19979392310985858</v>
      </c>
      <c r="Q1320" s="4">
        <f t="shared" ca="1" si="135"/>
        <v>1929.3170321938806</v>
      </c>
      <c r="R1320" s="4">
        <f t="shared" ca="1" si="136"/>
        <v>5.6469881938805884</v>
      </c>
      <c r="S1320" s="4">
        <f t="shared" ca="1" si="137"/>
        <v>2.8715415525552124</v>
      </c>
    </row>
    <row r="1321" spans="15:19" x14ac:dyDescent="0.2">
      <c r="O1321" s="4">
        <f t="shared" ca="1" si="133"/>
        <v>7.7333311224060064E-2</v>
      </c>
      <c r="P1321" s="4">
        <f t="shared" ca="1" si="134"/>
        <v>-1.4232399007150702</v>
      </c>
      <c r="Q1321" s="4">
        <f t="shared" ca="1" si="135"/>
        <v>1966.3812737656576</v>
      </c>
      <c r="R1321" s="4">
        <f t="shared" ca="1" si="136"/>
        <v>42.711229765657663</v>
      </c>
      <c r="S1321" s="4">
        <f t="shared" ca="1" si="137"/>
        <v>22.363438548089302</v>
      </c>
    </row>
    <row r="1322" spans="15:19" x14ac:dyDescent="0.2">
      <c r="O1322" s="4">
        <f t="shared" ca="1" si="133"/>
        <v>0.36502348596392253</v>
      </c>
      <c r="P1322" s="4">
        <f t="shared" ca="1" si="134"/>
        <v>-0.34506304896964762</v>
      </c>
      <c r="Q1322" s="4">
        <f t="shared" ca="1" si="135"/>
        <v>1933.7179539119995</v>
      </c>
      <c r="R1322" s="4">
        <f t="shared" ca="1" si="136"/>
        <v>10.047909911999568</v>
      </c>
      <c r="S1322" s="4">
        <f t="shared" ca="1" si="137"/>
        <v>5.1274483257408274</v>
      </c>
    </row>
    <row r="1323" spans="15:19" x14ac:dyDescent="0.2">
      <c r="O1323" s="4">
        <f t="shared" ca="1" si="133"/>
        <v>0.57193241953806651</v>
      </c>
      <c r="P1323" s="4">
        <f t="shared" ca="1" si="134"/>
        <v>0.18129610781278854</v>
      </c>
      <c r="Q1323" s="4">
        <f t="shared" ca="1" si="135"/>
        <v>1917.771926627094</v>
      </c>
      <c r="R1323" s="4">
        <f t="shared" ca="1" si="136"/>
        <v>-5.8981173729059719</v>
      </c>
      <c r="S1323" s="4">
        <f t="shared" ca="1" si="137"/>
        <v>-2.9715237475192637</v>
      </c>
    </row>
    <row r="1324" spans="15:19" x14ac:dyDescent="0.2">
      <c r="O1324" s="4">
        <f t="shared" ca="1" si="133"/>
        <v>0.75515472546479134</v>
      </c>
      <c r="P1324" s="4">
        <f t="shared" ca="1" si="134"/>
        <v>0.69080109226853126</v>
      </c>
      <c r="Q1324" s="4">
        <f t="shared" ca="1" si="135"/>
        <v>1902.3364957445169</v>
      </c>
      <c r="R1324" s="4">
        <f t="shared" ca="1" si="136"/>
        <v>-21.333548255483038</v>
      </c>
      <c r="S1324" s="4">
        <f t="shared" ca="1" si="137"/>
        <v>-10.613985626543483</v>
      </c>
    </row>
    <row r="1325" spans="15:19" x14ac:dyDescent="0.2">
      <c r="O1325" s="4">
        <f t="shared" ca="1" si="133"/>
        <v>0.39200683128038605</v>
      </c>
      <c r="P1325" s="4">
        <f t="shared" ca="1" si="134"/>
        <v>-0.2740923370634174</v>
      </c>
      <c r="Q1325" s="4">
        <f t="shared" ca="1" si="135"/>
        <v>1931.5678993458287</v>
      </c>
      <c r="R1325" s="4">
        <f t="shared" ca="1" si="136"/>
        <v>7.8978553458287024</v>
      </c>
      <c r="S1325" s="4">
        <f t="shared" ca="1" si="137"/>
        <v>4.0233631332962343</v>
      </c>
    </row>
    <row r="1326" spans="15:19" x14ac:dyDescent="0.2">
      <c r="O1326" s="4">
        <f t="shared" ca="1" si="133"/>
        <v>0.80580156319642215</v>
      </c>
      <c r="P1326" s="4">
        <f t="shared" ca="1" si="134"/>
        <v>0.86252828769288581</v>
      </c>
      <c r="Q1326" s="4">
        <f t="shared" ca="1" si="135"/>
        <v>1897.1340279836511</v>
      </c>
      <c r="R1326" s="4">
        <f t="shared" ca="1" si="136"/>
        <v>-26.536016016348867</v>
      </c>
      <c r="S1326" s="4">
        <f t="shared" ca="1" si="137"/>
        <v>-13.146149299812489</v>
      </c>
    </row>
    <row r="1327" spans="15:19" x14ac:dyDescent="0.2">
      <c r="O1327" s="4">
        <f t="shared" ca="1" si="133"/>
        <v>0.96006494186366198</v>
      </c>
      <c r="P1327" s="4">
        <f t="shared" ca="1" si="134"/>
        <v>1.7514401840735192</v>
      </c>
      <c r="Q1327" s="4">
        <f t="shared" ca="1" si="135"/>
        <v>1870.2044815495954</v>
      </c>
      <c r="R1327" s="4">
        <f t="shared" ca="1" si="136"/>
        <v>-53.465562450404605</v>
      </c>
      <c r="S1327" s="4">
        <f t="shared" ca="1" si="137"/>
        <v>-25.901157004344096</v>
      </c>
    </row>
    <row r="1328" spans="15:19" x14ac:dyDescent="0.2">
      <c r="O1328" s="4">
        <f t="shared" ca="1" si="133"/>
        <v>0.65396402526141661</v>
      </c>
      <c r="P1328" s="4">
        <f t="shared" ca="1" si="134"/>
        <v>0.39604483993588413</v>
      </c>
      <c r="Q1328" s="4">
        <f t="shared" ca="1" si="135"/>
        <v>1911.2661233220526</v>
      </c>
      <c r="R1328" s="4">
        <f t="shared" ca="1" si="136"/>
        <v>-12.403920677947326</v>
      </c>
      <c r="S1328" s="4">
        <f t="shared" ca="1" si="137"/>
        <v>-6.2163555915154483</v>
      </c>
    </row>
    <row r="1329" spans="15:19" x14ac:dyDescent="0.2">
      <c r="O1329" s="4">
        <f t="shared" ca="1" si="133"/>
        <v>0.95427817860199537</v>
      </c>
      <c r="P1329" s="4">
        <f t="shared" ca="1" si="134"/>
        <v>1.6878311675487152</v>
      </c>
      <c r="Q1329" s="4">
        <f t="shared" ca="1" si="135"/>
        <v>1872.131513881038</v>
      </c>
      <c r="R1329" s="4">
        <f t="shared" ca="1" si="136"/>
        <v>-51.538530118961944</v>
      </c>
      <c r="S1329" s="4">
        <f t="shared" ca="1" si="137"/>
        <v>-25.008043307132848</v>
      </c>
    </row>
    <row r="1330" spans="15:19" x14ac:dyDescent="0.2">
      <c r="O1330" s="4">
        <f t="shared" ca="1" si="133"/>
        <v>0.51266357110744387</v>
      </c>
      <c r="P1330" s="4">
        <f t="shared" ca="1" si="134"/>
        <v>3.174819801196626E-2</v>
      </c>
      <c r="Q1330" s="4">
        <f t="shared" ca="1" si="135"/>
        <v>1922.3024739147327</v>
      </c>
      <c r="R1330" s="4">
        <f t="shared" ca="1" si="136"/>
        <v>-1.367570085267289</v>
      </c>
      <c r="S1330" s="4">
        <f t="shared" ca="1" si="137"/>
        <v>-0.69151605200188948</v>
      </c>
    </row>
    <row r="1331" spans="15:19" x14ac:dyDescent="0.2">
      <c r="O1331" s="4">
        <f t="shared" ca="1" si="133"/>
        <v>0.32532240470965501</v>
      </c>
      <c r="P1331" s="4">
        <f t="shared" ca="1" si="134"/>
        <v>-0.45286659083084346</v>
      </c>
      <c r="Q1331" s="4">
        <f t="shared" ca="1" si="135"/>
        <v>1936.9838574263156</v>
      </c>
      <c r="R1331" s="4">
        <f t="shared" ca="1" si="136"/>
        <v>13.313813426315619</v>
      </c>
      <c r="S1331" s="4">
        <f t="shared" ca="1" si="137"/>
        <v>6.8117388893095683</v>
      </c>
    </row>
    <row r="1332" spans="15:19" x14ac:dyDescent="0.2">
      <c r="O1332" s="4">
        <f t="shared" ca="1" si="133"/>
        <v>0.80346168557533082</v>
      </c>
      <c r="P1332" s="4">
        <f t="shared" ca="1" si="134"/>
        <v>0.85405118619149445</v>
      </c>
      <c r="Q1332" s="4">
        <f t="shared" ca="1" si="135"/>
        <v>1897.3908413972608</v>
      </c>
      <c r="R1332" s="4">
        <f t="shared" ca="1" si="136"/>
        <v>-26.279202602739133</v>
      </c>
      <c r="S1332" s="4">
        <f t="shared" ca="1" si="137"/>
        <v>-13.021669181563917</v>
      </c>
    </row>
    <row r="1333" spans="15:19" x14ac:dyDescent="0.2">
      <c r="O1333" s="4">
        <f t="shared" ca="1" si="133"/>
        <v>0.21691943095442356</v>
      </c>
      <c r="P1333" s="4">
        <f t="shared" ca="1" si="134"/>
        <v>-0.78263946090470926</v>
      </c>
      <c r="Q1333" s="4">
        <f t="shared" ca="1" si="135"/>
        <v>1946.9743118836191</v>
      </c>
      <c r="R1333" s="4">
        <f t="shared" ca="1" si="136"/>
        <v>23.304267883619104</v>
      </c>
      <c r="S1333" s="4">
        <f t="shared" ca="1" si="137"/>
        <v>12.017923444462687</v>
      </c>
    </row>
    <row r="1334" spans="15:19" x14ac:dyDescent="0.2">
      <c r="O1334" s="4">
        <f t="shared" ca="1" si="133"/>
        <v>0.9441755918305722</v>
      </c>
      <c r="P1334" s="4">
        <f t="shared" ca="1" si="134"/>
        <v>1.5908256605347499</v>
      </c>
      <c r="Q1334" s="4">
        <f t="shared" ca="1" si="135"/>
        <v>1875.0702914090789</v>
      </c>
      <c r="R1334" s="4">
        <f t="shared" ca="1" si="136"/>
        <v>-48.599752590921071</v>
      </c>
      <c r="S1334" s="4">
        <f t="shared" ca="1" si="137"/>
        <v>-23.640199352339245</v>
      </c>
    </row>
    <row r="1335" spans="15:19" x14ac:dyDescent="0.2">
      <c r="O1335" s="4">
        <f t="shared" ca="1" si="133"/>
        <v>3.1725704576830105E-2</v>
      </c>
      <c r="P1335" s="4">
        <f t="shared" ca="1" si="134"/>
        <v>-1.8560150764014665</v>
      </c>
      <c r="Q1335" s="4">
        <f t="shared" ca="1" si="135"/>
        <v>1979.4921784982937</v>
      </c>
      <c r="R1335" s="4">
        <f t="shared" ca="1" si="136"/>
        <v>55.822134498293735</v>
      </c>
      <c r="S1335" s="4">
        <f t="shared" ca="1" si="137"/>
        <v>29.526184025486</v>
      </c>
    </row>
    <row r="1336" spans="15:19" x14ac:dyDescent="0.2">
      <c r="O1336" s="4">
        <f t="shared" ca="1" si="133"/>
        <v>0.74020684032233053</v>
      </c>
      <c r="P1336" s="4">
        <f t="shared" ca="1" si="134"/>
        <v>0.64398321353517418</v>
      </c>
      <c r="Q1336" s="4">
        <f t="shared" ca="1" si="135"/>
        <v>1903.754841302077</v>
      </c>
      <c r="R1336" s="4">
        <f t="shared" ca="1" si="136"/>
        <v>-19.91520269792295</v>
      </c>
      <c r="S1336" s="4">
        <f t="shared" ca="1" si="137"/>
        <v>-9.919820790742703</v>
      </c>
    </row>
    <row r="1337" spans="15:19" x14ac:dyDescent="0.2">
      <c r="O1337" s="4">
        <f t="shared" ca="1" si="133"/>
        <v>0.63224683230233192</v>
      </c>
      <c r="P1337" s="4">
        <f t="shared" ca="1" si="134"/>
        <v>0.33781005061369374</v>
      </c>
      <c r="Q1337" s="4">
        <f t="shared" ca="1" si="135"/>
        <v>1913.0303436790023</v>
      </c>
      <c r="R1337" s="4">
        <f t="shared" ca="1" si="136"/>
        <v>-10.63970032099769</v>
      </c>
      <c r="S1337" s="4">
        <f t="shared" ca="1" si="137"/>
        <v>-5.3398389690431012</v>
      </c>
    </row>
    <row r="1338" spans="15:19" x14ac:dyDescent="0.2">
      <c r="O1338" s="4">
        <f t="shared" ca="1" si="133"/>
        <v>0.8822981630462432</v>
      </c>
      <c r="P1338" s="4">
        <f t="shared" ca="1" si="134"/>
        <v>1.1865537861126683</v>
      </c>
      <c r="Q1338" s="4">
        <f t="shared" ca="1" si="135"/>
        <v>1887.3176898954307</v>
      </c>
      <c r="R1338" s="4">
        <f t="shared" ca="1" si="136"/>
        <v>-36.352354104569258</v>
      </c>
      <c r="S1338" s="4">
        <f t="shared" ca="1" si="137"/>
        <v>-17.863978319119745</v>
      </c>
    </row>
    <row r="1339" spans="15:19" x14ac:dyDescent="0.2">
      <c r="O1339" s="4">
        <f t="shared" ca="1" si="133"/>
        <v>0.89089909465147965</v>
      </c>
      <c r="P1339" s="4">
        <f t="shared" ca="1" si="134"/>
        <v>1.2313237282474416</v>
      </c>
      <c r="Q1339" s="4">
        <f t="shared" ca="1" si="135"/>
        <v>1885.9613864861981</v>
      </c>
      <c r="R1339" s="4">
        <f t="shared" ca="1" si="136"/>
        <v>-37.708657513801882</v>
      </c>
      <c r="S1339" s="4">
        <f t="shared" ca="1" si="137"/>
        <v>-18.50966261062991</v>
      </c>
    </row>
    <row r="1340" spans="15:19" x14ac:dyDescent="0.2">
      <c r="O1340" s="4">
        <f t="shared" ca="1" si="133"/>
        <v>2.0001644729247592E-2</v>
      </c>
      <c r="P1340" s="4">
        <f t="shared" ca="1" si="134"/>
        <v>-2.0537149425360068</v>
      </c>
      <c r="Q1340" s="4">
        <f t="shared" ca="1" si="135"/>
        <v>1985.481487165164</v>
      </c>
      <c r="R1340" s="4">
        <f t="shared" ca="1" si="136"/>
        <v>61.811443165164064</v>
      </c>
      <c r="S1340" s="4">
        <f t="shared" ca="1" si="137"/>
        <v>32.844828839057548</v>
      </c>
    </row>
    <row r="1341" spans="15:19" x14ac:dyDescent="0.2">
      <c r="O1341" s="4">
        <f t="shared" ca="1" si="133"/>
        <v>0.39548286786345199</v>
      </c>
      <c r="P1341" s="4">
        <f t="shared" ca="1" si="134"/>
        <v>-0.26505676138637291</v>
      </c>
      <c r="Q1341" s="4">
        <f t="shared" ca="1" si="135"/>
        <v>1931.2941669818631</v>
      </c>
      <c r="R1341" s="4">
        <f t="shared" ca="1" si="136"/>
        <v>7.6241229818631382</v>
      </c>
      <c r="S1341" s="4">
        <f t="shared" ca="1" si="137"/>
        <v>3.883067546140087</v>
      </c>
    </row>
    <row r="1342" spans="15:19" x14ac:dyDescent="0.2">
      <c r="O1342" s="4">
        <f t="shared" ca="1" si="133"/>
        <v>4.6696656717010732E-2</v>
      </c>
      <c r="P1342" s="4">
        <f t="shared" ca="1" si="134"/>
        <v>-1.6777633158288972</v>
      </c>
      <c r="Q1342" s="4">
        <f t="shared" ca="1" si="135"/>
        <v>1974.0920493259466</v>
      </c>
      <c r="R1342" s="4">
        <f t="shared" ca="1" si="136"/>
        <v>50.422005325946657</v>
      </c>
      <c r="S1342" s="4">
        <f t="shared" ca="1" si="137"/>
        <v>26.559037071572135</v>
      </c>
    </row>
    <row r="1343" spans="15:19" x14ac:dyDescent="0.2">
      <c r="O1343" s="4">
        <f t="shared" ca="1" si="133"/>
        <v>0.19142274260720948</v>
      </c>
      <c r="P1343" s="4">
        <f t="shared" ca="1" si="134"/>
        <v>-0.87266539424923384</v>
      </c>
      <c r="Q1343" s="4">
        <f t="shared" ca="1" si="135"/>
        <v>1949.7016435372304</v>
      </c>
      <c r="R1343" s="4">
        <f t="shared" ca="1" si="136"/>
        <v>26.031599537230477</v>
      </c>
      <c r="S1343" s="4">
        <f t="shared" ca="1" si="137"/>
        <v>13.453298752223855</v>
      </c>
    </row>
    <row r="1344" spans="15:19" x14ac:dyDescent="0.2">
      <c r="O1344" s="4">
        <f t="shared" ca="1" si="133"/>
        <v>0.27410199736583096</v>
      </c>
      <c r="P1344" s="4">
        <f t="shared" ca="1" si="134"/>
        <v>-0.60045357081135153</v>
      </c>
      <c r="Q1344" s="4">
        <f t="shared" ca="1" si="135"/>
        <v>1941.4549984321113</v>
      </c>
      <c r="R1344" s="4">
        <f t="shared" ca="1" si="136"/>
        <v>17.784954432111363</v>
      </c>
      <c r="S1344" s="4">
        <f t="shared" ca="1" si="137"/>
        <v>9.1316760057894388</v>
      </c>
    </row>
    <row r="1345" spans="15:19" x14ac:dyDescent="0.2">
      <c r="O1345" s="4">
        <f t="shared" ca="1" si="133"/>
        <v>0.85916822132651494</v>
      </c>
      <c r="P1345" s="4">
        <f t="shared" ca="1" si="134"/>
        <v>1.0765898128122136</v>
      </c>
      <c r="Q1345" s="4">
        <f t="shared" ca="1" si="135"/>
        <v>1890.6490435842777</v>
      </c>
      <c r="R1345" s="4">
        <f t="shared" ca="1" si="136"/>
        <v>-33.021000415722256</v>
      </c>
      <c r="S1345" s="4">
        <f t="shared" ca="1" si="137"/>
        <v>-16.271691072553555</v>
      </c>
    </row>
    <row r="1346" spans="15:19" x14ac:dyDescent="0.2">
      <c r="O1346" s="4">
        <f t="shared" ca="1" si="133"/>
        <v>0.27004503638921529</v>
      </c>
      <c r="P1346" s="4">
        <f t="shared" ca="1" si="134"/>
        <v>-0.61267678923207203</v>
      </c>
      <c r="Q1346" s="4">
        <f t="shared" ca="1" si="135"/>
        <v>1941.8253002914682</v>
      </c>
      <c r="R1346" s="4">
        <f t="shared" ca="1" si="136"/>
        <v>18.155256291468277</v>
      </c>
      <c r="S1346" s="4">
        <f t="shared" ca="1" si="137"/>
        <v>9.3245440072046044</v>
      </c>
    </row>
    <row r="1347" spans="15:19" x14ac:dyDescent="0.2">
      <c r="O1347" s="4">
        <f t="shared" ref="O1347:O1410" ca="1" si="138">RAND()</f>
        <v>0.70778826443033105</v>
      </c>
      <c r="P1347" s="4">
        <f t="shared" ref="P1347:P1410" ca="1" si="139">NORMSINV(O1347)</f>
        <v>0.54693488050146444</v>
      </c>
      <c r="Q1347" s="4">
        <f t="shared" ref="Q1347:Q1410" ca="1" si="140">$B$4*(1+$B$17-$B$6/SQRT(252)*P1347)</f>
        <v>1906.6949162424846</v>
      </c>
      <c r="R1347" s="4">
        <f t="shared" ref="R1347:R1410" ca="1" si="141">Q1347-$B$4</f>
        <v>-16.975127757515338</v>
      </c>
      <c r="S1347" s="4">
        <f t="shared" ref="S1347:S1410" ca="1" si="142">R1347*$B$12+0.5*$B$13*R1347^2</f>
        <v>-8.4756769231973692</v>
      </c>
    </row>
    <row r="1348" spans="15:19" x14ac:dyDescent="0.2">
      <c r="O1348" s="4">
        <f t="shared" ca="1" si="138"/>
        <v>0.22510003910058762</v>
      </c>
      <c r="P1348" s="4">
        <f t="shared" ca="1" si="139"/>
        <v>-0.75508150743127056</v>
      </c>
      <c r="Q1348" s="4">
        <f t="shared" ca="1" si="140"/>
        <v>1946.1394449066865</v>
      </c>
      <c r="R1348" s="4">
        <f t="shared" ca="1" si="141"/>
        <v>22.469400906686587</v>
      </c>
      <c r="S1348" s="4">
        <f t="shared" ca="1" si="142"/>
        <v>11.579749483574416</v>
      </c>
    </row>
    <row r="1349" spans="15:19" x14ac:dyDescent="0.2">
      <c r="O1349" s="4">
        <f t="shared" ca="1" si="138"/>
        <v>0.60039836815912773</v>
      </c>
      <c r="P1349" s="4">
        <f t="shared" ca="1" si="139"/>
        <v>0.25437836487305809</v>
      </c>
      <c r="Q1349" s="4">
        <f t="shared" ca="1" si="140"/>
        <v>1915.5579028942318</v>
      </c>
      <c r="R1349" s="4">
        <f t="shared" ca="1" si="141"/>
        <v>-8.1121411057681598</v>
      </c>
      <c r="S1349" s="4">
        <f t="shared" ca="1" si="142"/>
        <v>-4.0796573487076166</v>
      </c>
    </row>
    <row r="1350" spans="15:19" x14ac:dyDescent="0.2">
      <c r="O1350" s="4">
        <f t="shared" ca="1" si="138"/>
        <v>0.78173623238332823</v>
      </c>
      <c r="P1350" s="4">
        <f t="shared" ca="1" si="139"/>
        <v>0.77807035989511331</v>
      </c>
      <c r="Q1350" s="4">
        <f t="shared" ca="1" si="140"/>
        <v>1899.6926771564374</v>
      </c>
      <c r="R1350" s="4">
        <f t="shared" ca="1" si="141"/>
        <v>-23.97736684356255</v>
      </c>
      <c r="S1350" s="4">
        <f t="shared" ca="1" si="142"/>
        <v>-11.903548106256499</v>
      </c>
    </row>
    <row r="1351" spans="15:19" x14ac:dyDescent="0.2">
      <c r="O1351" s="4">
        <f t="shared" ca="1" si="138"/>
        <v>0.36729173424277983</v>
      </c>
      <c r="P1351" s="4">
        <f t="shared" ca="1" si="139"/>
        <v>-0.33903486099264329</v>
      </c>
      <c r="Q1351" s="4">
        <f t="shared" ca="1" si="140"/>
        <v>1933.535330224882</v>
      </c>
      <c r="R1351" s="4">
        <f t="shared" ca="1" si="141"/>
        <v>9.8652862248820838</v>
      </c>
      <c r="S1351" s="4">
        <f t="shared" ca="1" si="142"/>
        <v>5.0335220699230083</v>
      </c>
    </row>
    <row r="1352" spans="15:19" x14ac:dyDescent="0.2">
      <c r="O1352" s="4">
        <f t="shared" ca="1" si="138"/>
        <v>0.83211647130712973</v>
      </c>
      <c r="P1352" s="4">
        <f t="shared" ca="1" si="139"/>
        <v>0.96256263287843102</v>
      </c>
      <c r="Q1352" s="4">
        <f t="shared" ca="1" si="140"/>
        <v>1894.1034919376793</v>
      </c>
      <c r="R1352" s="4">
        <f t="shared" ca="1" si="141"/>
        <v>-29.566552062320625</v>
      </c>
      <c r="S1352" s="4">
        <f t="shared" ca="1" si="142"/>
        <v>-14.611026072361964</v>
      </c>
    </row>
    <row r="1353" spans="15:19" x14ac:dyDescent="0.2">
      <c r="O1353" s="4">
        <f t="shared" ca="1" si="138"/>
        <v>0.14767040554981092</v>
      </c>
      <c r="P1353" s="4">
        <f t="shared" ca="1" si="139"/>
        <v>-1.0464771027190609</v>
      </c>
      <c r="Q1353" s="4">
        <f t="shared" ca="1" si="140"/>
        <v>1954.9672615282582</v>
      </c>
      <c r="R1353" s="4">
        <f t="shared" ca="1" si="141"/>
        <v>31.297217528258216</v>
      </c>
      <c r="S1353" s="4">
        <f t="shared" ca="1" si="142"/>
        <v>16.241688814569823</v>
      </c>
    </row>
    <row r="1354" spans="15:19" x14ac:dyDescent="0.2">
      <c r="O1354" s="4">
        <f t="shared" ca="1" si="138"/>
        <v>0.48324053614076823</v>
      </c>
      <c r="P1354" s="4">
        <f t="shared" ca="1" si="139"/>
        <v>-4.2022110213481588E-2</v>
      </c>
      <c r="Q1354" s="4">
        <f t="shared" ca="1" si="140"/>
        <v>1924.5373421270951</v>
      </c>
      <c r="R1354" s="4">
        <f t="shared" ca="1" si="141"/>
        <v>0.86729812709518228</v>
      </c>
      <c r="S1354" s="4">
        <f t="shared" ca="1" si="142"/>
        <v>0.43934100696954165</v>
      </c>
    </row>
    <row r="1355" spans="15:19" x14ac:dyDescent="0.2">
      <c r="O1355" s="4">
        <f t="shared" ca="1" si="138"/>
        <v>0.73063137564581482</v>
      </c>
      <c r="P1355" s="4">
        <f t="shared" ca="1" si="139"/>
        <v>0.61472363456872992</v>
      </c>
      <c r="Q1355" s="4">
        <f t="shared" ca="1" si="140"/>
        <v>1904.6412589477698</v>
      </c>
      <c r="R1355" s="4">
        <f t="shared" ca="1" si="141"/>
        <v>-19.028785052230205</v>
      </c>
      <c r="S1355" s="4">
        <f t="shared" ca="1" si="142"/>
        <v>-9.4851597854721152</v>
      </c>
    </row>
    <row r="1356" spans="15:19" x14ac:dyDescent="0.2">
      <c r="O1356" s="4">
        <f t="shared" ca="1" si="138"/>
        <v>0.3577333448891149</v>
      </c>
      <c r="P1356" s="4">
        <f t="shared" ca="1" si="139"/>
        <v>-0.36452408789298696</v>
      </c>
      <c r="Q1356" s="4">
        <f t="shared" ca="1" si="140"/>
        <v>1934.3075252221317</v>
      </c>
      <c r="R1356" s="4">
        <f t="shared" ca="1" si="141"/>
        <v>10.637481222131782</v>
      </c>
      <c r="S1356" s="4">
        <f t="shared" ca="1" si="142"/>
        <v>5.4308595158209911</v>
      </c>
    </row>
    <row r="1357" spans="15:19" x14ac:dyDescent="0.2">
      <c r="O1357" s="4">
        <f t="shared" ca="1" si="138"/>
        <v>0.82999146222740183</v>
      </c>
      <c r="P1357" s="4">
        <f t="shared" ca="1" si="139"/>
        <v>0.95413151469215118</v>
      </c>
      <c r="Q1357" s="4">
        <f t="shared" ca="1" si="140"/>
        <v>1894.3589122887997</v>
      </c>
      <c r="R1357" s="4">
        <f t="shared" ca="1" si="141"/>
        <v>-29.311131711200233</v>
      </c>
      <c r="S1357" s="4">
        <f t="shared" ca="1" si="142"/>
        <v>-14.487851523237527</v>
      </c>
    </row>
    <row r="1358" spans="15:19" x14ac:dyDescent="0.2">
      <c r="O1358" s="4">
        <f t="shared" ca="1" si="138"/>
        <v>0.74248857750908459</v>
      </c>
      <c r="P1358" s="4">
        <f t="shared" ca="1" si="139"/>
        <v>0.65103662476077495</v>
      </c>
      <c r="Q1358" s="4">
        <f t="shared" ca="1" si="140"/>
        <v>1903.541158522162</v>
      </c>
      <c r="R1358" s="4">
        <f t="shared" ca="1" si="141"/>
        <v>-20.128885477837912</v>
      </c>
      <c r="S1358" s="4">
        <f t="shared" ca="1" si="142"/>
        <v>-10.024505924635461</v>
      </c>
    </row>
    <row r="1359" spans="15:19" x14ac:dyDescent="0.2">
      <c r="O1359" s="4">
        <f t="shared" ca="1" si="138"/>
        <v>0.52322405848179965</v>
      </c>
      <c r="P1359" s="4">
        <f t="shared" ca="1" si="139"/>
        <v>5.824700078138946E-2</v>
      </c>
      <c r="Q1359" s="4">
        <f t="shared" ca="1" si="140"/>
        <v>1921.4996938613533</v>
      </c>
      <c r="R1359" s="4">
        <f t="shared" ca="1" si="141"/>
        <v>-2.1703501386466542</v>
      </c>
      <c r="S1359" s="4">
        <f t="shared" ca="1" si="142"/>
        <v>-1.0967350316472904</v>
      </c>
    </row>
    <row r="1360" spans="15:19" x14ac:dyDescent="0.2">
      <c r="O1360" s="4">
        <f t="shared" ca="1" si="138"/>
        <v>0.68350442807687029</v>
      </c>
      <c r="P1360" s="4">
        <f t="shared" ca="1" si="139"/>
        <v>0.47752103768113308</v>
      </c>
      <c r="Q1360" s="4">
        <f t="shared" ca="1" si="140"/>
        <v>1908.7978055288218</v>
      </c>
      <c r="R1360" s="4">
        <f t="shared" ca="1" si="141"/>
        <v>-14.872238471178207</v>
      </c>
      <c r="S1360" s="4">
        <f t="shared" ca="1" si="142"/>
        <v>-7.4384357994946608</v>
      </c>
    </row>
    <row r="1361" spans="15:19" x14ac:dyDescent="0.2">
      <c r="O1361" s="4">
        <f t="shared" ca="1" si="138"/>
        <v>0.4530205260107012</v>
      </c>
      <c r="P1361" s="4">
        <f t="shared" ca="1" si="139"/>
        <v>-0.11803357853078966</v>
      </c>
      <c r="Q1361" s="4">
        <f t="shared" ca="1" si="140"/>
        <v>1926.8401061849347</v>
      </c>
      <c r="R1361" s="4">
        <f t="shared" ca="1" si="141"/>
        <v>3.1700621849347499</v>
      </c>
      <c r="S1361" s="4">
        <f t="shared" ca="1" si="142"/>
        <v>1.6088072869054277</v>
      </c>
    </row>
    <row r="1362" spans="15:19" x14ac:dyDescent="0.2">
      <c r="O1362" s="4">
        <f t="shared" ca="1" si="138"/>
        <v>0.25488976770340155</v>
      </c>
      <c r="P1362" s="4">
        <f t="shared" ca="1" si="139"/>
        <v>-0.65918101691454467</v>
      </c>
      <c r="Q1362" s="4">
        <f t="shared" ca="1" si="140"/>
        <v>1943.2341438043677</v>
      </c>
      <c r="R1362" s="4">
        <f t="shared" ca="1" si="141"/>
        <v>19.564099804367743</v>
      </c>
      <c r="S1362" s="4">
        <f t="shared" ca="1" si="142"/>
        <v>10.059346324374646</v>
      </c>
    </row>
    <row r="1363" spans="15:19" x14ac:dyDescent="0.2">
      <c r="O1363" s="4">
        <f t="shared" ca="1" si="138"/>
        <v>0.32928231499349192</v>
      </c>
      <c r="P1363" s="4">
        <f t="shared" ca="1" si="139"/>
        <v>-0.44189577243421257</v>
      </c>
      <c r="Q1363" s="4">
        <f t="shared" ca="1" si="140"/>
        <v>1936.6514969700829</v>
      </c>
      <c r="R1363" s="4">
        <f t="shared" ca="1" si="141"/>
        <v>12.981452970082955</v>
      </c>
      <c r="S1363" s="4">
        <f t="shared" ca="1" si="142"/>
        <v>6.6399371866849437</v>
      </c>
    </row>
    <row r="1364" spans="15:19" x14ac:dyDescent="0.2">
      <c r="O1364" s="4">
        <f t="shared" ca="1" si="138"/>
        <v>0.10978682164515285</v>
      </c>
      <c r="P1364" s="4">
        <f t="shared" ca="1" si="139"/>
        <v>-1.2276626221794438</v>
      </c>
      <c r="Q1364" s="4">
        <f t="shared" ca="1" si="140"/>
        <v>1960.4562687958553</v>
      </c>
      <c r="R1364" s="4">
        <f t="shared" ca="1" si="141"/>
        <v>36.786224795855333</v>
      </c>
      <c r="S1364" s="4">
        <f t="shared" ca="1" si="142"/>
        <v>19.172404105574135</v>
      </c>
    </row>
    <row r="1365" spans="15:19" x14ac:dyDescent="0.2">
      <c r="O1365" s="4">
        <f t="shared" ca="1" si="138"/>
        <v>0.85282415563550251</v>
      </c>
      <c r="P1365" s="4">
        <f t="shared" ca="1" si="139"/>
        <v>1.0486229503487383</v>
      </c>
      <c r="Q1365" s="4">
        <f t="shared" ca="1" si="140"/>
        <v>1891.4962984409083</v>
      </c>
      <c r="R1365" s="4">
        <f t="shared" ca="1" si="141"/>
        <v>-32.173745559091685</v>
      </c>
      <c r="S1365" s="4">
        <f t="shared" ca="1" si="142"/>
        <v>-15.865287471155231</v>
      </c>
    </row>
    <row r="1366" spans="15:19" x14ac:dyDescent="0.2">
      <c r="O1366" s="4">
        <f t="shared" ca="1" si="138"/>
        <v>0.142352389311867</v>
      </c>
      <c r="P1366" s="4">
        <f t="shared" ca="1" si="139"/>
        <v>-1.0698101367291557</v>
      </c>
      <c r="Q1366" s="4">
        <f t="shared" ca="1" si="140"/>
        <v>1955.674134757631</v>
      </c>
      <c r="R1366" s="4">
        <f t="shared" ca="1" si="141"/>
        <v>32.004090757631047</v>
      </c>
      <c r="S1366" s="4">
        <f t="shared" ca="1" si="142"/>
        <v>16.617729686695498</v>
      </c>
    </row>
    <row r="1367" spans="15:19" x14ac:dyDescent="0.2">
      <c r="O1367" s="4">
        <f t="shared" ca="1" si="138"/>
        <v>0.18137590487905353</v>
      </c>
      <c r="P1367" s="4">
        <f t="shared" ca="1" si="139"/>
        <v>-0.91013406815491693</v>
      </c>
      <c r="Q1367" s="4">
        <f t="shared" ca="1" si="140"/>
        <v>1950.8367553496316</v>
      </c>
      <c r="R1367" s="4">
        <f t="shared" ca="1" si="141"/>
        <v>27.166711349631669</v>
      </c>
      <c r="S1367" s="4">
        <f t="shared" ca="1" si="142"/>
        <v>14.052484764893986</v>
      </c>
    </row>
    <row r="1368" spans="15:19" x14ac:dyDescent="0.2">
      <c r="O1368" s="4">
        <f t="shared" ca="1" si="138"/>
        <v>0.81059750425895793</v>
      </c>
      <c r="P1368" s="4">
        <f t="shared" ca="1" si="139"/>
        <v>0.88010027259737766</v>
      </c>
      <c r="Q1368" s="4">
        <f t="shared" ca="1" si="140"/>
        <v>1896.601685481148</v>
      </c>
      <c r="R1368" s="4">
        <f t="shared" ca="1" si="141"/>
        <v>-27.068358518851937</v>
      </c>
      <c r="S1368" s="4">
        <f t="shared" ca="1" si="142"/>
        <v>-13.404010207444113</v>
      </c>
    </row>
    <row r="1369" spans="15:19" x14ac:dyDescent="0.2">
      <c r="O1369" s="4">
        <f t="shared" ca="1" si="138"/>
        <v>4.0423020721539138E-2</v>
      </c>
      <c r="P1369" s="4">
        <f t="shared" ca="1" si="139"/>
        <v>-1.7457980988977051</v>
      </c>
      <c r="Q1369" s="4">
        <f t="shared" ca="1" si="140"/>
        <v>1976.1531600583405</v>
      </c>
      <c r="R1369" s="4">
        <f t="shared" ca="1" si="141"/>
        <v>52.483116058340556</v>
      </c>
      <c r="S1369" s="4">
        <f t="shared" ca="1" si="142"/>
        <v>27.688730427384812</v>
      </c>
    </row>
    <row r="1370" spans="15:19" x14ac:dyDescent="0.2">
      <c r="O1370" s="4">
        <f t="shared" ca="1" si="138"/>
        <v>0.72786108639776548</v>
      </c>
      <c r="P1370" s="4">
        <f t="shared" ca="1" si="139"/>
        <v>0.60635683211026281</v>
      </c>
      <c r="Q1370" s="4">
        <f t="shared" ca="1" si="140"/>
        <v>1904.894730856771</v>
      </c>
      <c r="R1370" s="4">
        <f t="shared" ca="1" si="141"/>
        <v>-18.775313143228914</v>
      </c>
      <c r="S1370" s="4">
        <f t="shared" ca="1" si="142"/>
        <v>-9.3607504724560417</v>
      </c>
    </row>
    <row r="1371" spans="15:19" x14ac:dyDescent="0.2">
      <c r="O1371" s="4">
        <f t="shared" ca="1" si="138"/>
        <v>0.63385337384607954</v>
      </c>
      <c r="P1371" s="4">
        <f t="shared" ca="1" si="139"/>
        <v>0.34207659274574909</v>
      </c>
      <c r="Q1371" s="4">
        <f t="shared" ca="1" si="140"/>
        <v>1912.9010889745418</v>
      </c>
      <c r="R1371" s="4">
        <f t="shared" ca="1" si="141"/>
        <v>-10.768955025458126</v>
      </c>
      <c r="S1371" s="4">
        <f t="shared" ca="1" si="142"/>
        <v>-5.4041425369654386</v>
      </c>
    </row>
    <row r="1372" spans="15:19" x14ac:dyDescent="0.2">
      <c r="O1372" s="4">
        <f t="shared" ca="1" si="138"/>
        <v>0.58290988188761084</v>
      </c>
      <c r="P1372" s="4">
        <f t="shared" ca="1" si="139"/>
        <v>0.20934332023953026</v>
      </c>
      <c r="Q1372" s="4">
        <f t="shared" ca="1" si="140"/>
        <v>1916.9222375718939</v>
      </c>
      <c r="R1372" s="4">
        <f t="shared" ca="1" si="141"/>
        <v>-6.7478064281060597</v>
      </c>
      <c r="S1372" s="4">
        <f t="shared" ca="1" si="142"/>
        <v>-3.3972706691079173</v>
      </c>
    </row>
    <row r="1373" spans="15:19" x14ac:dyDescent="0.2">
      <c r="O1373" s="4">
        <f t="shared" ca="1" si="138"/>
        <v>0.30785497427963393</v>
      </c>
      <c r="P1373" s="4">
        <f t="shared" ca="1" si="139"/>
        <v>-0.50193968524049493</v>
      </c>
      <c r="Q1373" s="4">
        <f t="shared" ca="1" si="140"/>
        <v>1938.4705246426597</v>
      </c>
      <c r="R1373" s="4">
        <f t="shared" ca="1" si="141"/>
        <v>14.80048064265975</v>
      </c>
      <c r="S1373" s="4">
        <f t="shared" ca="1" si="142"/>
        <v>7.5813185053042691</v>
      </c>
    </row>
    <row r="1374" spans="15:19" x14ac:dyDescent="0.2">
      <c r="O1374" s="4">
        <f t="shared" ca="1" si="138"/>
        <v>0.25476315157489648</v>
      </c>
      <c r="P1374" s="4">
        <f t="shared" ca="1" si="139"/>
        <v>-0.65957546528889999</v>
      </c>
      <c r="Q1374" s="4">
        <f t="shared" ca="1" si="140"/>
        <v>1943.2460936003561</v>
      </c>
      <c r="R1374" s="4">
        <f t="shared" ca="1" si="141"/>
        <v>19.5760496003561</v>
      </c>
      <c r="S1374" s="4">
        <f t="shared" ca="1" si="142"/>
        <v>10.065585821266851</v>
      </c>
    </row>
    <row r="1375" spans="15:19" x14ac:dyDescent="0.2">
      <c r="O1375" s="4">
        <f t="shared" ca="1" si="138"/>
        <v>0.28884215020721571</v>
      </c>
      <c r="P1375" s="4">
        <f t="shared" ca="1" si="139"/>
        <v>-0.55677041412067318</v>
      </c>
      <c r="Q1375" s="4">
        <f t="shared" ca="1" si="140"/>
        <v>1940.1316191396554</v>
      </c>
      <c r="R1375" s="4">
        <f t="shared" ca="1" si="141"/>
        <v>16.461575139655451</v>
      </c>
      <c r="S1375" s="4">
        <f t="shared" ca="1" si="142"/>
        <v>8.4433196009175671</v>
      </c>
    </row>
    <row r="1376" spans="15:19" x14ac:dyDescent="0.2">
      <c r="O1376" s="4">
        <f t="shared" ca="1" si="138"/>
        <v>0.86893268918193589</v>
      </c>
      <c r="P1376" s="4">
        <f t="shared" ca="1" si="139"/>
        <v>1.121360079222564</v>
      </c>
      <c r="Q1376" s="4">
        <f t="shared" ca="1" si="140"/>
        <v>1889.2927303511312</v>
      </c>
      <c r="R1376" s="4">
        <f t="shared" ca="1" si="141"/>
        <v>-34.377313648868721</v>
      </c>
      <c r="S1376" s="4">
        <f t="shared" ca="1" si="142"/>
        <v>-16.921058605304971</v>
      </c>
    </row>
    <row r="1377" spans="15:19" x14ac:dyDescent="0.2">
      <c r="O1377" s="4">
        <f t="shared" ca="1" si="138"/>
        <v>8.6217044962404232E-2</v>
      </c>
      <c r="P1377" s="4">
        <f t="shared" ca="1" si="139"/>
        <v>-1.3644242184182198</v>
      </c>
      <c r="Q1377" s="4">
        <f t="shared" ca="1" si="140"/>
        <v>1964.599455281832</v>
      </c>
      <c r="R1377" s="4">
        <f t="shared" ca="1" si="141"/>
        <v>40.929411281832017</v>
      </c>
      <c r="S1377" s="4">
        <f t="shared" ca="1" si="142"/>
        <v>21.400798058785004</v>
      </c>
    </row>
    <row r="1378" spans="15:19" x14ac:dyDescent="0.2">
      <c r="O1378" s="4">
        <f t="shared" ca="1" si="138"/>
        <v>0.18573334507585892</v>
      </c>
      <c r="P1378" s="4">
        <f t="shared" ca="1" si="139"/>
        <v>-0.89372940183411498</v>
      </c>
      <c r="Q1378" s="4">
        <f t="shared" ca="1" si="140"/>
        <v>1950.3397767117938</v>
      </c>
      <c r="R1378" s="4">
        <f t="shared" ca="1" si="141"/>
        <v>26.669732711793813</v>
      </c>
      <c r="S1378" s="4">
        <f t="shared" ca="1" si="142"/>
        <v>13.790017944395581</v>
      </c>
    </row>
    <row r="1379" spans="15:19" x14ac:dyDescent="0.2">
      <c r="O1379" s="4">
        <f t="shared" ca="1" si="138"/>
        <v>0.38196425094949471</v>
      </c>
      <c r="P1379" s="4">
        <f t="shared" ca="1" si="139"/>
        <v>-0.30032600135196402</v>
      </c>
      <c r="Q1379" s="4">
        <f t="shared" ca="1" si="140"/>
        <v>1932.3626470407019</v>
      </c>
      <c r="R1379" s="4">
        <f t="shared" ca="1" si="141"/>
        <v>8.692603040701897</v>
      </c>
      <c r="S1379" s="4">
        <f t="shared" ca="1" si="142"/>
        <v>4.4310395017004165</v>
      </c>
    </row>
    <row r="1380" spans="15:19" x14ac:dyDescent="0.2">
      <c r="O1380" s="4">
        <f t="shared" ca="1" si="138"/>
        <v>0.84117586924148102</v>
      </c>
      <c r="P1380" s="4">
        <f t="shared" ca="1" si="139"/>
        <v>0.99930232081991544</v>
      </c>
      <c r="Q1380" s="4">
        <f t="shared" ca="1" si="140"/>
        <v>1892.9904647226974</v>
      </c>
      <c r="R1380" s="4">
        <f t="shared" ca="1" si="141"/>
        <v>-30.679579277302537</v>
      </c>
      <c r="S1380" s="4">
        <f t="shared" ca="1" si="142"/>
        <v>-15.147155086012512</v>
      </c>
    </row>
    <row r="1381" spans="15:19" x14ac:dyDescent="0.2">
      <c r="O1381" s="4">
        <f t="shared" ca="1" si="138"/>
        <v>0.62028607822902004</v>
      </c>
      <c r="P1381" s="4">
        <f t="shared" ca="1" si="139"/>
        <v>0.30623221802305794</v>
      </c>
      <c r="Q1381" s="4">
        <f t="shared" ca="1" si="140"/>
        <v>1913.9869927153115</v>
      </c>
      <c r="R1381" s="4">
        <f t="shared" ca="1" si="141"/>
        <v>-9.6830512846884176</v>
      </c>
      <c r="S1381" s="4">
        <f t="shared" ca="1" si="142"/>
        <v>-4.8634879909258739</v>
      </c>
    </row>
    <row r="1382" spans="15:19" x14ac:dyDescent="0.2">
      <c r="O1382" s="4">
        <f t="shared" ca="1" si="138"/>
        <v>0.68880387805360932</v>
      </c>
      <c r="P1382" s="4">
        <f t="shared" ca="1" si="139"/>
        <v>0.49246275700291448</v>
      </c>
      <c r="Q1382" s="4">
        <f t="shared" ca="1" si="140"/>
        <v>1908.3451468053656</v>
      </c>
      <c r="R1382" s="4">
        <f t="shared" ca="1" si="141"/>
        <v>-15.324897194634332</v>
      </c>
      <c r="S1382" s="4">
        <f t="shared" ca="1" si="142"/>
        <v>-7.6620118510800577</v>
      </c>
    </row>
    <row r="1383" spans="15:19" x14ac:dyDescent="0.2">
      <c r="O1383" s="4">
        <f t="shared" ca="1" si="138"/>
        <v>0.41024210030549679</v>
      </c>
      <c r="P1383" s="4">
        <f t="shared" ca="1" si="139"/>
        <v>-0.22692224963411159</v>
      </c>
      <c r="Q1383" s="4">
        <f t="shared" ca="1" si="140"/>
        <v>1930.1388836414624</v>
      </c>
      <c r="R1383" s="4">
        <f t="shared" ca="1" si="141"/>
        <v>6.4688396414624094</v>
      </c>
      <c r="S1383" s="4">
        <f t="shared" ca="1" si="142"/>
        <v>3.2916241607199566</v>
      </c>
    </row>
    <row r="1384" spans="15:19" x14ac:dyDescent="0.2">
      <c r="O1384" s="4">
        <f t="shared" ca="1" si="138"/>
        <v>0.33707874202628796</v>
      </c>
      <c r="P1384" s="4">
        <f t="shared" ca="1" si="139"/>
        <v>-0.42044899274447944</v>
      </c>
      <c r="Q1384" s="4">
        <f t="shared" ca="1" si="140"/>
        <v>1936.001767731598</v>
      </c>
      <c r="R1384" s="4">
        <f t="shared" ca="1" si="141"/>
        <v>12.331723731598004</v>
      </c>
      <c r="S1384" s="4">
        <f t="shared" ca="1" si="142"/>
        <v>6.3043429322058397</v>
      </c>
    </row>
    <row r="1385" spans="15:19" x14ac:dyDescent="0.2">
      <c r="O1385" s="4">
        <f t="shared" ca="1" si="138"/>
        <v>0.35010917839218658</v>
      </c>
      <c r="P1385" s="4">
        <f t="shared" ca="1" si="139"/>
        <v>-0.38502572427034987</v>
      </c>
      <c r="Q1385" s="4">
        <f t="shared" ca="1" si="140"/>
        <v>1934.9286213859316</v>
      </c>
      <c r="R1385" s="4">
        <f t="shared" ca="1" si="141"/>
        <v>11.25857738593163</v>
      </c>
      <c r="S1385" s="4">
        <f t="shared" ca="1" si="142"/>
        <v>5.7508004390615728</v>
      </c>
    </row>
    <row r="1386" spans="15:19" x14ac:dyDescent="0.2">
      <c r="O1386" s="4">
        <f t="shared" ca="1" si="138"/>
        <v>0.92910389215854827</v>
      </c>
      <c r="P1386" s="4">
        <f t="shared" ca="1" si="139"/>
        <v>1.4691496049095492</v>
      </c>
      <c r="Q1386" s="4">
        <f t="shared" ca="1" si="140"/>
        <v>1878.7564621119498</v>
      </c>
      <c r="R1386" s="4">
        <f t="shared" ca="1" si="141"/>
        <v>-44.913581888050203</v>
      </c>
      <c r="S1386" s="4">
        <f t="shared" ca="1" si="142"/>
        <v>-21.914542887736197</v>
      </c>
    </row>
    <row r="1387" spans="15:19" x14ac:dyDescent="0.2">
      <c r="O1387" s="4">
        <f t="shared" ca="1" si="138"/>
        <v>0.24225160069780394</v>
      </c>
      <c r="P1387" s="4">
        <f t="shared" ca="1" si="139"/>
        <v>-0.69907813613380454</v>
      </c>
      <c r="Q1387" s="4">
        <f t="shared" ca="1" si="140"/>
        <v>1944.4428252597236</v>
      </c>
      <c r="R1387" s="4">
        <f t="shared" ca="1" si="141"/>
        <v>20.772781259723615</v>
      </c>
      <c r="S1387" s="4">
        <f t="shared" ca="1" si="142"/>
        <v>10.691039148182529</v>
      </c>
    </row>
    <row r="1388" spans="15:19" x14ac:dyDescent="0.2">
      <c r="O1388" s="4">
        <f t="shared" ca="1" si="138"/>
        <v>0.74170067812251128</v>
      </c>
      <c r="P1388" s="4">
        <f t="shared" ca="1" si="139"/>
        <v>0.64859738877842077</v>
      </c>
      <c r="Q1388" s="4">
        <f t="shared" ca="1" si="140"/>
        <v>1903.6150550679477</v>
      </c>
      <c r="R1388" s="4">
        <f t="shared" ca="1" si="141"/>
        <v>-20.054988932052311</v>
      </c>
      <c r="S1388" s="4">
        <f t="shared" ca="1" si="142"/>
        <v>-9.9883075408641009</v>
      </c>
    </row>
    <row r="1389" spans="15:19" x14ac:dyDescent="0.2">
      <c r="O1389" s="4">
        <f t="shared" ca="1" si="138"/>
        <v>0.79645887756526834</v>
      </c>
      <c r="P1389" s="4">
        <f t="shared" ca="1" si="139"/>
        <v>0.82903916656089793</v>
      </c>
      <c r="Q1389" s="4">
        <f t="shared" ca="1" si="140"/>
        <v>1898.1485794214614</v>
      </c>
      <c r="R1389" s="4">
        <f t="shared" ca="1" si="141"/>
        <v>-25.521464578538598</v>
      </c>
      <c r="S1389" s="4">
        <f t="shared" ca="1" si="142"/>
        <v>-12.65407278237099</v>
      </c>
    </row>
    <row r="1390" spans="15:19" x14ac:dyDescent="0.2">
      <c r="O1390" s="4">
        <f t="shared" ca="1" si="138"/>
        <v>8.9561693034550749E-2</v>
      </c>
      <c r="P1390" s="4">
        <f t="shared" ca="1" si="139"/>
        <v>-1.3434590228441425</v>
      </c>
      <c r="Q1390" s="4">
        <f t="shared" ca="1" si="140"/>
        <v>1963.9643156127488</v>
      </c>
      <c r="R1390" s="4">
        <f t="shared" ca="1" si="141"/>
        <v>40.294271612748844</v>
      </c>
      <c r="S1390" s="4">
        <f t="shared" ca="1" si="142"/>
        <v>21.058284094006865</v>
      </c>
    </row>
    <row r="1391" spans="15:19" x14ac:dyDescent="0.2">
      <c r="O1391" s="4">
        <f t="shared" ca="1" si="138"/>
        <v>0.32837251130370226</v>
      </c>
      <c r="P1391" s="4">
        <f t="shared" ca="1" si="139"/>
        <v>-0.4444116078292662</v>
      </c>
      <c r="Q1391" s="4">
        <f t="shared" ca="1" si="140"/>
        <v>1936.7277140916754</v>
      </c>
      <c r="R1391" s="4">
        <f t="shared" ca="1" si="141"/>
        <v>13.057670091675391</v>
      </c>
      <c r="S1391" s="4">
        <f t="shared" ca="1" si="142"/>
        <v>6.6793269207542725</v>
      </c>
    </row>
    <row r="1392" spans="15:19" x14ac:dyDescent="0.2">
      <c r="O1392" s="4">
        <f t="shared" ca="1" si="138"/>
        <v>0.67294232826412093</v>
      </c>
      <c r="P1392" s="4">
        <f t="shared" ca="1" si="139"/>
        <v>0.44805245044971453</v>
      </c>
      <c r="Q1392" s="4">
        <f t="shared" ca="1" si="140"/>
        <v>1909.6905550706219</v>
      </c>
      <c r="R1392" s="4">
        <f t="shared" ca="1" si="141"/>
        <v>-13.979488929378022</v>
      </c>
      <c r="S1392" s="4">
        <f t="shared" ca="1" si="142"/>
        <v>-6.9970022682422979</v>
      </c>
    </row>
    <row r="1393" spans="15:19" x14ac:dyDescent="0.2">
      <c r="O1393" s="4">
        <f t="shared" ca="1" si="138"/>
        <v>0.31994527686313989</v>
      </c>
      <c r="P1393" s="4">
        <f t="shared" ca="1" si="139"/>
        <v>-0.4678518288119487</v>
      </c>
      <c r="Q1393" s="4">
        <f t="shared" ca="1" si="140"/>
        <v>1937.4378345456234</v>
      </c>
      <c r="R1393" s="4">
        <f t="shared" ca="1" si="141"/>
        <v>13.767790545623484</v>
      </c>
      <c r="S1393" s="4">
        <f t="shared" ca="1" si="142"/>
        <v>7.0465512372798482</v>
      </c>
    </row>
    <row r="1394" spans="15:19" x14ac:dyDescent="0.2">
      <c r="O1394" s="4">
        <f t="shared" ca="1" si="138"/>
        <v>0.53123211203333165</v>
      </c>
      <c r="P1394" s="4">
        <f t="shared" ca="1" si="139"/>
        <v>7.8367436272426316E-2</v>
      </c>
      <c r="Q1394" s="4">
        <f t="shared" ca="1" si="140"/>
        <v>1920.8901461614796</v>
      </c>
      <c r="R1394" s="4">
        <f t="shared" ca="1" si="141"/>
        <v>-2.7798978385203554</v>
      </c>
      <c r="S1394" s="4">
        <f t="shared" ca="1" si="142"/>
        <v>-1.4040657521096824</v>
      </c>
    </row>
    <row r="1395" spans="15:19" x14ac:dyDescent="0.2">
      <c r="O1395" s="4">
        <f t="shared" ca="1" si="138"/>
        <v>0.99232850335487599</v>
      </c>
      <c r="P1395" s="4">
        <f t="shared" ca="1" si="139"/>
        <v>2.4241801247022501</v>
      </c>
      <c r="Q1395" s="4">
        <f t="shared" ca="1" si="140"/>
        <v>1849.8238549172258</v>
      </c>
      <c r="R1395" s="4">
        <f t="shared" ca="1" si="141"/>
        <v>-73.846189082774117</v>
      </c>
      <c r="S1395" s="4">
        <f t="shared" ca="1" si="142"/>
        <v>-35.161810049939128</v>
      </c>
    </row>
    <row r="1396" spans="15:19" x14ac:dyDescent="0.2">
      <c r="O1396" s="4">
        <f t="shared" ca="1" si="138"/>
        <v>0.75435949713277728</v>
      </c>
      <c r="P1396" s="4">
        <f t="shared" ca="1" si="139"/>
        <v>0.68827280203270325</v>
      </c>
      <c r="Q1396" s="4">
        <f t="shared" ca="1" si="140"/>
        <v>1902.4130901849576</v>
      </c>
      <c r="R1396" s="4">
        <f t="shared" ca="1" si="141"/>
        <v>-21.25695381504238</v>
      </c>
      <c r="S1396" s="4">
        <f t="shared" ca="1" si="142"/>
        <v>-10.576540710024393</v>
      </c>
    </row>
    <row r="1397" spans="15:19" x14ac:dyDescent="0.2">
      <c r="O1397" s="4">
        <f t="shared" ca="1" si="138"/>
        <v>0.91871219930034187</v>
      </c>
      <c r="P1397" s="4">
        <f t="shared" ca="1" si="139"/>
        <v>1.3964613840015161</v>
      </c>
      <c r="Q1397" s="4">
        <f t="shared" ca="1" si="140"/>
        <v>1880.9585485370744</v>
      </c>
      <c r="R1397" s="4">
        <f t="shared" ca="1" si="141"/>
        <v>-42.711495462925541</v>
      </c>
      <c r="S1397" s="4">
        <f t="shared" ca="1" si="142"/>
        <v>-20.878372431055361</v>
      </c>
    </row>
    <row r="1398" spans="15:19" x14ac:dyDescent="0.2">
      <c r="O1398" s="4">
        <f t="shared" ca="1" si="138"/>
        <v>0.15591721561745275</v>
      </c>
      <c r="P1398" s="4">
        <f t="shared" ca="1" si="139"/>
        <v>-1.0113803313654921</v>
      </c>
      <c r="Q1398" s="4">
        <f t="shared" ca="1" si="140"/>
        <v>1953.9040063983632</v>
      </c>
      <c r="R1398" s="4">
        <f t="shared" ca="1" si="141"/>
        <v>30.233962398363246</v>
      </c>
      <c r="S1398" s="4">
        <f t="shared" ca="1" si="142"/>
        <v>15.676826823873645</v>
      </c>
    </row>
    <row r="1399" spans="15:19" x14ac:dyDescent="0.2">
      <c r="O1399" s="4">
        <f t="shared" ca="1" si="138"/>
        <v>0.44998091052689237</v>
      </c>
      <c r="P1399" s="4">
        <f t="shared" ca="1" si="139"/>
        <v>-0.12570957650558995</v>
      </c>
      <c r="Q1399" s="4">
        <f t="shared" ca="1" si="140"/>
        <v>1927.0726502027749</v>
      </c>
      <c r="R1399" s="4">
        <f t="shared" ca="1" si="141"/>
        <v>3.4026062027749049</v>
      </c>
      <c r="S1399" s="4">
        <f t="shared" ca="1" si="142"/>
        <v>1.7271455252187202</v>
      </c>
    </row>
    <row r="1400" spans="15:19" x14ac:dyDescent="0.2">
      <c r="O1400" s="4">
        <f t="shared" ca="1" si="138"/>
        <v>0.63231776686926622</v>
      </c>
      <c r="P1400" s="4">
        <f t="shared" ca="1" si="139"/>
        <v>0.33799830346455489</v>
      </c>
      <c r="Q1400" s="4">
        <f t="shared" ca="1" si="140"/>
        <v>1913.0246405672438</v>
      </c>
      <c r="R1400" s="4">
        <f t="shared" ca="1" si="141"/>
        <v>-10.645403432756211</v>
      </c>
      <c r="S1400" s="4">
        <f t="shared" ca="1" si="142"/>
        <v>-5.3426765254038235</v>
      </c>
    </row>
    <row r="1401" spans="15:19" x14ac:dyDescent="0.2">
      <c r="O1401" s="4">
        <f t="shared" ca="1" si="138"/>
        <v>0.5574470714982751</v>
      </c>
      <c r="P1401" s="4">
        <f t="shared" ca="1" si="139"/>
        <v>0.1444997460071058</v>
      </c>
      <c r="Q1401" s="4">
        <f t="shared" ca="1" si="140"/>
        <v>1918.8866707742754</v>
      </c>
      <c r="R1401" s="4">
        <f t="shared" ca="1" si="141"/>
        <v>-4.7833732257245174</v>
      </c>
      <c r="S1401" s="4">
        <f t="shared" ca="1" si="142"/>
        <v>-2.4120763672373049</v>
      </c>
    </row>
    <row r="1402" spans="15:19" x14ac:dyDescent="0.2">
      <c r="O1402" s="4">
        <f t="shared" ca="1" si="138"/>
        <v>0.58753288569211204</v>
      </c>
      <c r="P1402" s="4">
        <f t="shared" ca="1" si="139"/>
        <v>0.22120318602566394</v>
      </c>
      <c r="Q1402" s="4">
        <f t="shared" ca="1" si="140"/>
        <v>1916.5629434644691</v>
      </c>
      <c r="R1402" s="4">
        <f t="shared" ca="1" si="141"/>
        <v>-7.1071005355308898</v>
      </c>
      <c r="S1402" s="4">
        <f t="shared" ca="1" si="142"/>
        <v>-3.5771224804560275</v>
      </c>
    </row>
    <row r="1403" spans="15:19" x14ac:dyDescent="0.2">
      <c r="O1403" s="4">
        <f t="shared" ca="1" si="138"/>
        <v>0.43633759729423727</v>
      </c>
      <c r="P1403" s="4">
        <f t="shared" ca="1" si="139"/>
        <v>-0.16026136135298114</v>
      </c>
      <c r="Q1403" s="4">
        <f t="shared" ca="1" si="140"/>
        <v>1928.1193949906622</v>
      </c>
      <c r="R1403" s="4">
        <f t="shared" ca="1" si="141"/>
        <v>4.4493509906621966</v>
      </c>
      <c r="S1403" s="4">
        <f t="shared" ca="1" si="142"/>
        <v>2.2603636896531016</v>
      </c>
    </row>
    <row r="1404" spans="15:19" x14ac:dyDescent="0.2">
      <c r="O1404" s="4">
        <f t="shared" ca="1" si="138"/>
        <v>0.46913744330678664</v>
      </c>
      <c r="P1404" s="4">
        <f t="shared" ca="1" si="139"/>
        <v>-7.7438283200215119E-2</v>
      </c>
      <c r="Q1404" s="4">
        <f t="shared" ca="1" si="140"/>
        <v>1925.6102735152856</v>
      </c>
      <c r="R1404" s="4">
        <f t="shared" ca="1" si="141"/>
        <v>1.9402295152856368</v>
      </c>
      <c r="S1404" s="4">
        <f t="shared" ca="1" si="142"/>
        <v>0.98369559326465683</v>
      </c>
    </row>
    <row r="1405" spans="15:19" x14ac:dyDescent="0.2">
      <c r="O1405" s="4">
        <f t="shared" ca="1" si="138"/>
        <v>0.13415957280067337</v>
      </c>
      <c r="P1405" s="4">
        <f t="shared" ca="1" si="139"/>
        <v>-1.1069416760574826</v>
      </c>
      <c r="Q1405" s="4">
        <f t="shared" ca="1" si="140"/>
        <v>1956.7990330929795</v>
      </c>
      <c r="R1405" s="4">
        <f t="shared" ca="1" si="141"/>
        <v>33.128989092979509</v>
      </c>
      <c r="S1405" s="4">
        <f t="shared" ca="1" si="142"/>
        <v>17.216989428250791</v>
      </c>
    </row>
    <row r="1406" spans="15:19" x14ac:dyDescent="0.2">
      <c r="O1406" s="4">
        <f t="shared" ca="1" si="138"/>
        <v>0.94927113300709742</v>
      </c>
      <c r="P1406" s="4">
        <f t="shared" ca="1" si="139"/>
        <v>1.6378272566533969</v>
      </c>
      <c r="Q1406" s="4">
        <f t="shared" ca="1" si="140"/>
        <v>1873.6463801414882</v>
      </c>
      <c r="R1406" s="4">
        <f t="shared" ca="1" si="141"/>
        <v>-50.023663858511782</v>
      </c>
      <c r="S1406" s="4">
        <f t="shared" ca="1" si="142"/>
        <v>-24.30383204710186</v>
      </c>
    </row>
    <row r="1407" spans="15:19" x14ac:dyDescent="0.2">
      <c r="O1407" s="4">
        <f t="shared" ca="1" si="138"/>
        <v>0.12685555053731268</v>
      </c>
      <c r="P1407" s="4">
        <f t="shared" ca="1" si="139"/>
        <v>-1.1413817375118362</v>
      </c>
      <c r="Q1407" s="4">
        <f t="shared" ca="1" si="140"/>
        <v>1957.8423932256351</v>
      </c>
      <c r="R1407" s="4">
        <f t="shared" ca="1" si="141"/>
        <v>34.172349225635116</v>
      </c>
      <c r="S1407" s="4">
        <f t="shared" ca="1" si="142"/>
        <v>17.773732758056795</v>
      </c>
    </row>
    <row r="1408" spans="15:19" x14ac:dyDescent="0.2">
      <c r="O1408" s="4">
        <f t="shared" ca="1" si="138"/>
        <v>0.76244321727075082</v>
      </c>
      <c r="P1408" s="4">
        <f t="shared" ca="1" si="139"/>
        <v>0.71418374733953172</v>
      </c>
      <c r="Q1408" s="4">
        <f t="shared" ca="1" si="140"/>
        <v>1901.6281192473075</v>
      </c>
      <c r="R1408" s="4">
        <f t="shared" ca="1" si="141"/>
        <v>-22.041924752692466</v>
      </c>
      <c r="S1408" s="4">
        <f t="shared" ca="1" si="142"/>
        <v>-10.960065071457247</v>
      </c>
    </row>
    <row r="1409" spans="15:19" x14ac:dyDescent="0.2">
      <c r="O1409" s="4">
        <f t="shared" ca="1" si="138"/>
        <v>0.54150022169638168</v>
      </c>
      <c r="P1409" s="4">
        <f t="shared" ca="1" si="139"/>
        <v>0.10421395900535606</v>
      </c>
      <c r="Q1409" s="4">
        <f t="shared" ca="1" si="140"/>
        <v>1920.107126902845</v>
      </c>
      <c r="R1409" s="4">
        <f t="shared" ca="1" si="141"/>
        <v>-3.5629170971549229</v>
      </c>
      <c r="S1409" s="4">
        <f t="shared" ca="1" si="142"/>
        <v>-1.7984160422941333</v>
      </c>
    </row>
    <row r="1410" spans="15:19" x14ac:dyDescent="0.2">
      <c r="O1410" s="4">
        <f t="shared" ca="1" si="138"/>
        <v>4.7467352787103123E-2</v>
      </c>
      <c r="P1410" s="4">
        <f t="shared" ca="1" si="139"/>
        <v>-1.6699224619558048</v>
      </c>
      <c r="Q1410" s="4">
        <f t="shared" ca="1" si="140"/>
        <v>1973.8545110059877</v>
      </c>
      <c r="R1410" s="4">
        <f t="shared" ca="1" si="141"/>
        <v>50.184467005987699</v>
      </c>
      <c r="S1410" s="4">
        <f t="shared" ca="1" si="142"/>
        <v>26.429064750781652</v>
      </c>
    </row>
    <row r="1411" spans="15:19" x14ac:dyDescent="0.2">
      <c r="O1411" s="4">
        <f t="shared" ref="O1411:O1474" ca="1" si="143">RAND()</f>
        <v>0.24360780405400961</v>
      </c>
      <c r="P1411" s="4">
        <f t="shared" ref="P1411:P1474" ca="1" si="144">NORMSINV(O1411)</f>
        <v>-0.69474422378825607</v>
      </c>
      <c r="Q1411" s="4">
        <f t="shared" ref="Q1411:Q1474" ca="1" si="145">$B$4*(1+$B$17-$B$6/SQRT(252)*P1411)</f>
        <v>1944.3115295776365</v>
      </c>
      <c r="R1411" s="4">
        <f t="shared" ref="R1411:R1474" ca="1" si="146">Q1411-$B$4</f>
        <v>20.641485577636558</v>
      </c>
      <c r="S1411" s="4">
        <f t="shared" ref="S1411:S1474" ca="1" si="147">R1411*$B$12+0.5*$B$13*R1411^2</f>
        <v>10.622362543099451</v>
      </c>
    </row>
    <row r="1412" spans="15:19" x14ac:dyDescent="0.2">
      <c r="O1412" s="4">
        <f t="shared" ca="1" si="143"/>
        <v>0.57660686123406313</v>
      </c>
      <c r="P1412" s="4">
        <f t="shared" ca="1" si="144"/>
        <v>0.19322050898568974</v>
      </c>
      <c r="Q1412" s="4">
        <f t="shared" ca="1" si="145"/>
        <v>1917.4106774229924</v>
      </c>
      <c r="R1412" s="4">
        <f t="shared" ca="1" si="146"/>
        <v>-6.2593665770075404</v>
      </c>
      <c r="S1412" s="4">
        <f t="shared" ca="1" si="147"/>
        <v>-3.1526038332759545</v>
      </c>
    </row>
    <row r="1413" spans="15:19" x14ac:dyDescent="0.2">
      <c r="O1413" s="4">
        <f t="shared" ca="1" si="143"/>
        <v>0.52050229298628625</v>
      </c>
      <c r="P1413" s="4">
        <f t="shared" ca="1" si="144"/>
        <v>5.141426996155752E-2</v>
      </c>
      <c r="Q1413" s="4">
        <f t="shared" ca="1" si="145"/>
        <v>1921.7066911381737</v>
      </c>
      <c r="R1413" s="4">
        <f t="shared" ca="1" si="146"/>
        <v>-1.9633528618262517</v>
      </c>
      <c r="S1413" s="4">
        <f t="shared" ca="1" si="147"/>
        <v>-0.99229929759866409</v>
      </c>
    </row>
    <row r="1414" spans="15:19" x14ac:dyDescent="0.2">
      <c r="O1414" s="4">
        <f t="shared" ca="1" si="143"/>
        <v>0.72955736545733352</v>
      </c>
      <c r="P1414" s="4">
        <f t="shared" ca="1" si="144"/>
        <v>0.61147484129184615</v>
      </c>
      <c r="Q1414" s="4">
        <f t="shared" ca="1" si="145"/>
        <v>1904.7396809958495</v>
      </c>
      <c r="R1414" s="4">
        <f t="shared" ca="1" si="146"/>
        <v>-18.930363004150422</v>
      </c>
      <c r="S1414" s="4">
        <f t="shared" ca="1" si="147"/>
        <v>-9.4368583982856844</v>
      </c>
    </row>
    <row r="1415" spans="15:19" x14ac:dyDescent="0.2">
      <c r="O1415" s="4">
        <f t="shared" ca="1" si="143"/>
        <v>0.52628824513822159</v>
      </c>
      <c r="P1415" s="4">
        <f t="shared" ca="1" si="144"/>
        <v>6.594261852935869E-2</v>
      </c>
      <c r="Q1415" s="4">
        <f t="shared" ca="1" si="145"/>
        <v>1921.2665554633561</v>
      </c>
      <c r="R1415" s="4">
        <f t="shared" ca="1" si="146"/>
        <v>-2.403488536643863</v>
      </c>
      <c r="S1415" s="4">
        <f t="shared" ca="1" si="147"/>
        <v>-1.2143178991335231</v>
      </c>
    </row>
    <row r="1416" spans="15:19" x14ac:dyDescent="0.2">
      <c r="O1416" s="4">
        <f t="shared" ca="1" si="143"/>
        <v>0.71169184171834576</v>
      </c>
      <c r="P1416" s="4">
        <f t="shared" ca="1" si="144"/>
        <v>0.558334022604419</v>
      </c>
      <c r="Q1416" s="4">
        <f t="shared" ca="1" si="145"/>
        <v>1906.3495797385863</v>
      </c>
      <c r="R1416" s="4">
        <f t="shared" ca="1" si="146"/>
        <v>-17.32046426141369</v>
      </c>
      <c r="S1416" s="4">
        <f t="shared" ca="1" si="147"/>
        <v>-8.6456685115550922</v>
      </c>
    </row>
    <row r="1417" spans="15:19" x14ac:dyDescent="0.2">
      <c r="O1417" s="4">
        <f t="shared" ca="1" si="143"/>
        <v>0.67346513767148608</v>
      </c>
      <c r="P1417" s="4">
        <f t="shared" ca="1" si="144"/>
        <v>0.44950177953474085</v>
      </c>
      <c r="Q1417" s="4">
        <f t="shared" ca="1" si="145"/>
        <v>1909.6466477103397</v>
      </c>
      <c r="R1417" s="4">
        <f t="shared" ca="1" si="146"/>
        <v>-14.023396289660241</v>
      </c>
      <c r="S1417" s="4">
        <f t="shared" ca="1" si="147"/>
        <v>-7.0187280991328018</v>
      </c>
    </row>
    <row r="1418" spans="15:19" x14ac:dyDescent="0.2">
      <c r="O1418" s="4">
        <f t="shared" ca="1" si="143"/>
        <v>4.296560577541586E-2</v>
      </c>
      <c r="P1418" s="4">
        <f t="shared" ca="1" si="144"/>
        <v>-1.717262548997545</v>
      </c>
      <c r="Q1418" s="4">
        <f t="shared" ca="1" si="145"/>
        <v>1975.2886768410649</v>
      </c>
      <c r="R1418" s="4">
        <f t="shared" ca="1" si="146"/>
        <v>51.618632841064937</v>
      </c>
      <c r="S1418" s="4">
        <f t="shared" ca="1" si="147"/>
        <v>27.214486679924452</v>
      </c>
    </row>
    <row r="1419" spans="15:19" x14ac:dyDescent="0.2">
      <c r="O1419" s="4">
        <f t="shared" ca="1" si="143"/>
        <v>0.58101654525445146</v>
      </c>
      <c r="P1419" s="4">
        <f t="shared" ca="1" si="144"/>
        <v>0.2044947304421019</v>
      </c>
      <c r="Q1419" s="4">
        <f t="shared" ca="1" si="145"/>
        <v>1917.0691253845343</v>
      </c>
      <c r="R1419" s="4">
        <f t="shared" ca="1" si="146"/>
        <v>-6.6009186154656163</v>
      </c>
      <c r="S1419" s="4">
        <f t="shared" ca="1" si="147"/>
        <v>-3.3237127866969192</v>
      </c>
    </row>
    <row r="1420" spans="15:19" x14ac:dyDescent="0.2">
      <c r="O1420" s="4">
        <f t="shared" ca="1" si="143"/>
        <v>5.0274882572887702E-2</v>
      </c>
      <c r="P1420" s="4">
        <f t="shared" ca="1" si="144"/>
        <v>-1.6421941959904416</v>
      </c>
      <c r="Q1420" s="4">
        <f t="shared" ca="1" si="145"/>
        <v>1973.0144844196741</v>
      </c>
      <c r="R1420" s="4">
        <f t="shared" ca="1" si="146"/>
        <v>49.344440419674129</v>
      </c>
      <c r="S1420" s="4">
        <f t="shared" ca="1" si="147"/>
        <v>25.969801257221839</v>
      </c>
    </row>
    <row r="1421" spans="15:19" x14ac:dyDescent="0.2">
      <c r="O1421" s="4">
        <f t="shared" ca="1" si="143"/>
        <v>0.35396833798337435</v>
      </c>
      <c r="P1421" s="4">
        <f t="shared" ca="1" si="144"/>
        <v>-0.37462863210605263</v>
      </c>
      <c r="Q1421" s="4">
        <f t="shared" ca="1" si="145"/>
        <v>1934.6136419404349</v>
      </c>
      <c r="R1421" s="4">
        <f t="shared" ca="1" si="146"/>
        <v>10.943597940434984</v>
      </c>
      <c r="S1421" s="4">
        <f t="shared" ca="1" si="147"/>
        <v>5.5885080302945402</v>
      </c>
    </row>
    <row r="1422" spans="15:19" x14ac:dyDescent="0.2">
      <c r="O1422" s="4">
        <f t="shared" ca="1" si="143"/>
        <v>3.7917088996743509E-2</v>
      </c>
      <c r="P1422" s="4">
        <f t="shared" ca="1" si="144"/>
        <v>-1.7753859760399666</v>
      </c>
      <c r="Q1422" s="4">
        <f t="shared" ca="1" si="145"/>
        <v>1977.0495234826931</v>
      </c>
      <c r="R1422" s="4">
        <f t="shared" ca="1" si="146"/>
        <v>53.379479482693114</v>
      </c>
      <c r="S1422" s="4">
        <f t="shared" ca="1" si="147"/>
        <v>28.181105724481327</v>
      </c>
    </row>
    <row r="1423" spans="15:19" x14ac:dyDescent="0.2">
      <c r="O1423" s="4">
        <f t="shared" ca="1" si="143"/>
        <v>0.62576820877881867</v>
      </c>
      <c r="P1423" s="4">
        <f t="shared" ca="1" si="144"/>
        <v>0.32066591197045102</v>
      </c>
      <c r="Q1423" s="4">
        <f t="shared" ca="1" si="145"/>
        <v>1913.5497245980168</v>
      </c>
      <c r="R1423" s="4">
        <f t="shared" ca="1" si="146"/>
        <v>-10.120319401983124</v>
      </c>
      <c r="S1423" s="4">
        <f t="shared" ca="1" si="147"/>
        <v>-5.0813124267234118</v>
      </c>
    </row>
    <row r="1424" spans="15:19" x14ac:dyDescent="0.2">
      <c r="O1424" s="4">
        <f t="shared" ca="1" si="143"/>
        <v>0.70586512843489024</v>
      </c>
      <c r="P1424" s="4">
        <f t="shared" ca="1" si="144"/>
        <v>0.54134509565452504</v>
      </c>
      <c r="Q1424" s="4">
        <f t="shared" ca="1" si="145"/>
        <v>1906.8642585262421</v>
      </c>
      <c r="R1424" s="4">
        <f t="shared" ca="1" si="146"/>
        <v>-16.805785473757851</v>
      </c>
      <c r="S1424" s="4">
        <f t="shared" ca="1" si="147"/>
        <v>-8.392282855032585</v>
      </c>
    </row>
    <row r="1425" spans="15:19" x14ac:dyDescent="0.2">
      <c r="O1425" s="4">
        <f t="shared" ca="1" si="143"/>
        <v>0.88177194909303813</v>
      </c>
      <c r="P1425" s="4">
        <f t="shared" ca="1" si="144"/>
        <v>1.18389128154339</v>
      </c>
      <c r="Q1425" s="4">
        <f t="shared" ca="1" si="145"/>
        <v>1887.3983503531445</v>
      </c>
      <c r="R1425" s="4">
        <f t="shared" ca="1" si="146"/>
        <v>-36.27169364685551</v>
      </c>
      <c r="S1425" s="4">
        <f t="shared" ca="1" si="147"/>
        <v>-17.825531771675724</v>
      </c>
    </row>
    <row r="1426" spans="15:19" x14ac:dyDescent="0.2">
      <c r="O1426" s="4">
        <f t="shared" ca="1" si="143"/>
        <v>0.46007880406826263</v>
      </c>
      <c r="P1426" s="4">
        <f t="shared" ca="1" si="144"/>
        <v>-0.10023519121875793</v>
      </c>
      <c r="Q1426" s="4">
        <f t="shared" ca="1" si="145"/>
        <v>1926.3009048315478</v>
      </c>
      <c r="R1426" s="4">
        <f t="shared" ca="1" si="146"/>
        <v>2.6308608315478068</v>
      </c>
      <c r="S1426" s="4">
        <f t="shared" ca="1" si="147"/>
        <v>1.3345850225905596</v>
      </c>
    </row>
    <row r="1427" spans="15:19" x14ac:dyDescent="0.2">
      <c r="O1427" s="4">
        <f t="shared" ca="1" si="143"/>
        <v>0.94552179519503454</v>
      </c>
      <c r="P1427" s="4">
        <f t="shared" ca="1" si="144"/>
        <v>1.6029014677163258</v>
      </c>
      <c r="Q1427" s="4">
        <f t="shared" ca="1" si="145"/>
        <v>1874.7044553666667</v>
      </c>
      <c r="R1427" s="4">
        <f t="shared" ca="1" si="146"/>
        <v>-48.965588633333255</v>
      </c>
      <c r="S1427" s="4">
        <f t="shared" ca="1" si="147"/>
        <v>-23.810859651717159</v>
      </c>
    </row>
    <row r="1428" spans="15:19" x14ac:dyDescent="0.2">
      <c r="O1428" s="4">
        <f t="shared" ca="1" si="143"/>
        <v>0.79231527543502034</v>
      </c>
      <c r="P1428" s="4">
        <f t="shared" ca="1" si="144"/>
        <v>0.81448100585512417</v>
      </c>
      <c r="Q1428" s="4">
        <f t="shared" ca="1" si="145"/>
        <v>1898.5896182536751</v>
      </c>
      <c r="R1428" s="4">
        <f t="shared" ca="1" si="146"/>
        <v>-25.080425746324863</v>
      </c>
      <c r="S1428" s="4">
        <f t="shared" ca="1" si="147"/>
        <v>-12.439899331745968</v>
      </c>
    </row>
    <row r="1429" spans="15:19" x14ac:dyDescent="0.2">
      <c r="O1429" s="4">
        <f t="shared" ca="1" si="143"/>
        <v>0.71269425084615234</v>
      </c>
      <c r="P1429" s="4">
        <f t="shared" ca="1" si="144"/>
        <v>0.56127292146644314</v>
      </c>
      <c r="Q1429" s="4">
        <f t="shared" ca="1" si="145"/>
        <v>1906.2605459280455</v>
      </c>
      <c r="R1429" s="4">
        <f t="shared" ca="1" si="146"/>
        <v>-17.409498071954431</v>
      </c>
      <c r="S1429" s="4">
        <f t="shared" ca="1" si="147"/>
        <v>-8.6894795831320604</v>
      </c>
    </row>
    <row r="1430" spans="15:19" x14ac:dyDescent="0.2">
      <c r="O1430" s="4">
        <f t="shared" ca="1" si="143"/>
        <v>0.31321071281067669</v>
      </c>
      <c r="P1430" s="4">
        <f t="shared" ca="1" si="144"/>
        <v>-0.48676986854748688</v>
      </c>
      <c r="Q1430" s="4">
        <f t="shared" ca="1" si="145"/>
        <v>1938.0109557194698</v>
      </c>
      <c r="R1430" s="4">
        <f t="shared" ca="1" si="146"/>
        <v>14.340911719469887</v>
      </c>
      <c r="S1430" s="4">
        <f t="shared" ca="1" si="147"/>
        <v>7.3432285491758993</v>
      </c>
    </row>
    <row r="1431" spans="15:19" x14ac:dyDescent="0.2">
      <c r="O1431" s="4">
        <f t="shared" ca="1" si="143"/>
        <v>0.15819960202666583</v>
      </c>
      <c r="P1431" s="4">
        <f t="shared" ca="1" si="144"/>
        <v>-1.0018848632672144</v>
      </c>
      <c r="Q1431" s="4">
        <f t="shared" ca="1" si="145"/>
        <v>1953.6163416139152</v>
      </c>
      <c r="R1431" s="4">
        <f t="shared" ca="1" si="146"/>
        <v>29.946297613915249</v>
      </c>
      <c r="S1431" s="4">
        <f t="shared" ca="1" si="147"/>
        <v>15.524161015118279</v>
      </c>
    </row>
    <row r="1432" spans="15:19" x14ac:dyDescent="0.2">
      <c r="O1432" s="4">
        <f t="shared" ca="1" si="143"/>
        <v>0.81899048574401279</v>
      </c>
      <c r="P1432" s="4">
        <f t="shared" ca="1" si="144"/>
        <v>0.91152460285231485</v>
      </c>
      <c r="Q1432" s="4">
        <f t="shared" ca="1" si="145"/>
        <v>1895.6496867912833</v>
      </c>
      <c r="R1432" s="4">
        <f t="shared" ca="1" si="146"/>
        <v>-28.020357208716632</v>
      </c>
      <c r="S1432" s="4">
        <f t="shared" ca="1" si="147"/>
        <v>-13.864572773713872</v>
      </c>
    </row>
    <row r="1433" spans="15:19" x14ac:dyDescent="0.2">
      <c r="O1433" s="4">
        <f t="shared" ca="1" si="143"/>
        <v>0.99718783562138258</v>
      </c>
      <c r="P1433" s="4">
        <f t="shared" ca="1" si="144"/>
        <v>2.7689151088478403</v>
      </c>
      <c r="Q1433" s="4">
        <f t="shared" ca="1" si="145"/>
        <v>1839.3801238784224</v>
      </c>
      <c r="R1433" s="4">
        <f t="shared" ca="1" si="146"/>
        <v>-84.289920121577552</v>
      </c>
      <c r="S1433" s="4">
        <f t="shared" ca="1" si="147"/>
        <v>-39.776241554933037</v>
      </c>
    </row>
    <row r="1434" spans="15:19" x14ac:dyDescent="0.2">
      <c r="O1434" s="4">
        <f t="shared" ca="1" si="143"/>
        <v>0.82634495763313642</v>
      </c>
      <c r="P1434" s="4">
        <f t="shared" ca="1" si="144"/>
        <v>0.93981963631825105</v>
      </c>
      <c r="Q1434" s="4">
        <f t="shared" ca="1" si="145"/>
        <v>1894.7924900087041</v>
      </c>
      <c r="R1434" s="4">
        <f t="shared" ca="1" si="146"/>
        <v>-28.877553991295827</v>
      </c>
      <c r="S1434" s="4">
        <f t="shared" ca="1" si="147"/>
        <v>-14.278640313379261</v>
      </c>
    </row>
    <row r="1435" spans="15:19" x14ac:dyDescent="0.2">
      <c r="O1435" s="4">
        <f t="shared" ca="1" si="143"/>
        <v>0.38890179543479741</v>
      </c>
      <c r="P1435" s="4">
        <f t="shared" ca="1" si="144"/>
        <v>-0.28218248096315629</v>
      </c>
      <c r="Q1435" s="4">
        <f t="shared" ca="1" si="145"/>
        <v>1931.8129898960772</v>
      </c>
      <c r="R1435" s="4">
        <f t="shared" ca="1" si="146"/>
        <v>8.1429458960772081</v>
      </c>
      <c r="S1435" s="4">
        <f t="shared" ca="1" si="147"/>
        <v>4.1490307422909547</v>
      </c>
    </row>
    <row r="1436" spans="15:19" x14ac:dyDescent="0.2">
      <c r="O1436" s="4">
        <f t="shared" ca="1" si="143"/>
        <v>0.7434787099832888</v>
      </c>
      <c r="P1436" s="4">
        <f t="shared" ca="1" si="144"/>
        <v>0.65410745315156171</v>
      </c>
      <c r="Q1436" s="4">
        <f t="shared" ca="1" si="145"/>
        <v>1903.4481279124047</v>
      </c>
      <c r="R1436" s="4">
        <f t="shared" ca="1" si="146"/>
        <v>-20.221916087595218</v>
      </c>
      <c r="S1436" s="4">
        <f t="shared" ca="1" si="147"/>
        <v>-10.070070849769706</v>
      </c>
    </row>
    <row r="1437" spans="15:19" x14ac:dyDescent="0.2">
      <c r="O1437" s="4">
        <f t="shared" ca="1" si="143"/>
        <v>0.86313522647268537</v>
      </c>
      <c r="P1437" s="4">
        <f t="shared" ca="1" si="144"/>
        <v>1.094514145057887</v>
      </c>
      <c r="Q1437" s="4">
        <f t="shared" ca="1" si="145"/>
        <v>1890.1060267347177</v>
      </c>
      <c r="R1437" s="4">
        <f t="shared" ca="1" si="146"/>
        <v>-33.564017265282246</v>
      </c>
      <c r="S1437" s="4">
        <f t="shared" ca="1" si="147"/>
        <v>-16.531853205502212</v>
      </c>
    </row>
    <row r="1438" spans="15:19" x14ac:dyDescent="0.2">
      <c r="O1438" s="4">
        <f t="shared" ca="1" si="143"/>
        <v>0.14540906505762563</v>
      </c>
      <c r="P1438" s="4">
        <f t="shared" ca="1" si="144"/>
        <v>-1.0563285644338503</v>
      </c>
      <c r="Q1438" s="4">
        <f t="shared" ca="1" si="145"/>
        <v>1955.2657111235128</v>
      </c>
      <c r="R1438" s="4">
        <f t="shared" ca="1" si="146"/>
        <v>31.59566712351284</v>
      </c>
      <c r="S1438" s="4">
        <f t="shared" ca="1" si="147"/>
        <v>16.400407757244171</v>
      </c>
    </row>
    <row r="1439" spans="15:19" x14ac:dyDescent="0.2">
      <c r="O1439" s="4">
        <f t="shared" ca="1" si="143"/>
        <v>0.17713516502968552</v>
      </c>
      <c r="P1439" s="4">
        <f t="shared" ca="1" si="144"/>
        <v>-0.92633804544715814</v>
      </c>
      <c r="Q1439" s="4">
        <f t="shared" ca="1" si="145"/>
        <v>1951.3276541222599</v>
      </c>
      <c r="R1439" s="4">
        <f t="shared" ca="1" si="146"/>
        <v>27.657610122259939</v>
      </c>
      <c r="S1439" s="4">
        <f t="shared" ca="1" si="147"/>
        <v>14.311938064184027</v>
      </c>
    </row>
    <row r="1440" spans="15:19" x14ac:dyDescent="0.2">
      <c r="O1440" s="4">
        <f t="shared" ca="1" si="143"/>
        <v>0.94205678271698468</v>
      </c>
      <c r="P1440" s="4">
        <f t="shared" ca="1" si="144"/>
        <v>1.5722765259849036</v>
      </c>
      <c r="Q1440" s="4">
        <f t="shared" ca="1" si="145"/>
        <v>1875.6322366167035</v>
      </c>
      <c r="R1440" s="4">
        <f t="shared" ca="1" si="146"/>
        <v>-48.037807383296467</v>
      </c>
      <c r="S1440" s="4">
        <f t="shared" ca="1" si="147"/>
        <v>-23.377843083921331</v>
      </c>
    </row>
    <row r="1441" spans="15:19" x14ac:dyDescent="0.2">
      <c r="O1441" s="4">
        <f t="shared" ca="1" si="143"/>
        <v>0.6522858490049136</v>
      </c>
      <c r="P1441" s="4">
        <f t="shared" ca="1" si="144"/>
        <v>0.39149917008457646</v>
      </c>
      <c r="Q1441" s="4">
        <f t="shared" ca="1" si="145"/>
        <v>1911.403834188375</v>
      </c>
      <c r="R1441" s="4">
        <f t="shared" ca="1" si="146"/>
        <v>-12.266209811625004</v>
      </c>
      <c r="S1441" s="4">
        <f t="shared" ca="1" si="147"/>
        <v>-6.148027956733964</v>
      </c>
    </row>
    <row r="1442" spans="15:19" x14ac:dyDescent="0.2">
      <c r="O1442" s="4">
        <f t="shared" ca="1" si="143"/>
        <v>0.82559700263558955</v>
      </c>
      <c r="P1442" s="4">
        <f t="shared" ca="1" si="144"/>
        <v>0.93690778422972931</v>
      </c>
      <c r="Q1442" s="4">
        <f t="shared" ca="1" si="145"/>
        <v>1894.8807044384425</v>
      </c>
      <c r="R1442" s="4">
        <f t="shared" ca="1" si="146"/>
        <v>-28.789339561557426</v>
      </c>
      <c r="S1442" s="4">
        <f t="shared" ca="1" si="147"/>
        <v>-14.236056087365316</v>
      </c>
    </row>
    <row r="1443" spans="15:19" x14ac:dyDescent="0.2">
      <c r="O1443" s="4">
        <f t="shared" ca="1" si="143"/>
        <v>0.63708132595273115</v>
      </c>
      <c r="P1443" s="4">
        <f t="shared" ca="1" si="144"/>
        <v>0.35066811606997444</v>
      </c>
      <c r="Q1443" s="4">
        <f t="shared" ca="1" si="145"/>
        <v>1912.6408091568896</v>
      </c>
      <c r="R1443" s="4">
        <f t="shared" ca="1" si="146"/>
        <v>-11.029234843110316</v>
      </c>
      <c r="S1443" s="4">
        <f t="shared" ca="1" si="147"/>
        <v>-5.5335891703602273</v>
      </c>
    </row>
    <row r="1444" spans="15:19" x14ac:dyDescent="0.2">
      <c r="O1444" s="4">
        <f t="shared" ca="1" si="143"/>
        <v>0.57278513825989008</v>
      </c>
      <c r="P1444" s="4">
        <f t="shared" ca="1" si="144"/>
        <v>0.18346940383782212</v>
      </c>
      <c r="Q1444" s="4">
        <f t="shared" ca="1" si="145"/>
        <v>1917.7060867205075</v>
      </c>
      <c r="R1444" s="4">
        <f t="shared" ca="1" si="146"/>
        <v>-5.9639572794924334</v>
      </c>
      <c r="S1444" s="4">
        <f t="shared" ca="1" si="147"/>
        <v>-3.004534632923817</v>
      </c>
    </row>
    <row r="1445" spans="15:19" x14ac:dyDescent="0.2">
      <c r="O1445" s="4">
        <f t="shared" ca="1" si="143"/>
        <v>2.3369809367722594E-2</v>
      </c>
      <c r="P1445" s="4">
        <f t="shared" ca="1" si="144"/>
        <v>-1.9886520795471483</v>
      </c>
      <c r="Q1445" s="4">
        <f t="shared" ca="1" si="145"/>
        <v>1983.5104106196425</v>
      </c>
      <c r="R1445" s="4">
        <f t="shared" ca="1" si="146"/>
        <v>59.840366619642509</v>
      </c>
      <c r="S1445" s="4">
        <f t="shared" ca="1" si="147"/>
        <v>31.749441479114381</v>
      </c>
    </row>
    <row r="1446" spans="15:19" x14ac:dyDescent="0.2">
      <c r="O1446" s="4">
        <f t="shared" ca="1" si="143"/>
        <v>6.1333152803618729E-3</v>
      </c>
      <c r="P1446" s="4">
        <f t="shared" ca="1" si="144"/>
        <v>-2.5043797196840036</v>
      </c>
      <c r="Q1446" s="4">
        <f t="shared" ca="1" si="145"/>
        <v>1999.134356579799</v>
      </c>
      <c r="R1446" s="4">
        <f t="shared" ca="1" si="146"/>
        <v>75.464312579799071</v>
      </c>
      <c r="S1446" s="4">
        <f t="shared" ca="1" si="147"/>
        <v>40.518977451289558</v>
      </c>
    </row>
    <row r="1447" spans="15:19" x14ac:dyDescent="0.2">
      <c r="O1447" s="4">
        <f t="shared" ca="1" si="143"/>
        <v>0.6039862035885698</v>
      </c>
      <c r="P1447" s="4">
        <f t="shared" ca="1" si="144"/>
        <v>0.26367859223964857</v>
      </c>
      <c r="Q1447" s="4">
        <f t="shared" ca="1" si="145"/>
        <v>1915.2761529190818</v>
      </c>
      <c r="R1447" s="4">
        <f t="shared" ca="1" si="146"/>
        <v>-8.393891080918138</v>
      </c>
      <c r="S1447" s="4">
        <f t="shared" ca="1" si="147"/>
        <v>-4.2203888402210277</v>
      </c>
    </row>
    <row r="1448" spans="15:19" x14ac:dyDescent="0.2">
      <c r="O1448" s="4">
        <f t="shared" ca="1" si="143"/>
        <v>5.8421019816000896E-2</v>
      </c>
      <c r="P1448" s="4">
        <f t="shared" ca="1" si="144"/>
        <v>-1.5681675314119903</v>
      </c>
      <c r="Q1448" s="4">
        <f t="shared" ca="1" si="145"/>
        <v>1970.7718499029795</v>
      </c>
      <c r="R1448" s="4">
        <f t="shared" ca="1" si="146"/>
        <v>47.10180590297955</v>
      </c>
      <c r="S1448" s="4">
        <f t="shared" ca="1" si="147"/>
        <v>24.746511197219139</v>
      </c>
    </row>
    <row r="1449" spans="15:19" x14ac:dyDescent="0.2">
      <c r="O1449" s="4">
        <f t="shared" ca="1" si="143"/>
        <v>0.42926628765190122</v>
      </c>
      <c r="P1449" s="4">
        <f t="shared" ca="1" si="144"/>
        <v>-0.17824244729697761</v>
      </c>
      <c r="Q1449" s="4">
        <f t="shared" ca="1" si="145"/>
        <v>1928.6641311909934</v>
      </c>
      <c r="R1449" s="4">
        <f t="shared" ca="1" si="146"/>
        <v>4.9940871909934685</v>
      </c>
      <c r="S1449" s="4">
        <f t="shared" ca="1" si="147"/>
        <v>2.5382085283418623</v>
      </c>
    </row>
    <row r="1450" spans="15:19" x14ac:dyDescent="0.2">
      <c r="O1450" s="4">
        <f t="shared" ca="1" si="143"/>
        <v>0.12418193741904016</v>
      </c>
      <c r="P1450" s="4">
        <f t="shared" ca="1" si="144"/>
        <v>-1.1543325054287681</v>
      </c>
      <c r="Q1450" s="4">
        <f t="shared" ca="1" si="145"/>
        <v>1958.2347361646771</v>
      </c>
      <c r="R1450" s="4">
        <f t="shared" ca="1" si="146"/>
        <v>34.564692164677126</v>
      </c>
      <c r="S1450" s="4">
        <f t="shared" ca="1" si="147"/>
        <v>17.98331864026143</v>
      </c>
    </row>
    <row r="1451" spans="15:19" x14ac:dyDescent="0.2">
      <c r="O1451" s="4">
        <f t="shared" ca="1" si="143"/>
        <v>0.4451361064149375</v>
      </c>
      <c r="P1451" s="4">
        <f t="shared" ca="1" si="144"/>
        <v>-0.13795976937569987</v>
      </c>
      <c r="Q1451" s="4">
        <f t="shared" ca="1" si="145"/>
        <v>1927.4437692518786</v>
      </c>
      <c r="R1451" s="4">
        <f t="shared" ca="1" si="146"/>
        <v>3.773725251878659</v>
      </c>
      <c r="S1451" s="4">
        <f t="shared" ca="1" si="147"/>
        <v>1.9160937595534207</v>
      </c>
    </row>
    <row r="1452" spans="15:19" x14ac:dyDescent="0.2">
      <c r="O1452" s="4">
        <f t="shared" ca="1" si="143"/>
        <v>0.13227571378605629</v>
      </c>
      <c r="P1452" s="4">
        <f t="shared" ca="1" si="144"/>
        <v>-1.1156979985771025</v>
      </c>
      <c r="Q1452" s="4">
        <f t="shared" ca="1" si="145"/>
        <v>1957.0643054949394</v>
      </c>
      <c r="R1452" s="4">
        <f t="shared" ca="1" si="146"/>
        <v>33.394261494939428</v>
      </c>
      <c r="S1452" s="4">
        <f t="shared" ca="1" si="147"/>
        <v>17.358456378517566</v>
      </c>
    </row>
    <row r="1453" spans="15:19" x14ac:dyDescent="0.2">
      <c r="O1453" s="4">
        <f t="shared" ca="1" si="143"/>
        <v>0.11656937541152823</v>
      </c>
      <c r="P1453" s="4">
        <f t="shared" ca="1" si="144"/>
        <v>-1.1923124596326315</v>
      </c>
      <c r="Q1453" s="4">
        <f t="shared" ca="1" si="145"/>
        <v>1959.3853371910118</v>
      </c>
      <c r="R1453" s="4">
        <f t="shared" ca="1" si="146"/>
        <v>35.715293191011824</v>
      </c>
      <c r="S1453" s="4">
        <f t="shared" ca="1" si="147"/>
        <v>18.598681486580702</v>
      </c>
    </row>
    <row r="1454" spans="15:19" x14ac:dyDescent="0.2">
      <c r="O1454" s="4">
        <f t="shared" ca="1" si="143"/>
        <v>2.464017771789373E-2</v>
      </c>
      <c r="P1454" s="4">
        <f t="shared" ca="1" si="144"/>
        <v>-1.9661580597852106</v>
      </c>
      <c r="Q1454" s="4">
        <f t="shared" ca="1" si="145"/>
        <v>1982.8289552896663</v>
      </c>
      <c r="R1454" s="4">
        <f t="shared" ca="1" si="146"/>
        <v>59.158911289666321</v>
      </c>
      <c r="S1454" s="4">
        <f t="shared" ca="1" si="147"/>
        <v>31.371471776865771</v>
      </c>
    </row>
    <row r="1455" spans="15:19" x14ac:dyDescent="0.2">
      <c r="O1455" s="4">
        <f t="shared" ca="1" si="143"/>
        <v>5.677185153867581E-2</v>
      </c>
      <c r="P1455" s="4">
        <f t="shared" ca="1" si="144"/>
        <v>-1.5824639179901401</v>
      </c>
      <c r="Q1455" s="4">
        <f t="shared" ca="1" si="145"/>
        <v>1971.2049582996194</v>
      </c>
      <c r="R1455" s="4">
        <f t="shared" ca="1" si="146"/>
        <v>47.534914299619459</v>
      </c>
      <c r="S1455" s="4">
        <f t="shared" ca="1" si="147"/>
        <v>24.982439846242571</v>
      </c>
    </row>
    <row r="1456" spans="15:19" x14ac:dyDescent="0.2">
      <c r="O1456" s="4">
        <f t="shared" ca="1" si="143"/>
        <v>0.49623139527632121</v>
      </c>
      <c r="P1456" s="4">
        <f t="shared" ca="1" si="144"/>
        <v>-9.4466316554908183E-3</v>
      </c>
      <c r="Q1456" s="4">
        <f t="shared" ca="1" si="145"/>
        <v>1923.5504694504993</v>
      </c>
      <c r="R1456" s="4">
        <f t="shared" ca="1" si="146"/>
        <v>-0.11957454950061219</v>
      </c>
      <c r="S1456" s="4">
        <f t="shared" ca="1" si="147"/>
        <v>-6.0523987873156555E-2</v>
      </c>
    </row>
    <row r="1457" spans="15:19" x14ac:dyDescent="0.2">
      <c r="O1457" s="4">
        <f t="shared" ca="1" si="143"/>
        <v>0.79389196149162378</v>
      </c>
      <c r="P1457" s="4">
        <f t="shared" ca="1" si="144"/>
        <v>0.82000005289654021</v>
      </c>
      <c r="Q1457" s="4">
        <f t="shared" ca="1" si="145"/>
        <v>1898.4224189685956</v>
      </c>
      <c r="R1457" s="4">
        <f t="shared" ca="1" si="146"/>
        <v>-25.247625031404368</v>
      </c>
      <c r="S1457" s="4">
        <f t="shared" ca="1" si="147"/>
        <v>-12.521111835690183</v>
      </c>
    </row>
    <row r="1458" spans="15:19" x14ac:dyDescent="0.2">
      <c r="O1458" s="4">
        <f t="shared" ca="1" si="143"/>
        <v>0.2939530756900095</v>
      </c>
      <c r="P1458" s="4">
        <f t="shared" ca="1" si="144"/>
        <v>-0.5418727772979004</v>
      </c>
      <c r="Q1458" s="4">
        <f t="shared" ca="1" si="145"/>
        <v>1939.6802958935498</v>
      </c>
      <c r="R1458" s="4">
        <f t="shared" ca="1" si="146"/>
        <v>16.010251893549821</v>
      </c>
      <c r="S1458" s="4">
        <f t="shared" ca="1" si="147"/>
        <v>8.2088896353610519</v>
      </c>
    </row>
    <row r="1459" spans="15:19" x14ac:dyDescent="0.2">
      <c r="O1459" s="4">
        <f t="shared" ca="1" si="143"/>
        <v>0.19330605473711937</v>
      </c>
      <c r="P1459" s="4">
        <f t="shared" ca="1" si="144"/>
        <v>-0.86577764721795736</v>
      </c>
      <c r="Q1459" s="4">
        <f t="shared" ca="1" si="145"/>
        <v>1949.4929795467269</v>
      </c>
      <c r="R1459" s="4">
        <f t="shared" ca="1" si="146"/>
        <v>25.822935546726967</v>
      </c>
      <c r="S1459" s="4">
        <f t="shared" ca="1" si="147"/>
        <v>13.343266436446404</v>
      </c>
    </row>
    <row r="1460" spans="15:19" x14ac:dyDescent="0.2">
      <c r="O1460" s="4">
        <f t="shared" ca="1" si="143"/>
        <v>0.57145931573737596</v>
      </c>
      <c r="P1460" s="4">
        <f t="shared" ca="1" si="144"/>
        <v>0.18009069368607858</v>
      </c>
      <c r="Q1460" s="4">
        <f t="shared" ca="1" si="145"/>
        <v>1917.8084445945433</v>
      </c>
      <c r="R1460" s="4">
        <f t="shared" ca="1" si="146"/>
        <v>-5.8615994054566727</v>
      </c>
      <c r="S1460" s="4">
        <f t="shared" ca="1" si="147"/>
        <v>-2.9532128069032457</v>
      </c>
    </row>
    <row r="1461" spans="15:19" x14ac:dyDescent="0.2">
      <c r="O1461" s="4">
        <f t="shared" ca="1" si="143"/>
        <v>0.32548623982913649</v>
      </c>
      <c r="P1461" s="4">
        <f t="shared" ca="1" si="144"/>
        <v>-0.45241161687731596</v>
      </c>
      <c r="Q1461" s="4">
        <f t="shared" ca="1" si="145"/>
        <v>1936.9700740105939</v>
      </c>
      <c r="R1461" s="4">
        <f t="shared" ca="1" si="146"/>
        <v>13.3000300105939</v>
      </c>
      <c r="S1461" s="4">
        <f t="shared" ca="1" si="147"/>
        <v>6.8046122641950353</v>
      </c>
    </row>
    <row r="1462" spans="15:19" x14ac:dyDescent="0.2">
      <c r="O1462" s="4">
        <f t="shared" ca="1" si="143"/>
        <v>0.9909276061612059</v>
      </c>
      <c r="P1462" s="4">
        <f t="shared" ca="1" si="144"/>
        <v>2.3626501874188759</v>
      </c>
      <c r="Q1462" s="4">
        <f t="shared" ca="1" si="145"/>
        <v>1851.6879016353585</v>
      </c>
      <c r="R1462" s="4">
        <f t="shared" ca="1" si="146"/>
        <v>-71.982142364641504</v>
      </c>
      <c r="S1462" s="4">
        <f t="shared" ca="1" si="147"/>
        <v>-34.328865305563191</v>
      </c>
    </row>
    <row r="1463" spans="15:19" x14ac:dyDescent="0.2">
      <c r="O1463" s="4">
        <f t="shared" ca="1" si="143"/>
        <v>0.21589997979178044</v>
      </c>
      <c r="P1463" s="4">
        <f t="shared" ca="1" si="144"/>
        <v>-0.78611526921391395</v>
      </c>
      <c r="Q1463" s="4">
        <f t="shared" ca="1" si="145"/>
        <v>1947.0796113420242</v>
      </c>
      <c r="R1463" s="4">
        <f t="shared" ca="1" si="146"/>
        <v>23.409567342024275</v>
      </c>
      <c r="S1463" s="4">
        <f t="shared" ca="1" si="147"/>
        <v>12.073229411433513</v>
      </c>
    </row>
    <row r="1464" spans="15:19" x14ac:dyDescent="0.2">
      <c r="O1464" s="4">
        <f t="shared" ca="1" si="143"/>
        <v>0.96276463262569822</v>
      </c>
      <c r="P1464" s="4">
        <f t="shared" ca="1" si="144"/>
        <v>1.7837104036191009</v>
      </c>
      <c r="Q1464" s="4">
        <f t="shared" ca="1" si="145"/>
        <v>1869.2268566812274</v>
      </c>
      <c r="R1464" s="4">
        <f t="shared" ca="1" si="146"/>
        <v>-54.443187318772516</v>
      </c>
      <c r="S1464" s="4">
        <f t="shared" ca="1" si="147"/>
        <v>-26.353096814680026</v>
      </c>
    </row>
    <row r="1465" spans="15:19" x14ac:dyDescent="0.2">
      <c r="O1465" s="4">
        <f t="shared" ca="1" si="143"/>
        <v>0.31864286158229793</v>
      </c>
      <c r="P1465" s="4">
        <f t="shared" ca="1" si="144"/>
        <v>-0.47149719377347549</v>
      </c>
      <c r="Q1465" s="4">
        <f t="shared" ca="1" si="145"/>
        <v>1937.5482707152823</v>
      </c>
      <c r="R1465" s="4">
        <f t="shared" ca="1" si="146"/>
        <v>13.878226715282381</v>
      </c>
      <c r="S1465" s="4">
        <f t="shared" ca="1" si="147"/>
        <v>7.1036979393703206</v>
      </c>
    </row>
    <row r="1466" spans="15:19" x14ac:dyDescent="0.2">
      <c r="O1466" s="4">
        <f t="shared" ca="1" si="143"/>
        <v>0.15502414819390242</v>
      </c>
      <c r="P1466" s="4">
        <f t="shared" ca="1" si="144"/>
        <v>-1.0151206979419385</v>
      </c>
      <c r="Q1466" s="4">
        <f t="shared" ca="1" si="145"/>
        <v>1954.0173206377283</v>
      </c>
      <c r="R1466" s="4">
        <f t="shared" ca="1" si="146"/>
        <v>30.347276637728328</v>
      </c>
      <c r="S1466" s="4">
        <f t="shared" ca="1" si="147"/>
        <v>15.736982016785182</v>
      </c>
    </row>
    <row r="1467" spans="15:19" x14ac:dyDescent="0.2">
      <c r="O1467" s="4">
        <f t="shared" ca="1" si="143"/>
        <v>0.35956864932263644</v>
      </c>
      <c r="P1467" s="4">
        <f t="shared" ca="1" si="144"/>
        <v>-0.35961201311169988</v>
      </c>
      <c r="Q1467" s="4">
        <f t="shared" ca="1" si="145"/>
        <v>1934.1587141347238</v>
      </c>
      <c r="R1467" s="4">
        <f t="shared" ca="1" si="146"/>
        <v>10.488670134723861</v>
      </c>
      <c r="S1467" s="4">
        <f t="shared" ca="1" si="147"/>
        <v>5.3542501392909747</v>
      </c>
    </row>
    <row r="1468" spans="15:19" x14ac:dyDescent="0.2">
      <c r="O1468" s="4">
        <f t="shared" ca="1" si="143"/>
        <v>0.54406277523306401</v>
      </c>
      <c r="P1468" s="4">
        <f t="shared" ca="1" si="144"/>
        <v>0.11067452301074983</v>
      </c>
      <c r="Q1468" s="4">
        <f t="shared" ca="1" si="145"/>
        <v>1919.9114044031442</v>
      </c>
      <c r="R1468" s="4">
        <f t="shared" ca="1" si="146"/>
        <v>-3.7586395968558008</v>
      </c>
      <c r="S1468" s="4">
        <f t="shared" ca="1" si="147"/>
        <v>-1.8969093612212959</v>
      </c>
    </row>
    <row r="1469" spans="15:19" x14ac:dyDescent="0.2">
      <c r="O1469" s="4">
        <f t="shared" ca="1" si="143"/>
        <v>0.47753991929196538</v>
      </c>
      <c r="P1469" s="4">
        <f t="shared" ca="1" si="144"/>
        <v>-5.6328847180854444E-2</v>
      </c>
      <c r="Q1469" s="4">
        <f t="shared" ca="1" si="145"/>
        <v>1924.9707640883169</v>
      </c>
      <c r="R1469" s="4">
        <f t="shared" ca="1" si="146"/>
        <v>1.3007200883168935</v>
      </c>
      <c r="S1469" s="4">
        <f t="shared" ca="1" si="147"/>
        <v>0.65912595846592115</v>
      </c>
    </row>
    <row r="1470" spans="15:19" x14ac:dyDescent="0.2">
      <c r="O1470" s="4">
        <f t="shared" ca="1" si="143"/>
        <v>0.80697263075147208</v>
      </c>
      <c r="P1470" s="4">
        <f t="shared" ca="1" si="144"/>
        <v>0.8667942767890946</v>
      </c>
      <c r="Q1470" s="4">
        <f t="shared" ca="1" si="145"/>
        <v>1897.0047900333871</v>
      </c>
      <c r="R1470" s="4">
        <f t="shared" ca="1" si="146"/>
        <v>-26.665253966612909</v>
      </c>
      <c r="S1470" s="4">
        <f t="shared" ca="1" si="147"/>
        <v>-13.208771961544409</v>
      </c>
    </row>
    <row r="1471" spans="15:19" x14ac:dyDescent="0.2">
      <c r="O1471" s="4">
        <f t="shared" ca="1" si="143"/>
        <v>0.57295467710076453</v>
      </c>
      <c r="P1471" s="4">
        <f t="shared" ca="1" si="144"/>
        <v>0.18390160484449339</v>
      </c>
      <c r="Q1471" s="4">
        <f t="shared" ca="1" si="145"/>
        <v>1917.6929932101998</v>
      </c>
      <c r="R1471" s="4">
        <f t="shared" ca="1" si="146"/>
        <v>-5.9770507898001597</v>
      </c>
      <c r="S1471" s="4">
        <f t="shared" ca="1" si="147"/>
        <v>-3.0110990509349786</v>
      </c>
    </row>
    <row r="1472" spans="15:19" x14ac:dyDescent="0.2">
      <c r="O1472" s="4">
        <f t="shared" ca="1" si="143"/>
        <v>0.83215802788171489</v>
      </c>
      <c r="P1472" s="4">
        <f t="shared" ca="1" si="144"/>
        <v>0.96272819349167849</v>
      </c>
      <c r="Q1472" s="4">
        <f t="shared" ca="1" si="145"/>
        <v>1894.098476286252</v>
      </c>
      <c r="R1472" s="4">
        <f t="shared" ca="1" si="146"/>
        <v>-29.571567713747982</v>
      </c>
      <c r="S1472" s="4">
        <f t="shared" ca="1" si="147"/>
        <v>-14.613444300917541</v>
      </c>
    </row>
    <row r="1473" spans="15:19" x14ac:dyDescent="0.2">
      <c r="O1473" s="4">
        <f t="shared" ca="1" si="143"/>
        <v>7.1043388970270183E-2</v>
      </c>
      <c r="P1473" s="4">
        <f t="shared" ca="1" si="144"/>
        <v>-1.4680642255841789</v>
      </c>
      <c r="Q1473" s="4">
        <f t="shared" ca="1" si="145"/>
        <v>1967.7392246974121</v>
      </c>
      <c r="R1473" s="4">
        <f t="shared" ca="1" si="146"/>
        <v>44.069180697412094</v>
      </c>
      <c r="S1473" s="4">
        <f t="shared" ca="1" si="147"/>
        <v>23.098817089022845</v>
      </c>
    </row>
    <row r="1474" spans="15:19" x14ac:dyDescent="0.2">
      <c r="O1474" s="4">
        <f t="shared" ca="1" si="143"/>
        <v>0.51046070935365817</v>
      </c>
      <c r="P1474" s="4">
        <f t="shared" ca="1" si="144"/>
        <v>2.6224115267672439E-2</v>
      </c>
      <c r="Q1474" s="4">
        <f t="shared" ca="1" si="145"/>
        <v>1922.4698257562072</v>
      </c>
      <c r="R1474" s="4">
        <f t="shared" ca="1" si="146"/>
        <v>-1.2002182437927331</v>
      </c>
      <c r="S1474" s="4">
        <f t="shared" ca="1" si="147"/>
        <v>-0.60697583811086231</v>
      </c>
    </row>
    <row r="1475" spans="15:19" x14ac:dyDescent="0.2">
      <c r="O1475" s="4">
        <f t="shared" ref="O1475:O1538" ca="1" si="148">RAND()</f>
        <v>0.81821102444593874</v>
      </c>
      <c r="P1475" s="4">
        <f t="shared" ref="P1475:P1538" ca="1" si="149">NORMSINV(O1475)</f>
        <v>0.90856847957015896</v>
      </c>
      <c r="Q1475" s="4">
        <f t="shared" ref="Q1475:Q1538" ca="1" si="150">$B$4*(1+$B$17-$B$6/SQRT(252)*P1475)</f>
        <v>1895.7392424148675</v>
      </c>
      <c r="R1475" s="4">
        <f t="shared" ref="R1475:R1538" ca="1" si="151">Q1475-$B$4</f>
        <v>-27.930801585132485</v>
      </c>
      <c r="S1475" s="4">
        <f t="shared" ref="S1475:S1538" ca="1" si="152">R1475*$B$12+0.5*$B$13*R1475^2</f>
        <v>-13.821278558291745</v>
      </c>
    </row>
    <row r="1476" spans="15:19" x14ac:dyDescent="0.2">
      <c r="O1476" s="4">
        <f t="shared" ca="1" si="148"/>
        <v>0.74517643473323014</v>
      </c>
      <c r="P1476" s="4">
        <f t="shared" ca="1" si="149"/>
        <v>0.65938724516891878</v>
      </c>
      <c r="Q1476" s="4">
        <f t="shared" ca="1" si="150"/>
        <v>1903.2881768476564</v>
      </c>
      <c r="R1476" s="4">
        <f t="shared" ca="1" si="151"/>
        <v>-20.381867152343602</v>
      </c>
      <c r="S1476" s="4">
        <f t="shared" ca="1" si="152"/>
        <v>-10.148395886182838</v>
      </c>
    </row>
    <row r="1477" spans="15:19" x14ac:dyDescent="0.2">
      <c r="O1477" s="4">
        <f t="shared" ca="1" si="148"/>
        <v>0.24059009031437362</v>
      </c>
      <c r="P1477" s="4">
        <f t="shared" ca="1" si="149"/>
        <v>-0.70440566252266212</v>
      </c>
      <c r="Q1477" s="4">
        <f t="shared" ca="1" si="150"/>
        <v>1944.604222435137</v>
      </c>
      <c r="R1477" s="4">
        <f t="shared" ca="1" si="151"/>
        <v>20.934178435137028</v>
      </c>
      <c r="S1477" s="4">
        <f t="shared" ca="1" si="152"/>
        <v>10.775480119126318</v>
      </c>
    </row>
    <row r="1478" spans="15:19" x14ac:dyDescent="0.2">
      <c r="O1478" s="4">
        <f t="shared" ca="1" si="148"/>
        <v>0.92410073796087799</v>
      </c>
      <c r="P1478" s="4">
        <f t="shared" ca="1" si="149"/>
        <v>1.4332075800854582</v>
      </c>
      <c r="Q1478" s="4">
        <f t="shared" ca="1" si="150"/>
        <v>1879.8453241582058</v>
      </c>
      <c r="R1478" s="4">
        <f t="shared" ca="1" si="151"/>
        <v>-43.824719841794149</v>
      </c>
      <c r="S1478" s="4">
        <f t="shared" ca="1" si="152"/>
        <v>-21.402682817374419</v>
      </c>
    </row>
    <row r="1479" spans="15:19" x14ac:dyDescent="0.2">
      <c r="O1479" s="4">
        <f t="shared" ca="1" si="148"/>
        <v>0.42464591240281269</v>
      </c>
      <c r="P1479" s="4">
        <f t="shared" ca="1" si="149"/>
        <v>-0.19002208460611389</v>
      </c>
      <c r="Q1479" s="4">
        <f t="shared" ca="1" si="150"/>
        <v>1929.0209947802696</v>
      </c>
      <c r="R1479" s="4">
        <f t="shared" ca="1" si="151"/>
        <v>5.3509507802696135</v>
      </c>
      <c r="S1479" s="4">
        <f t="shared" ca="1" si="152"/>
        <v>2.7203591775681804</v>
      </c>
    </row>
    <row r="1480" spans="15:19" x14ac:dyDescent="0.2">
      <c r="O1480" s="4">
        <f t="shared" ca="1" si="148"/>
        <v>4.9289124142932961E-2</v>
      </c>
      <c r="P1480" s="4">
        <f t="shared" ca="1" si="149"/>
        <v>-1.6517856830904165</v>
      </c>
      <c r="Q1480" s="4">
        <f t="shared" ca="1" si="150"/>
        <v>1973.3050580955153</v>
      </c>
      <c r="R1480" s="4">
        <f t="shared" ca="1" si="151"/>
        <v>49.635014095515317</v>
      </c>
      <c r="S1480" s="4">
        <f t="shared" ca="1" si="152"/>
        <v>26.128600144403414</v>
      </c>
    </row>
    <row r="1481" spans="15:19" x14ac:dyDescent="0.2">
      <c r="O1481" s="4">
        <f t="shared" ca="1" si="148"/>
        <v>0.67871283273899563</v>
      </c>
      <c r="P1481" s="4">
        <f t="shared" ca="1" si="149"/>
        <v>0.46410246675501582</v>
      </c>
      <c r="Q1481" s="4">
        <f t="shared" ca="1" si="150"/>
        <v>1909.2043205392577</v>
      </c>
      <c r="R1481" s="4">
        <f t="shared" ca="1" si="151"/>
        <v>-14.465723460742311</v>
      </c>
      <c r="S1481" s="4">
        <f t="shared" ca="1" si="152"/>
        <v>-7.2375087580579507</v>
      </c>
    </row>
    <row r="1482" spans="15:19" x14ac:dyDescent="0.2">
      <c r="O1482" s="4">
        <f t="shared" ca="1" si="148"/>
        <v>0.27872308837367821</v>
      </c>
      <c r="P1482" s="4">
        <f t="shared" ca="1" si="149"/>
        <v>-0.58663901079883507</v>
      </c>
      <c r="Q1482" s="4">
        <f t="shared" ca="1" si="150"/>
        <v>1941.0364869498846</v>
      </c>
      <c r="R1482" s="4">
        <f t="shared" ca="1" si="151"/>
        <v>17.366442949884686</v>
      </c>
      <c r="S1482" s="4">
        <f t="shared" ca="1" si="152"/>
        <v>8.9138328915957086</v>
      </c>
    </row>
    <row r="1483" spans="15:19" x14ac:dyDescent="0.2">
      <c r="O1483" s="4">
        <f t="shared" ca="1" si="148"/>
        <v>0.75956606021936368</v>
      </c>
      <c r="P1483" s="4">
        <f t="shared" ca="1" si="149"/>
        <v>0.70490737612590892</v>
      </c>
      <c r="Q1483" s="4">
        <f t="shared" ca="1" si="150"/>
        <v>1901.9091465013626</v>
      </c>
      <c r="R1483" s="4">
        <f t="shared" ca="1" si="151"/>
        <v>-21.760897498637405</v>
      </c>
      <c r="S1483" s="4">
        <f t="shared" ca="1" si="152"/>
        <v>-10.822817258224052</v>
      </c>
    </row>
    <row r="1484" spans="15:19" x14ac:dyDescent="0.2">
      <c r="O1484" s="4">
        <f t="shared" ca="1" si="148"/>
        <v>0.13796196592139942</v>
      </c>
      <c r="P1484" s="4">
        <f t="shared" ca="1" si="149"/>
        <v>-1.0895216070362677</v>
      </c>
      <c r="Q1484" s="4">
        <f t="shared" ca="1" si="150"/>
        <v>1956.2712928754154</v>
      </c>
      <c r="R1484" s="4">
        <f t="shared" ca="1" si="151"/>
        <v>32.601248875415422</v>
      </c>
      <c r="S1484" s="4">
        <f t="shared" ca="1" si="152"/>
        <v>16.935721544153225</v>
      </c>
    </row>
    <row r="1485" spans="15:19" x14ac:dyDescent="0.2">
      <c r="O1485" s="4">
        <f t="shared" ca="1" si="148"/>
        <v>0.10161157623948402</v>
      </c>
      <c r="P1485" s="4">
        <f t="shared" ca="1" si="149"/>
        <v>-1.2724221943520926</v>
      </c>
      <c r="Q1485" s="4">
        <f t="shared" ca="1" si="150"/>
        <v>1961.812258047546</v>
      </c>
      <c r="R1485" s="4">
        <f t="shared" ca="1" si="151"/>
        <v>38.142214047546076</v>
      </c>
      <c r="S1485" s="4">
        <f t="shared" ca="1" si="152"/>
        <v>19.900178258241255</v>
      </c>
    </row>
    <row r="1486" spans="15:19" x14ac:dyDescent="0.2">
      <c r="O1486" s="4">
        <f t="shared" ca="1" si="148"/>
        <v>0.24003290286685008</v>
      </c>
      <c r="P1486" s="4">
        <f t="shared" ca="1" si="149"/>
        <v>-0.70619672664113042</v>
      </c>
      <c r="Q1486" s="4">
        <f t="shared" ca="1" si="150"/>
        <v>1944.6584826430847</v>
      </c>
      <c r="R1486" s="4">
        <f t="shared" ca="1" si="151"/>
        <v>20.988438643084692</v>
      </c>
      <c r="S1486" s="4">
        <f t="shared" ca="1" si="152"/>
        <v>10.803873140410467</v>
      </c>
    </row>
    <row r="1487" spans="15:19" x14ac:dyDescent="0.2">
      <c r="O1487" s="4">
        <f t="shared" ca="1" si="148"/>
        <v>0.58184518228892923</v>
      </c>
      <c r="P1487" s="4">
        <f t="shared" ca="1" si="149"/>
        <v>0.20661616423750856</v>
      </c>
      <c r="Q1487" s="4">
        <f t="shared" ca="1" si="150"/>
        <v>1917.004856641892</v>
      </c>
      <c r="R1487" s="4">
        <f t="shared" ca="1" si="151"/>
        <v>-6.6651873581079144</v>
      </c>
      <c r="S1487" s="4">
        <f t="shared" ca="1" si="152"/>
        <v>-3.3558991881552021</v>
      </c>
    </row>
    <row r="1488" spans="15:19" x14ac:dyDescent="0.2">
      <c r="O1488" s="4">
        <f t="shared" ca="1" si="148"/>
        <v>0.38703961804007259</v>
      </c>
      <c r="P1488" s="4">
        <f t="shared" ca="1" si="149"/>
        <v>-0.28704320846757037</v>
      </c>
      <c r="Q1488" s="4">
        <f t="shared" ca="1" si="150"/>
        <v>1931.9602454200121</v>
      </c>
      <c r="R1488" s="4">
        <f t="shared" ca="1" si="151"/>
        <v>8.2902014200121812</v>
      </c>
      <c r="S1488" s="4">
        <f t="shared" ca="1" si="152"/>
        <v>4.2245579861673601</v>
      </c>
    </row>
    <row r="1489" spans="15:19" x14ac:dyDescent="0.2">
      <c r="O1489" s="4">
        <f t="shared" ca="1" si="148"/>
        <v>0.66597532661727254</v>
      </c>
      <c r="P1489" s="4">
        <f t="shared" ca="1" si="149"/>
        <v>0.42882669986460031</v>
      </c>
      <c r="Q1489" s="4">
        <f t="shared" ca="1" si="150"/>
        <v>1910.2729983309939</v>
      </c>
      <c r="R1489" s="4">
        <f t="shared" ca="1" si="151"/>
        <v>-13.397045669006047</v>
      </c>
      <c r="S1489" s="4">
        <f t="shared" ca="1" si="152"/>
        <v>-6.7086546168630274</v>
      </c>
    </row>
    <row r="1490" spans="15:19" x14ac:dyDescent="0.2">
      <c r="O1490" s="4">
        <f t="shared" ca="1" si="148"/>
        <v>0.7258674655990105</v>
      </c>
      <c r="P1490" s="4">
        <f t="shared" ca="1" si="149"/>
        <v>0.60036190738362383</v>
      </c>
      <c r="Q1490" s="4">
        <f t="shared" ca="1" si="150"/>
        <v>1905.0763468351961</v>
      </c>
      <c r="R1490" s="4">
        <f t="shared" ca="1" si="151"/>
        <v>-18.593697164803871</v>
      </c>
      <c r="S1490" s="4">
        <f t="shared" ca="1" si="152"/>
        <v>-9.2715773865013276</v>
      </c>
    </row>
    <row r="1491" spans="15:19" x14ac:dyDescent="0.2">
      <c r="O1491" s="4">
        <f t="shared" ca="1" si="148"/>
        <v>0.21976670096130457</v>
      </c>
      <c r="P1491" s="4">
        <f t="shared" ca="1" si="149"/>
        <v>-0.77298137738236627</v>
      </c>
      <c r="Q1491" s="4">
        <f t="shared" ca="1" si="150"/>
        <v>1946.6817206721187</v>
      </c>
      <c r="R1491" s="4">
        <f t="shared" ca="1" si="151"/>
        <v>23.01167667211871</v>
      </c>
      <c r="S1491" s="4">
        <f t="shared" ca="1" si="152"/>
        <v>11.864294452375816</v>
      </c>
    </row>
    <row r="1492" spans="15:19" x14ac:dyDescent="0.2">
      <c r="O1492" s="4">
        <f t="shared" ca="1" si="148"/>
        <v>0.98817101676829067</v>
      </c>
      <c r="P1492" s="4">
        <f t="shared" ca="1" si="149"/>
        <v>2.2626387646158559</v>
      </c>
      <c r="Q1492" s="4">
        <f t="shared" ca="1" si="150"/>
        <v>1854.7177432487692</v>
      </c>
      <c r="R1492" s="4">
        <f t="shared" ca="1" si="151"/>
        <v>-68.952300751230723</v>
      </c>
      <c r="S1492" s="4">
        <f t="shared" ca="1" si="152"/>
        <v>-32.968952043345418</v>
      </c>
    </row>
    <row r="1493" spans="15:19" x14ac:dyDescent="0.2">
      <c r="O1493" s="4">
        <f t="shared" ca="1" si="148"/>
        <v>0.52894013041301924</v>
      </c>
      <c r="P1493" s="4">
        <f t="shared" ca="1" si="149"/>
        <v>7.2605890474509091E-2</v>
      </c>
      <c r="Q1493" s="4">
        <f t="shared" ca="1" si="150"/>
        <v>1921.0646919356204</v>
      </c>
      <c r="R1493" s="4">
        <f t="shared" ca="1" si="151"/>
        <v>-2.6053520643795309</v>
      </c>
      <c r="S1493" s="4">
        <f t="shared" ca="1" si="152"/>
        <v>-1.3160916055041241</v>
      </c>
    </row>
    <row r="1494" spans="15:19" x14ac:dyDescent="0.2">
      <c r="O1494" s="4">
        <f t="shared" ca="1" si="148"/>
        <v>7.8829942572336997E-2</v>
      </c>
      <c r="P1494" s="4">
        <f t="shared" ca="1" si="149"/>
        <v>-1.4129858483410316</v>
      </c>
      <c r="Q1494" s="4">
        <f t="shared" ca="1" si="150"/>
        <v>1966.0706277042559</v>
      </c>
      <c r="R1494" s="4">
        <f t="shared" ca="1" si="151"/>
        <v>42.400583704255951</v>
      </c>
      <c r="S1494" s="4">
        <f t="shared" ca="1" si="152"/>
        <v>22.195423701354166</v>
      </c>
    </row>
    <row r="1495" spans="15:19" x14ac:dyDescent="0.2">
      <c r="O1495" s="4">
        <f t="shared" ca="1" si="148"/>
        <v>0.53201717266652404</v>
      </c>
      <c r="P1495" s="4">
        <f t="shared" ca="1" si="149"/>
        <v>8.0341497457111957E-2</v>
      </c>
      <c r="Q1495" s="4">
        <f t="shared" ca="1" si="150"/>
        <v>1920.8303420655357</v>
      </c>
      <c r="R1495" s="4">
        <f t="shared" ca="1" si="151"/>
        <v>-2.8397019344643013</v>
      </c>
      <c r="S1495" s="4">
        <f t="shared" ca="1" si="152"/>
        <v>-1.4342023654277458</v>
      </c>
    </row>
    <row r="1496" spans="15:19" x14ac:dyDescent="0.2">
      <c r="O1496" s="4">
        <f t="shared" ca="1" si="148"/>
        <v>0.19797654057823566</v>
      </c>
      <c r="P1496" s="4">
        <f t="shared" ca="1" si="149"/>
        <v>-0.84887099300276037</v>
      </c>
      <c r="Q1496" s="4">
        <f t="shared" ca="1" si="150"/>
        <v>1948.9807932079157</v>
      </c>
      <c r="R1496" s="4">
        <f t="shared" ca="1" si="151"/>
        <v>25.310749207915705</v>
      </c>
      <c r="S1496" s="4">
        <f t="shared" ca="1" si="152"/>
        <v>13.073331562165967</v>
      </c>
    </row>
    <row r="1497" spans="15:19" x14ac:dyDescent="0.2">
      <c r="O1497" s="4">
        <f t="shared" ca="1" si="148"/>
        <v>5.7131280138318918E-2</v>
      </c>
      <c r="P1497" s="4">
        <f t="shared" ca="1" si="149"/>
        <v>-1.5793205077365755</v>
      </c>
      <c r="Q1497" s="4">
        <f t="shared" ca="1" si="150"/>
        <v>1971.1097288255519</v>
      </c>
      <c r="R1497" s="4">
        <f t="shared" ca="1" si="151"/>
        <v>47.439684825551922</v>
      </c>
      <c r="S1497" s="4">
        <f t="shared" ca="1" si="152"/>
        <v>24.930552064484331</v>
      </c>
    </row>
    <row r="1498" spans="15:19" x14ac:dyDescent="0.2">
      <c r="O1498" s="4">
        <f t="shared" ca="1" si="148"/>
        <v>0.45208756320258281</v>
      </c>
      <c r="P1498" s="4">
        <f t="shared" ca="1" si="149"/>
        <v>-0.12038884642390334</v>
      </c>
      <c r="Q1498" s="4">
        <f t="shared" ca="1" si="150"/>
        <v>1926.9114589211854</v>
      </c>
      <c r="R1498" s="4">
        <f t="shared" ca="1" si="151"/>
        <v>3.2414149211854237</v>
      </c>
      <c r="S1498" s="4">
        <f t="shared" ca="1" si="152"/>
        <v>1.6451129654669814</v>
      </c>
    </row>
    <row r="1499" spans="15:19" x14ac:dyDescent="0.2">
      <c r="O1499" s="4">
        <f t="shared" ca="1" si="148"/>
        <v>0.46793150828742858</v>
      </c>
      <c r="P1499" s="4">
        <f t="shared" ca="1" si="149"/>
        <v>-8.0470551731754811E-2</v>
      </c>
      <c r="Q1499" s="4">
        <f t="shared" ca="1" si="150"/>
        <v>1925.7021359558189</v>
      </c>
      <c r="R1499" s="4">
        <f t="shared" ca="1" si="151"/>
        <v>2.0320919558189416</v>
      </c>
      <c r="S1499" s="4">
        <f t="shared" ca="1" si="152"/>
        <v>1.0303458029154811</v>
      </c>
    </row>
    <row r="1500" spans="15:19" x14ac:dyDescent="0.2">
      <c r="O1500" s="4">
        <f t="shared" ca="1" si="148"/>
        <v>0.77533734545958455</v>
      </c>
      <c r="P1500" s="4">
        <f t="shared" ca="1" si="149"/>
        <v>0.75654031762620799</v>
      </c>
      <c r="Q1500" s="4">
        <f t="shared" ca="1" si="150"/>
        <v>1900.3449288310617</v>
      </c>
      <c r="R1500" s="4">
        <f t="shared" ca="1" si="151"/>
        <v>-23.325115168938282</v>
      </c>
      <c r="S1500" s="4">
        <f t="shared" ca="1" si="152"/>
        <v>-11.585931276752586</v>
      </c>
    </row>
    <row r="1501" spans="15:19" x14ac:dyDescent="0.2">
      <c r="O1501" s="4">
        <f t="shared" ca="1" si="148"/>
        <v>0.39958143121739209</v>
      </c>
      <c r="P1501" s="4">
        <f t="shared" ca="1" si="149"/>
        <v>-0.25443066573393519</v>
      </c>
      <c r="Q1501" s="4">
        <f t="shared" ca="1" si="150"/>
        <v>1930.9722498858607</v>
      </c>
      <c r="R1501" s="4">
        <f t="shared" ca="1" si="151"/>
        <v>7.3022058858607579</v>
      </c>
      <c r="S1501" s="4">
        <f t="shared" ca="1" si="152"/>
        <v>3.7181539749033932</v>
      </c>
    </row>
    <row r="1502" spans="15:19" x14ac:dyDescent="0.2">
      <c r="O1502" s="4">
        <f t="shared" ca="1" si="148"/>
        <v>0.5567188550157216</v>
      </c>
      <c r="P1502" s="4">
        <f t="shared" ca="1" si="149"/>
        <v>0.14265546587763603</v>
      </c>
      <c r="Q1502" s="4">
        <f t="shared" ca="1" si="150"/>
        <v>1918.9425431589136</v>
      </c>
      <c r="R1502" s="4">
        <f t="shared" ca="1" si="151"/>
        <v>-4.7275008410863393</v>
      </c>
      <c r="S1502" s="4">
        <f t="shared" ca="1" si="152"/>
        <v>-2.3840095335070974</v>
      </c>
    </row>
    <row r="1503" spans="15:19" x14ac:dyDescent="0.2">
      <c r="O1503" s="4">
        <f t="shared" ca="1" si="148"/>
        <v>0.46452025712878597</v>
      </c>
      <c r="P1503" s="4">
        <f t="shared" ca="1" si="149"/>
        <v>-8.9052088027949741E-2</v>
      </c>
      <c r="Q1503" s="4">
        <f t="shared" ca="1" si="150"/>
        <v>1925.9621132169007</v>
      </c>
      <c r="R1503" s="4">
        <f t="shared" ca="1" si="151"/>
        <v>2.2920692169006998</v>
      </c>
      <c r="S1503" s="4">
        <f t="shared" ca="1" si="152"/>
        <v>1.1624064594665002</v>
      </c>
    </row>
    <row r="1504" spans="15:19" x14ac:dyDescent="0.2">
      <c r="O1504" s="4">
        <f t="shared" ca="1" si="148"/>
        <v>0.41930405465497333</v>
      </c>
      <c r="P1504" s="4">
        <f t="shared" ca="1" si="149"/>
        <v>-0.20367419446967033</v>
      </c>
      <c r="Q1504" s="4">
        <f t="shared" ca="1" si="150"/>
        <v>1929.4345848424462</v>
      </c>
      <c r="R1504" s="4">
        <f t="shared" ca="1" si="151"/>
        <v>5.7645408424461948</v>
      </c>
      <c r="S1504" s="4">
        <f t="shared" ca="1" si="152"/>
        <v>2.9315939199126344</v>
      </c>
    </row>
    <row r="1505" spans="15:19" x14ac:dyDescent="0.2">
      <c r="O1505" s="4">
        <f t="shared" ca="1" si="148"/>
        <v>5.6782391552667622E-2</v>
      </c>
      <c r="P1505" s="4">
        <f t="shared" ca="1" si="149"/>
        <v>-1.5823715167574455</v>
      </c>
      <c r="Q1505" s="4">
        <f t="shared" ca="1" si="150"/>
        <v>1971.2021590083775</v>
      </c>
      <c r="R1505" s="4">
        <f t="shared" ca="1" si="151"/>
        <v>47.532115008377559</v>
      </c>
      <c r="S1505" s="4">
        <f t="shared" ca="1" si="152"/>
        <v>24.980914488211621</v>
      </c>
    </row>
    <row r="1506" spans="15:19" x14ac:dyDescent="0.2">
      <c r="O1506" s="4">
        <f t="shared" ca="1" si="148"/>
        <v>0.3481247712690213</v>
      </c>
      <c r="P1506" s="4">
        <f t="shared" ca="1" si="149"/>
        <v>-0.39038815881758804</v>
      </c>
      <c r="Q1506" s="4">
        <f t="shared" ca="1" si="150"/>
        <v>1935.0910761024536</v>
      </c>
      <c r="R1506" s="4">
        <f t="shared" ca="1" si="151"/>
        <v>11.421032102453637</v>
      </c>
      <c r="S1506" s="4">
        <f t="shared" ca="1" si="152"/>
        <v>5.8345364175283638</v>
      </c>
    </row>
    <row r="1507" spans="15:19" x14ac:dyDescent="0.2">
      <c r="O1507" s="4">
        <f t="shared" ca="1" si="148"/>
        <v>0.42839102791248829</v>
      </c>
      <c r="P1507" s="4">
        <f t="shared" ca="1" si="149"/>
        <v>-0.18047197249339567</v>
      </c>
      <c r="Q1507" s="4">
        <f t="shared" ca="1" si="150"/>
        <v>1928.73167455783</v>
      </c>
      <c r="R1507" s="4">
        <f t="shared" ca="1" si="151"/>
        <v>5.0616305578300853</v>
      </c>
      <c r="S1507" s="4">
        <f t="shared" ca="1" si="152"/>
        <v>2.5726761224256758</v>
      </c>
    </row>
    <row r="1508" spans="15:19" x14ac:dyDescent="0.2">
      <c r="O1508" s="4">
        <f t="shared" ca="1" si="148"/>
        <v>0.68425524446732267</v>
      </c>
      <c r="P1508" s="4">
        <f t="shared" ca="1" si="149"/>
        <v>0.47963140524307329</v>
      </c>
      <c r="Q1508" s="4">
        <f t="shared" ca="1" si="150"/>
        <v>1908.7338720372311</v>
      </c>
      <c r="R1508" s="4">
        <f t="shared" ca="1" si="151"/>
        <v>-14.936171962768867</v>
      </c>
      <c r="S1508" s="4">
        <f t="shared" ca="1" si="152"/>
        <v>-7.4700237846395936</v>
      </c>
    </row>
    <row r="1509" spans="15:19" x14ac:dyDescent="0.2">
      <c r="O1509" s="4">
        <f t="shared" ca="1" si="148"/>
        <v>0.93210691534278844</v>
      </c>
      <c r="P1509" s="4">
        <f t="shared" ca="1" si="149"/>
        <v>1.4916681246471502</v>
      </c>
      <c r="Q1509" s="4">
        <f t="shared" ca="1" si="150"/>
        <v>1878.0742645562987</v>
      </c>
      <c r="R1509" s="4">
        <f t="shared" ca="1" si="151"/>
        <v>-45.595779443701304</v>
      </c>
      <c r="S1509" s="4">
        <f t="shared" ca="1" si="152"/>
        <v>-22.234743375225133</v>
      </c>
    </row>
    <row r="1510" spans="15:19" x14ac:dyDescent="0.2">
      <c r="O1510" s="4">
        <f t="shared" ca="1" si="148"/>
        <v>0.31452248385612902</v>
      </c>
      <c r="P1510" s="4">
        <f t="shared" ca="1" si="149"/>
        <v>-0.48307150228325796</v>
      </c>
      <c r="Q1510" s="4">
        <f t="shared" ca="1" si="150"/>
        <v>1937.898913877699</v>
      </c>
      <c r="R1510" s="4">
        <f t="shared" ca="1" si="151"/>
        <v>14.228869877699026</v>
      </c>
      <c r="S1510" s="4">
        <f t="shared" ca="1" si="152"/>
        <v>7.2852088383836193</v>
      </c>
    </row>
    <row r="1511" spans="15:19" x14ac:dyDescent="0.2">
      <c r="O1511" s="4">
        <f t="shared" ca="1" si="148"/>
        <v>2.3732274082850613E-2</v>
      </c>
      <c r="P1511" s="4">
        <f t="shared" ca="1" si="149"/>
        <v>-1.9821312914222897</v>
      </c>
      <c r="Q1511" s="4">
        <f t="shared" ca="1" si="150"/>
        <v>1983.3128636329161</v>
      </c>
      <c r="R1511" s="4">
        <f t="shared" ca="1" si="151"/>
        <v>59.642819632916144</v>
      </c>
      <c r="S1511" s="4">
        <f t="shared" ca="1" si="152"/>
        <v>31.639832983339559</v>
      </c>
    </row>
    <row r="1512" spans="15:19" x14ac:dyDescent="0.2">
      <c r="O1512" s="4">
        <f t="shared" ca="1" si="148"/>
        <v>3.5294411831058192E-2</v>
      </c>
      <c r="P1512" s="4">
        <f t="shared" ca="1" si="149"/>
        <v>-1.8081135889023638</v>
      </c>
      <c r="Q1512" s="4">
        <f t="shared" ca="1" si="150"/>
        <v>1978.0410050612863</v>
      </c>
      <c r="R1512" s="4">
        <f t="shared" ca="1" si="151"/>
        <v>54.37096106128638</v>
      </c>
      <c r="S1512" s="4">
        <f t="shared" ca="1" si="152"/>
        <v>28.726491665388888</v>
      </c>
    </row>
    <row r="1513" spans="15:19" x14ac:dyDescent="0.2">
      <c r="O1513" s="4">
        <f t="shared" ca="1" si="148"/>
        <v>0.50642907786912061</v>
      </c>
      <c r="P1513" s="4">
        <f t="shared" ca="1" si="149"/>
        <v>1.6116005962713544E-2</v>
      </c>
      <c r="Q1513" s="4">
        <f t="shared" ca="1" si="150"/>
        <v>1922.7760504788112</v>
      </c>
      <c r="R1513" s="4">
        <f t="shared" ca="1" si="151"/>
        <v>-0.89399352118880415</v>
      </c>
      <c r="S1513" s="4">
        <f t="shared" ca="1" si="152"/>
        <v>-0.45222293734360958</v>
      </c>
    </row>
    <row r="1514" spans="15:19" x14ac:dyDescent="0.2">
      <c r="O1514" s="4">
        <f t="shared" ca="1" si="148"/>
        <v>0.90985185576835759</v>
      </c>
      <c r="P1514" s="4">
        <f t="shared" ca="1" si="149"/>
        <v>1.3398433202003965</v>
      </c>
      <c r="Q1514" s="4">
        <f t="shared" ca="1" si="150"/>
        <v>1882.6737902661441</v>
      </c>
      <c r="R1514" s="4">
        <f t="shared" ca="1" si="151"/>
        <v>-40.996253733855838</v>
      </c>
      <c r="S1514" s="4">
        <f t="shared" ca="1" si="152"/>
        <v>-20.068546869491509</v>
      </c>
    </row>
    <row r="1515" spans="15:19" x14ac:dyDescent="0.2">
      <c r="O1515" s="4">
        <f t="shared" ca="1" si="148"/>
        <v>0.68494262647742088</v>
      </c>
      <c r="P1515" s="4">
        <f t="shared" ca="1" si="149"/>
        <v>0.48156534832639986</v>
      </c>
      <c r="Q1515" s="4">
        <f t="shared" ca="1" si="150"/>
        <v>1908.6752833173869</v>
      </c>
      <c r="R1515" s="4">
        <f t="shared" ca="1" si="151"/>
        <v>-14.994760682613105</v>
      </c>
      <c r="S1515" s="4">
        <f t="shared" ca="1" si="152"/>
        <v>-7.4989681257842689</v>
      </c>
    </row>
    <row r="1516" spans="15:19" x14ac:dyDescent="0.2">
      <c r="O1516" s="4">
        <f t="shared" ca="1" si="148"/>
        <v>0.66979278229905703</v>
      </c>
      <c r="P1516" s="4">
        <f t="shared" ca="1" si="149"/>
        <v>0.43934104812351665</v>
      </c>
      <c r="Q1516" s="4">
        <f t="shared" ca="1" si="150"/>
        <v>1909.9544666173167</v>
      </c>
      <c r="R1516" s="4">
        <f t="shared" ca="1" si="151"/>
        <v>-13.71557738268325</v>
      </c>
      <c r="S1516" s="4">
        <f t="shared" ca="1" si="152"/>
        <v>-6.8663829467399315</v>
      </c>
    </row>
    <row r="1517" spans="15:19" x14ac:dyDescent="0.2">
      <c r="O1517" s="4">
        <f t="shared" ca="1" si="148"/>
        <v>0.17164366447861268</v>
      </c>
      <c r="P1517" s="4">
        <f t="shared" ca="1" si="149"/>
        <v>-0.94768992989055156</v>
      </c>
      <c r="Q1517" s="4">
        <f t="shared" ca="1" si="150"/>
        <v>1951.9745085134698</v>
      </c>
      <c r="R1517" s="4">
        <f t="shared" ca="1" si="151"/>
        <v>28.304464513469838</v>
      </c>
      <c r="S1517" s="4">
        <f t="shared" ca="1" si="152"/>
        <v>14.654117719499819</v>
      </c>
    </row>
    <row r="1518" spans="15:19" x14ac:dyDescent="0.2">
      <c r="O1518" s="4">
        <f t="shared" ca="1" si="148"/>
        <v>0.78789162202566454</v>
      </c>
      <c r="P1518" s="4">
        <f t="shared" ca="1" si="149"/>
        <v>0.79912703323967804</v>
      </c>
      <c r="Q1518" s="4">
        <f t="shared" ca="1" si="150"/>
        <v>1899.054766172359</v>
      </c>
      <c r="R1518" s="4">
        <f t="shared" ca="1" si="151"/>
        <v>-24.615277827640966</v>
      </c>
      <c r="S1518" s="4">
        <f t="shared" ca="1" si="152"/>
        <v>-12.213846651645712</v>
      </c>
    </row>
    <row r="1519" spans="15:19" x14ac:dyDescent="0.2">
      <c r="O1519" s="4">
        <f t="shared" ca="1" si="148"/>
        <v>0.56884101829252887</v>
      </c>
      <c r="P1519" s="4">
        <f t="shared" ca="1" si="149"/>
        <v>0.17342425221132315</v>
      </c>
      <c r="Q1519" s="4">
        <f t="shared" ca="1" si="150"/>
        <v>1918.0104041430377</v>
      </c>
      <c r="R1519" s="4">
        <f t="shared" ca="1" si="151"/>
        <v>-5.6596398569622579</v>
      </c>
      <c r="S1519" s="4">
        <f t="shared" ca="1" si="152"/>
        <v>-2.8519260838385736</v>
      </c>
    </row>
    <row r="1520" spans="15:19" x14ac:dyDescent="0.2">
      <c r="O1520" s="4">
        <f t="shared" ca="1" si="148"/>
        <v>0.70301971816806974</v>
      </c>
      <c r="P1520" s="4">
        <f t="shared" ca="1" si="149"/>
        <v>0.53310548316523154</v>
      </c>
      <c r="Q1520" s="4">
        <f t="shared" ca="1" si="150"/>
        <v>1907.1138772207746</v>
      </c>
      <c r="R1520" s="4">
        <f t="shared" ca="1" si="151"/>
        <v>-16.55616677922535</v>
      </c>
      <c r="S1520" s="4">
        <f t="shared" ca="1" si="152"/>
        <v>-8.2693134045206378</v>
      </c>
    </row>
    <row r="1521" spans="15:19" x14ac:dyDescent="0.2">
      <c r="O1521" s="4">
        <f t="shared" ca="1" si="148"/>
        <v>0.89870163310118945</v>
      </c>
      <c r="P1521" s="4">
        <f t="shared" ca="1" si="149"/>
        <v>1.2741881782940792</v>
      </c>
      <c r="Q1521" s="4">
        <f t="shared" ca="1" si="150"/>
        <v>1884.6628098751737</v>
      </c>
      <c r="R1521" s="4">
        <f t="shared" ca="1" si="151"/>
        <v>-39.007234124826255</v>
      </c>
      <c r="S1521" s="4">
        <f t="shared" ca="1" si="152"/>
        <v>-19.126461978928614</v>
      </c>
    </row>
    <row r="1522" spans="15:19" x14ac:dyDescent="0.2">
      <c r="O1522" s="4">
        <f t="shared" ca="1" si="148"/>
        <v>0.15500694196384712</v>
      </c>
      <c r="P1522" s="4">
        <f t="shared" ca="1" si="149"/>
        <v>-1.0151929009514251</v>
      </c>
      <c r="Q1522" s="4">
        <f t="shared" ca="1" si="150"/>
        <v>1954.0195080246949</v>
      </c>
      <c r="R1522" s="4">
        <f t="shared" ca="1" si="151"/>
        <v>30.349464024694953</v>
      </c>
      <c r="S1522" s="4">
        <f t="shared" ca="1" si="152"/>
        <v>15.738143338958441</v>
      </c>
    </row>
    <row r="1523" spans="15:19" x14ac:dyDescent="0.2">
      <c r="O1523" s="4">
        <f t="shared" ca="1" si="148"/>
        <v>0.94894733607761628</v>
      </c>
      <c r="P1523" s="4">
        <f t="shared" ca="1" si="149"/>
        <v>1.6347315867928622</v>
      </c>
      <c r="Q1523" s="4">
        <f t="shared" ca="1" si="150"/>
        <v>1873.7401633224686</v>
      </c>
      <c r="R1523" s="4">
        <f t="shared" ca="1" si="151"/>
        <v>-49.929880677531401</v>
      </c>
      <c r="S1523" s="4">
        <f t="shared" ca="1" si="152"/>
        <v>-24.260173933483774</v>
      </c>
    </row>
    <row r="1524" spans="15:19" x14ac:dyDescent="0.2">
      <c r="O1524" s="4">
        <f t="shared" ca="1" si="148"/>
        <v>0.95021956704108024</v>
      </c>
      <c r="P1524" s="4">
        <f t="shared" ca="1" si="149"/>
        <v>1.6469862800466639</v>
      </c>
      <c r="Q1524" s="4">
        <f t="shared" ca="1" si="150"/>
        <v>1873.3689079344406</v>
      </c>
      <c r="R1524" s="4">
        <f t="shared" ca="1" si="151"/>
        <v>-50.301136065559376</v>
      </c>
      <c r="S1524" s="4">
        <f t="shared" ca="1" si="152"/>
        <v>-24.432959470194699</v>
      </c>
    </row>
    <row r="1525" spans="15:19" x14ac:dyDescent="0.2">
      <c r="O1525" s="4">
        <f t="shared" ca="1" si="148"/>
        <v>0.11176273674509829</v>
      </c>
      <c r="P1525" s="4">
        <f t="shared" ca="1" si="149"/>
        <v>-1.2172069843475348</v>
      </c>
      <c r="Q1525" s="4">
        <f t="shared" ca="1" si="150"/>
        <v>1960.1395157119578</v>
      </c>
      <c r="R1525" s="4">
        <f t="shared" ca="1" si="151"/>
        <v>36.469471711957794</v>
      </c>
      <c r="S1525" s="4">
        <f t="shared" ca="1" si="152"/>
        <v>19.002614970739813</v>
      </c>
    </row>
    <row r="1526" spans="15:19" x14ac:dyDescent="0.2">
      <c r="O1526" s="4">
        <f t="shared" ca="1" si="148"/>
        <v>0.94587839019044995</v>
      </c>
      <c r="P1526" s="4">
        <f t="shared" ca="1" si="149"/>
        <v>1.6061396961040453</v>
      </c>
      <c r="Q1526" s="4">
        <f t="shared" ca="1" si="150"/>
        <v>1874.6063533814349</v>
      </c>
      <c r="R1526" s="4">
        <f t="shared" ca="1" si="151"/>
        <v>-49.063690618565033</v>
      </c>
      <c r="S1526" s="4">
        <f t="shared" ca="1" si="152"/>
        <v>-23.856605106975991</v>
      </c>
    </row>
    <row r="1527" spans="15:19" x14ac:dyDescent="0.2">
      <c r="O1527" s="4">
        <f t="shared" ca="1" si="148"/>
        <v>0.15827874102963835</v>
      </c>
      <c r="P1527" s="4">
        <f t="shared" ca="1" si="149"/>
        <v>-1.0015572391710073</v>
      </c>
      <c r="Q1527" s="4">
        <f t="shared" ca="1" si="150"/>
        <v>1953.6064162564669</v>
      </c>
      <c r="R1527" s="4">
        <f t="shared" ca="1" si="151"/>
        <v>29.936372256466939</v>
      </c>
      <c r="S1527" s="4">
        <f t="shared" ca="1" si="152"/>
        <v>15.518894757555524</v>
      </c>
    </row>
    <row r="1528" spans="15:19" x14ac:dyDescent="0.2">
      <c r="O1528" s="4">
        <f t="shared" ca="1" si="148"/>
        <v>0.68142967632593965</v>
      </c>
      <c r="P1528" s="4">
        <f t="shared" ca="1" si="149"/>
        <v>0.47170040593135659</v>
      </c>
      <c r="Q1528" s="4">
        <f t="shared" ca="1" si="150"/>
        <v>1908.9741413092511</v>
      </c>
      <c r="R1528" s="4">
        <f t="shared" ca="1" si="151"/>
        <v>-14.695902690748881</v>
      </c>
      <c r="S1528" s="4">
        <f t="shared" ca="1" si="152"/>
        <v>-7.3512953271343378</v>
      </c>
    </row>
    <row r="1529" spans="15:19" x14ac:dyDescent="0.2">
      <c r="O1529" s="4">
        <f t="shared" ca="1" si="148"/>
        <v>0.35481009266560037</v>
      </c>
      <c r="P1529" s="4">
        <f t="shared" ca="1" si="149"/>
        <v>-0.37236624108978261</v>
      </c>
      <c r="Q1529" s="4">
        <f t="shared" ca="1" si="150"/>
        <v>1934.5451029050446</v>
      </c>
      <c r="R1529" s="4">
        <f t="shared" ca="1" si="151"/>
        <v>10.875058905044625</v>
      </c>
      <c r="S1529" s="4">
        <f t="shared" ca="1" si="152"/>
        <v>5.5532041558390182</v>
      </c>
    </row>
    <row r="1530" spans="15:19" x14ac:dyDescent="0.2">
      <c r="O1530" s="4">
        <f t="shared" ca="1" si="148"/>
        <v>0.28530150800129983</v>
      </c>
      <c r="P1530" s="4">
        <f t="shared" ca="1" si="149"/>
        <v>-0.5671636292739467</v>
      </c>
      <c r="Q1530" s="4">
        <f t="shared" ca="1" si="150"/>
        <v>1940.4464811312757</v>
      </c>
      <c r="R1530" s="4">
        <f t="shared" ca="1" si="151"/>
        <v>16.77643713127577</v>
      </c>
      <c r="S1530" s="4">
        <f t="shared" ca="1" si="152"/>
        <v>8.6069659619969006</v>
      </c>
    </row>
    <row r="1531" spans="15:19" x14ac:dyDescent="0.2">
      <c r="O1531" s="4">
        <f t="shared" ca="1" si="148"/>
        <v>0.95666344541946136</v>
      </c>
      <c r="P1531" s="4">
        <f t="shared" ca="1" si="149"/>
        <v>1.713214368683416</v>
      </c>
      <c r="Q1531" s="4">
        <f t="shared" ca="1" si="150"/>
        <v>1871.3625309296508</v>
      </c>
      <c r="R1531" s="4">
        <f t="shared" ca="1" si="151"/>
        <v>-52.30751307034916</v>
      </c>
      <c r="S1531" s="4">
        <f t="shared" ca="1" si="152"/>
        <v>-25.364803155591538</v>
      </c>
    </row>
    <row r="1532" spans="15:19" x14ac:dyDescent="0.2">
      <c r="O1532" s="4">
        <f t="shared" ca="1" si="148"/>
        <v>0.33162345134268012</v>
      </c>
      <c r="P1532" s="4">
        <f t="shared" ca="1" si="149"/>
        <v>-0.43543473453120918</v>
      </c>
      <c r="Q1532" s="4">
        <f t="shared" ca="1" si="150"/>
        <v>1936.4557601136751</v>
      </c>
      <c r="R1532" s="4">
        <f t="shared" ca="1" si="151"/>
        <v>12.785716113675107</v>
      </c>
      <c r="S1532" s="4">
        <f t="shared" ca="1" si="152"/>
        <v>6.538800184638732</v>
      </c>
    </row>
    <row r="1533" spans="15:19" x14ac:dyDescent="0.2">
      <c r="O1533" s="4">
        <f t="shared" ca="1" si="148"/>
        <v>0.93991410771586115</v>
      </c>
      <c r="P1533" s="4">
        <f t="shared" ca="1" si="149"/>
        <v>1.5540529595579666</v>
      </c>
      <c r="Q1533" s="4">
        <f t="shared" ca="1" si="150"/>
        <v>1876.1843187524996</v>
      </c>
      <c r="R1533" s="4">
        <f t="shared" ca="1" si="151"/>
        <v>-47.485725247500341</v>
      </c>
      <c r="S1533" s="4">
        <f t="shared" ca="1" si="152"/>
        <v>-23.119841242151885</v>
      </c>
    </row>
    <row r="1534" spans="15:19" x14ac:dyDescent="0.2">
      <c r="O1534" s="4">
        <f t="shared" ca="1" si="148"/>
        <v>0.85835402661732452</v>
      </c>
      <c r="P1534" s="4">
        <f t="shared" ca="1" si="149"/>
        <v>1.0729535741850067</v>
      </c>
      <c r="Q1534" s="4">
        <f t="shared" ca="1" si="150"/>
        <v>1890.7592032720438</v>
      </c>
      <c r="R1534" s="4">
        <f t="shared" ca="1" si="151"/>
        <v>-32.910840727956156</v>
      </c>
      <c r="S1534" s="4">
        <f t="shared" ca="1" si="152"/>
        <v>-16.218883716022198</v>
      </c>
    </row>
    <row r="1535" spans="15:19" x14ac:dyDescent="0.2">
      <c r="O1535" s="4">
        <f t="shared" ca="1" si="148"/>
        <v>0.60236395701217949</v>
      </c>
      <c r="P1535" s="4">
        <f t="shared" ca="1" si="149"/>
        <v>0.25947070014430768</v>
      </c>
      <c r="Q1535" s="4">
        <f t="shared" ca="1" si="150"/>
        <v>1915.4036308232837</v>
      </c>
      <c r="R1535" s="4">
        <f t="shared" ca="1" si="151"/>
        <v>-8.2664131767162417</v>
      </c>
      <c r="S1535" s="4">
        <f t="shared" ca="1" si="152"/>
        <v>-4.1567228185157905</v>
      </c>
    </row>
    <row r="1536" spans="15:19" x14ac:dyDescent="0.2">
      <c r="O1536" s="4">
        <f t="shared" ca="1" si="148"/>
        <v>0.73258868451244874</v>
      </c>
      <c r="P1536" s="4">
        <f t="shared" ca="1" si="149"/>
        <v>0.62066109718796181</v>
      </c>
      <c r="Q1536" s="4">
        <f t="shared" ca="1" si="150"/>
        <v>1904.4613837813372</v>
      </c>
      <c r="R1536" s="4">
        <f t="shared" ca="1" si="151"/>
        <v>-19.208660218662772</v>
      </c>
      <c r="S1536" s="4">
        <f t="shared" ca="1" si="152"/>
        <v>-9.5734145479475963</v>
      </c>
    </row>
    <row r="1537" spans="15:19" x14ac:dyDescent="0.2">
      <c r="O1537" s="4">
        <f t="shared" ca="1" si="148"/>
        <v>0.56166403694998812</v>
      </c>
      <c r="P1537" s="4">
        <f t="shared" ca="1" si="149"/>
        <v>0.15518949960691644</v>
      </c>
      <c r="Q1537" s="4">
        <f t="shared" ca="1" si="150"/>
        <v>1918.5628251635835</v>
      </c>
      <c r="R1537" s="4">
        <f t="shared" ca="1" si="151"/>
        <v>-5.1072188364164504</v>
      </c>
      <c r="S1537" s="4">
        <f t="shared" ca="1" si="152"/>
        <v>-2.5747063345705894</v>
      </c>
    </row>
    <row r="1538" spans="15:19" x14ac:dyDescent="0.2">
      <c r="O1538" s="4">
        <f t="shared" ca="1" si="148"/>
        <v>0.9079253721356999</v>
      </c>
      <c r="P1538" s="4">
        <f t="shared" ca="1" si="149"/>
        <v>1.3280873385942773</v>
      </c>
      <c r="Q1538" s="4">
        <f t="shared" ca="1" si="150"/>
        <v>1883.0299372069478</v>
      </c>
      <c r="R1538" s="4">
        <f t="shared" ca="1" si="151"/>
        <v>-40.640106793052155</v>
      </c>
      <c r="S1538" s="4">
        <f t="shared" ca="1" si="152"/>
        <v>-19.900097150141796</v>
      </c>
    </row>
    <row r="1539" spans="15:19" x14ac:dyDescent="0.2">
      <c r="O1539" s="4">
        <f t="shared" ref="O1539:O1602" ca="1" si="153">RAND()</f>
        <v>0.84864566307611744</v>
      </c>
      <c r="P1539" s="4">
        <f t="shared" ref="P1539:P1602" ca="1" si="154">NORMSINV(O1539)</f>
        <v>1.0306421255498737</v>
      </c>
      <c r="Q1539" s="4">
        <f t="shared" ref="Q1539:Q1602" ca="1" si="155">$B$4*(1+$B$17-$B$6/SQRT(252)*P1539)</f>
        <v>1892.0410267298591</v>
      </c>
      <c r="R1539" s="4">
        <f t="shared" ref="R1539:R1602" ca="1" si="156">Q1539-$B$4</f>
        <v>-31.629017270140821</v>
      </c>
      <c r="S1539" s="4">
        <f t="shared" ref="S1539:S1602" ca="1" si="157">R1539*$B$12+0.5*$B$13*R1539^2</f>
        <v>-15.603688435797574</v>
      </c>
    </row>
    <row r="1540" spans="15:19" x14ac:dyDescent="0.2">
      <c r="O1540" s="4">
        <f t="shared" ca="1" si="153"/>
        <v>0.69155054809283978</v>
      </c>
      <c r="P1540" s="4">
        <f t="shared" ca="1" si="154"/>
        <v>0.5002502158643406</v>
      </c>
      <c r="Q1540" s="4">
        <f t="shared" ca="1" si="155"/>
        <v>1908.1092260849141</v>
      </c>
      <c r="R1540" s="4">
        <f t="shared" ca="1" si="156"/>
        <v>-15.560817915085863</v>
      </c>
      <c r="S1540" s="4">
        <f t="shared" ca="1" si="157"/>
        <v>-7.7784710880496721</v>
      </c>
    </row>
    <row r="1541" spans="15:19" x14ac:dyDescent="0.2">
      <c r="O1541" s="4">
        <f t="shared" ca="1" si="153"/>
        <v>0.43499724611902613</v>
      </c>
      <c r="P1541" s="4">
        <f t="shared" ca="1" si="154"/>
        <v>-0.16366548225957642</v>
      </c>
      <c r="Q1541" s="4">
        <f t="shared" ca="1" si="155"/>
        <v>1928.222522682388</v>
      </c>
      <c r="R1541" s="4">
        <f t="shared" ca="1" si="156"/>
        <v>4.5524786823880277</v>
      </c>
      <c r="S1541" s="4">
        <f t="shared" ca="1" si="157"/>
        <v>2.3129458351271834</v>
      </c>
    </row>
    <row r="1542" spans="15:19" x14ac:dyDescent="0.2">
      <c r="O1542" s="4">
        <f t="shared" ca="1" si="153"/>
        <v>0.67344848474220853</v>
      </c>
      <c r="P1542" s="4">
        <f t="shared" ca="1" si="154"/>
        <v>0.44945559983910643</v>
      </c>
      <c r="Q1542" s="4">
        <f t="shared" ca="1" si="155"/>
        <v>1909.6480467221686</v>
      </c>
      <c r="R1542" s="4">
        <f t="shared" ca="1" si="156"/>
        <v>-14.02199727783136</v>
      </c>
      <c r="S1542" s="4">
        <f t="shared" ca="1" si="157"/>
        <v>-7.0180358773437632</v>
      </c>
    </row>
    <row r="1543" spans="15:19" x14ac:dyDescent="0.2">
      <c r="O1543" s="4">
        <f t="shared" ca="1" si="153"/>
        <v>0.76908021028404794</v>
      </c>
      <c r="P1543" s="4">
        <f t="shared" ca="1" si="154"/>
        <v>0.73582109857255651</v>
      </c>
      <c r="Q1543" s="4">
        <f t="shared" ca="1" si="155"/>
        <v>1900.9726166523794</v>
      </c>
      <c r="R1543" s="4">
        <f t="shared" ca="1" si="156"/>
        <v>-22.697427347620533</v>
      </c>
      <c r="S1543" s="4">
        <f t="shared" ca="1" si="157"/>
        <v>-11.279948883540627</v>
      </c>
    </row>
    <row r="1544" spans="15:19" x14ac:dyDescent="0.2">
      <c r="O1544" s="4">
        <f t="shared" ca="1" si="153"/>
        <v>0.87595054986289389</v>
      </c>
      <c r="P1544" s="4">
        <f t="shared" ca="1" si="154"/>
        <v>1.1549793074896502</v>
      </c>
      <c r="Q1544" s="4">
        <f t="shared" ca="1" si="155"/>
        <v>1888.2742373234396</v>
      </c>
      <c r="R1544" s="4">
        <f t="shared" ca="1" si="156"/>
        <v>-35.395806676560369</v>
      </c>
      <c r="S1544" s="4">
        <f t="shared" ca="1" si="157"/>
        <v>-17.40770201386232</v>
      </c>
    </row>
    <row r="1545" spans="15:19" x14ac:dyDescent="0.2">
      <c r="O1545" s="4">
        <f t="shared" ca="1" si="153"/>
        <v>0.42024041396218137</v>
      </c>
      <c r="P1545" s="4">
        <f t="shared" ca="1" si="154"/>
        <v>-0.20127848097815981</v>
      </c>
      <c r="Q1545" s="4">
        <f t="shared" ca="1" si="155"/>
        <v>1929.3620068085879</v>
      </c>
      <c r="R1545" s="4">
        <f t="shared" ca="1" si="156"/>
        <v>5.6919628085879594</v>
      </c>
      <c r="S1545" s="4">
        <f t="shared" ca="1" si="157"/>
        <v>2.8945157340805556</v>
      </c>
    </row>
    <row r="1546" spans="15:19" x14ac:dyDescent="0.2">
      <c r="O1546" s="4">
        <f t="shared" ca="1" si="153"/>
        <v>0.9144424662439854</v>
      </c>
      <c r="P1546" s="4">
        <f t="shared" ca="1" si="154"/>
        <v>1.3686296609096269</v>
      </c>
      <c r="Q1546" s="4">
        <f t="shared" ca="1" si="155"/>
        <v>1881.8017093524427</v>
      </c>
      <c r="R1546" s="4">
        <f t="shared" ca="1" si="156"/>
        <v>-41.868334647557276</v>
      </c>
      <c r="S1546" s="4">
        <f t="shared" ca="1" si="157"/>
        <v>-20.480586064624383</v>
      </c>
    </row>
    <row r="1547" spans="15:19" x14ac:dyDescent="0.2">
      <c r="O1547" s="4">
        <f t="shared" ca="1" si="153"/>
        <v>0.33801423722810675</v>
      </c>
      <c r="P1547" s="4">
        <f t="shared" ca="1" si="154"/>
        <v>-0.41788872775984132</v>
      </c>
      <c r="Q1547" s="4">
        <f t="shared" ca="1" si="155"/>
        <v>1935.9242046175614</v>
      </c>
      <c r="R1547" s="4">
        <f t="shared" ca="1" si="156"/>
        <v>12.254160617561411</v>
      </c>
      <c r="S1547" s="4">
        <f t="shared" ca="1" si="157"/>
        <v>6.2643034603417567</v>
      </c>
    </row>
    <row r="1548" spans="15:19" x14ac:dyDescent="0.2">
      <c r="O1548" s="4">
        <f t="shared" ca="1" si="153"/>
        <v>0.33980202537177617</v>
      </c>
      <c r="P1548" s="4">
        <f t="shared" ca="1" si="154"/>
        <v>-0.4130034982145282</v>
      </c>
      <c r="Q1548" s="4">
        <f t="shared" ca="1" si="155"/>
        <v>1935.7762068053855</v>
      </c>
      <c r="R1548" s="4">
        <f t="shared" ca="1" si="156"/>
        <v>12.106162805385566</v>
      </c>
      <c r="S1548" s="4">
        <f t="shared" ca="1" si="157"/>
        <v>6.1879179218658074</v>
      </c>
    </row>
    <row r="1549" spans="15:19" x14ac:dyDescent="0.2">
      <c r="O1549" s="4">
        <f t="shared" ca="1" si="153"/>
        <v>0.49893561709140821</v>
      </c>
      <c r="P1549" s="4">
        <f t="shared" ca="1" si="154"/>
        <v>-2.6680154589987385E-3</v>
      </c>
      <c r="Q1549" s="4">
        <f t="shared" ca="1" si="155"/>
        <v>1923.3451115737903</v>
      </c>
      <c r="R1549" s="4">
        <f t="shared" ca="1" si="156"/>
        <v>-0.32493242620967067</v>
      </c>
      <c r="S1549" s="4">
        <f t="shared" ca="1" si="157"/>
        <v>-0.16444099802058829</v>
      </c>
    </row>
    <row r="1550" spans="15:19" x14ac:dyDescent="0.2">
      <c r="O1550" s="4">
        <f t="shared" ca="1" si="153"/>
        <v>0.37395237261093095</v>
      </c>
      <c r="P1550" s="4">
        <f t="shared" ca="1" si="154"/>
        <v>-0.32140334938507875</v>
      </c>
      <c r="Q1550" s="4">
        <f t="shared" ca="1" si="155"/>
        <v>1933.0011843635523</v>
      </c>
      <c r="R1550" s="4">
        <f t="shared" ca="1" si="156"/>
        <v>9.331140363552322</v>
      </c>
      <c r="S1550" s="4">
        <f t="shared" ca="1" si="157"/>
        <v>4.758958240621844</v>
      </c>
    </row>
    <row r="1551" spans="15:19" x14ac:dyDescent="0.2">
      <c r="O1551" s="4">
        <f t="shared" ca="1" si="153"/>
        <v>0.45130287329454377</v>
      </c>
      <c r="P1551" s="4">
        <f t="shared" ca="1" si="154"/>
        <v>-0.12237031551517988</v>
      </c>
      <c r="Q1551" s="4">
        <f t="shared" ca="1" si="155"/>
        <v>1926.9714874393303</v>
      </c>
      <c r="R1551" s="4">
        <f t="shared" ca="1" si="156"/>
        <v>3.3014434393303418</v>
      </c>
      <c r="S1551" s="4">
        <f t="shared" ca="1" si="157"/>
        <v>1.675659869057933</v>
      </c>
    </row>
    <row r="1552" spans="15:19" x14ac:dyDescent="0.2">
      <c r="O1552" s="4">
        <f t="shared" ca="1" si="153"/>
        <v>0.19325426142333335</v>
      </c>
      <c r="P1552" s="4">
        <f t="shared" ca="1" si="154"/>
        <v>-0.86596651870651209</v>
      </c>
      <c r="Q1552" s="4">
        <f t="shared" ca="1" si="155"/>
        <v>1949.4987014000869</v>
      </c>
      <c r="R1552" s="4">
        <f t="shared" ca="1" si="156"/>
        <v>25.828657400086968</v>
      </c>
      <c r="S1552" s="4">
        <f t="shared" ca="1" si="157"/>
        <v>13.346283201057561</v>
      </c>
    </row>
    <row r="1553" spans="15:19" x14ac:dyDescent="0.2">
      <c r="O1553" s="4">
        <f t="shared" ca="1" si="153"/>
        <v>0.39985330126346319</v>
      </c>
      <c r="P1553" s="4">
        <f t="shared" ca="1" si="154"/>
        <v>-0.2537268329970469</v>
      </c>
      <c r="Q1553" s="4">
        <f t="shared" ca="1" si="155"/>
        <v>1930.9509273043459</v>
      </c>
      <c r="R1553" s="4">
        <f t="shared" ca="1" si="156"/>
        <v>7.2808833043459344</v>
      </c>
      <c r="S1553" s="4">
        <f t="shared" ca="1" si="157"/>
        <v>3.707233697475286</v>
      </c>
    </row>
    <row r="1554" spans="15:19" x14ac:dyDescent="0.2">
      <c r="O1554" s="4">
        <f t="shared" ca="1" si="153"/>
        <v>0.66110626339509149</v>
      </c>
      <c r="P1554" s="4">
        <f t="shared" ca="1" si="154"/>
        <v>0.4154842082028613</v>
      </c>
      <c r="Q1554" s="4">
        <f t="shared" ca="1" si="155"/>
        <v>1910.6772085234929</v>
      </c>
      <c r="R1554" s="4">
        <f t="shared" ca="1" si="156"/>
        <v>-12.992835476507025</v>
      </c>
      <c r="S1554" s="4">
        <f t="shared" ca="1" si="157"/>
        <v>-6.5083816896420679</v>
      </c>
    </row>
    <row r="1555" spans="15:19" x14ac:dyDescent="0.2">
      <c r="O1555" s="4">
        <f t="shared" ca="1" si="153"/>
        <v>0.14556178231996419</v>
      </c>
      <c r="P1555" s="4">
        <f t="shared" ca="1" si="154"/>
        <v>-1.0556600294267091</v>
      </c>
      <c r="Q1555" s="4">
        <f t="shared" ca="1" si="155"/>
        <v>1955.2454578851541</v>
      </c>
      <c r="R1555" s="4">
        <f t="shared" ca="1" si="156"/>
        <v>31.575413885154148</v>
      </c>
      <c r="S1555" s="4">
        <f t="shared" ca="1" si="157"/>
        <v>16.389634557522587</v>
      </c>
    </row>
    <row r="1556" spans="15:19" x14ac:dyDescent="0.2">
      <c r="O1556" s="4">
        <f t="shared" ca="1" si="153"/>
        <v>0.64668383697143894</v>
      </c>
      <c r="P1556" s="4">
        <f t="shared" ca="1" si="154"/>
        <v>0.37638280682125141</v>
      </c>
      <c r="Q1556" s="4">
        <f t="shared" ca="1" si="155"/>
        <v>1911.861783742286</v>
      </c>
      <c r="R1556" s="4">
        <f t="shared" ca="1" si="156"/>
        <v>-11.808260257713982</v>
      </c>
      <c r="S1556" s="4">
        <f t="shared" ca="1" si="157"/>
        <v>-5.9206973015592546</v>
      </c>
    </row>
    <row r="1557" spans="15:19" x14ac:dyDescent="0.2">
      <c r="O1557" s="4">
        <f t="shared" ca="1" si="153"/>
        <v>0.84531832890527758</v>
      </c>
      <c r="P1557" s="4">
        <f t="shared" ca="1" si="154"/>
        <v>1.0165588417533491</v>
      </c>
      <c r="Q1557" s="4">
        <f t="shared" ca="1" si="155"/>
        <v>1892.4676791871912</v>
      </c>
      <c r="R1557" s="4">
        <f t="shared" ca="1" si="156"/>
        <v>-31.20236481280881</v>
      </c>
      <c r="S1557" s="4">
        <f t="shared" ca="1" si="157"/>
        <v>-15.398625154191381</v>
      </c>
    </row>
    <row r="1558" spans="15:19" x14ac:dyDescent="0.2">
      <c r="O1558" s="4">
        <f t="shared" ca="1" si="153"/>
        <v>0.52817557537483728</v>
      </c>
      <c r="P1558" s="4">
        <f t="shared" ca="1" si="154"/>
        <v>7.0684509971268239E-2</v>
      </c>
      <c r="Q1558" s="4">
        <f t="shared" ca="1" si="155"/>
        <v>1921.1229000726587</v>
      </c>
      <c r="R1558" s="4">
        <f t="shared" ca="1" si="156"/>
        <v>-2.547143927341267</v>
      </c>
      <c r="S1558" s="4">
        <f t="shared" ca="1" si="157"/>
        <v>-1.2867481634516027</v>
      </c>
    </row>
    <row r="1559" spans="15:19" x14ac:dyDescent="0.2">
      <c r="O1559" s="4">
        <f t="shared" ca="1" si="153"/>
        <v>0.38976675552747297</v>
      </c>
      <c r="P1559" s="4">
        <f t="shared" ca="1" si="154"/>
        <v>-0.27992700120492803</v>
      </c>
      <c r="Q1559" s="4">
        <f t="shared" ca="1" si="155"/>
        <v>1931.7446602369425</v>
      </c>
      <c r="R1559" s="4">
        <f t="shared" ca="1" si="156"/>
        <v>8.0746162369425747</v>
      </c>
      <c r="S1559" s="4">
        <f t="shared" ca="1" si="157"/>
        <v>4.113990509662151</v>
      </c>
    </row>
    <row r="1560" spans="15:19" x14ac:dyDescent="0.2">
      <c r="O1560" s="4">
        <f t="shared" ca="1" si="153"/>
        <v>0.58484658093932818</v>
      </c>
      <c r="P1560" s="4">
        <f t="shared" ca="1" si="154"/>
        <v>0.21430805353470939</v>
      </c>
      <c r="Q1560" s="4">
        <f t="shared" ca="1" si="155"/>
        <v>1916.7718311971455</v>
      </c>
      <c r="R1560" s="4">
        <f t="shared" ca="1" si="156"/>
        <v>-6.8982128028544594</v>
      </c>
      <c r="S1560" s="4">
        <f t="shared" ca="1" si="157"/>
        <v>-3.4725723606886576</v>
      </c>
    </row>
    <row r="1561" spans="15:19" x14ac:dyDescent="0.2">
      <c r="O1561" s="4">
        <f t="shared" ca="1" si="153"/>
        <v>0.28382829963881295</v>
      </c>
      <c r="P1561" s="4">
        <f t="shared" ca="1" si="154"/>
        <v>-0.57150614027178481</v>
      </c>
      <c r="Q1561" s="4">
        <f t="shared" ca="1" si="155"/>
        <v>1940.578037309152</v>
      </c>
      <c r="R1561" s="4">
        <f t="shared" ca="1" si="156"/>
        <v>16.907993309152062</v>
      </c>
      <c r="S1561" s="4">
        <f t="shared" ca="1" si="157"/>
        <v>8.6753648723182906</v>
      </c>
    </row>
    <row r="1562" spans="15:19" x14ac:dyDescent="0.2">
      <c r="O1562" s="4">
        <f t="shared" ca="1" si="153"/>
        <v>0.96068150726405033</v>
      </c>
      <c r="P1562" s="4">
        <f t="shared" ca="1" si="154"/>
        <v>1.7586499373549209</v>
      </c>
      <c r="Q1562" s="4">
        <f t="shared" ca="1" si="155"/>
        <v>1869.9860623940413</v>
      </c>
      <c r="R1562" s="4">
        <f t="shared" ca="1" si="156"/>
        <v>-53.683981605958706</v>
      </c>
      <c r="S1562" s="4">
        <f t="shared" ca="1" si="157"/>
        <v>-26.002196070392426</v>
      </c>
    </row>
    <row r="1563" spans="15:19" x14ac:dyDescent="0.2">
      <c r="O1563" s="4">
        <f t="shared" ca="1" si="153"/>
        <v>0.33389977004665616</v>
      </c>
      <c r="P1563" s="4">
        <f t="shared" ca="1" si="154"/>
        <v>-0.4291699633901338</v>
      </c>
      <c r="Q1563" s="4">
        <f t="shared" ca="1" si="155"/>
        <v>1936.2659691501055</v>
      </c>
      <c r="R1563" s="4">
        <f t="shared" ca="1" si="156"/>
        <v>12.595925150105586</v>
      </c>
      <c r="S1563" s="4">
        <f t="shared" ca="1" si="157"/>
        <v>6.4407652035166389</v>
      </c>
    </row>
    <row r="1564" spans="15:19" x14ac:dyDescent="0.2">
      <c r="O1564" s="4">
        <f t="shared" ca="1" si="153"/>
        <v>0.22262338762087597</v>
      </c>
      <c r="P1564" s="4">
        <f t="shared" ca="1" si="154"/>
        <v>-0.76336327567556694</v>
      </c>
      <c r="Q1564" s="4">
        <f t="shared" ca="1" si="155"/>
        <v>1946.3903407079456</v>
      </c>
      <c r="R1564" s="4">
        <f t="shared" ca="1" si="156"/>
        <v>22.720296707945636</v>
      </c>
      <c r="S1564" s="4">
        <f t="shared" ca="1" si="157"/>
        <v>11.711370708041603</v>
      </c>
    </row>
    <row r="1565" spans="15:19" x14ac:dyDescent="0.2">
      <c r="O1565" s="4">
        <f t="shared" ca="1" si="153"/>
        <v>0.43057376191408636</v>
      </c>
      <c r="P1565" s="4">
        <f t="shared" ca="1" si="154"/>
        <v>-0.17491359991763059</v>
      </c>
      <c r="Q1565" s="4">
        <f t="shared" ca="1" si="155"/>
        <v>1928.5632839074333</v>
      </c>
      <c r="R1565" s="4">
        <f t="shared" ca="1" si="156"/>
        <v>4.8932399074333262</v>
      </c>
      <c r="S1565" s="4">
        <f t="shared" ca="1" si="157"/>
        <v>2.4867527527860607</v>
      </c>
    </row>
    <row r="1566" spans="15:19" x14ac:dyDescent="0.2">
      <c r="O1566" s="4">
        <f t="shared" ca="1" si="153"/>
        <v>0.62487242087590555</v>
      </c>
      <c r="P1566" s="4">
        <f t="shared" ca="1" si="154"/>
        <v>0.31830293493210204</v>
      </c>
      <c r="Q1566" s="4">
        <f t="shared" ca="1" si="155"/>
        <v>1913.6213108824797</v>
      </c>
      <c r="R1566" s="4">
        <f t="shared" ca="1" si="156"/>
        <v>-10.048733117520214</v>
      </c>
      <c r="S1566" s="4">
        <f t="shared" ca="1" si="157"/>
        <v>-5.0456624861025361</v>
      </c>
    </row>
    <row r="1567" spans="15:19" x14ac:dyDescent="0.2">
      <c r="O1567" s="4">
        <f t="shared" ca="1" si="153"/>
        <v>6.3232011990290715E-3</v>
      </c>
      <c r="P1567" s="4">
        <f t="shared" ca="1" si="154"/>
        <v>-2.4935745513868901</v>
      </c>
      <c r="Q1567" s="4">
        <f t="shared" ca="1" si="155"/>
        <v>1998.8070144859764</v>
      </c>
      <c r="R1567" s="4">
        <f t="shared" ca="1" si="156"/>
        <v>75.136970485976462</v>
      </c>
      <c r="S1567" s="4">
        <f t="shared" ca="1" si="157"/>
        <v>40.333205921704177</v>
      </c>
    </row>
    <row r="1568" spans="15:19" x14ac:dyDescent="0.2">
      <c r="O1568" s="4">
        <f t="shared" ca="1" si="153"/>
        <v>0.320910275801501</v>
      </c>
      <c r="P1568" s="4">
        <f t="shared" ca="1" si="154"/>
        <v>-0.465154874291415</v>
      </c>
      <c r="Q1568" s="4">
        <f t="shared" ca="1" si="155"/>
        <v>1937.3561304281659</v>
      </c>
      <c r="R1568" s="4">
        <f t="shared" ca="1" si="156"/>
        <v>13.686086428165936</v>
      </c>
      <c r="S1568" s="4">
        <f t="shared" ca="1" si="157"/>
        <v>7.0042787178797594</v>
      </c>
    </row>
    <row r="1569" spans="15:19" x14ac:dyDescent="0.2">
      <c r="O1569" s="4">
        <f t="shared" ca="1" si="153"/>
        <v>0.58349216993033459</v>
      </c>
      <c r="P1569" s="4">
        <f t="shared" ca="1" si="154"/>
        <v>0.21083546924118962</v>
      </c>
      <c r="Q1569" s="4">
        <f t="shared" ca="1" si="155"/>
        <v>1916.8770329841384</v>
      </c>
      <c r="R1569" s="4">
        <f t="shared" ca="1" si="156"/>
        <v>-6.7930110158615662</v>
      </c>
      <c r="S1569" s="4">
        <f t="shared" ca="1" si="157"/>
        <v>-3.4199045042531941</v>
      </c>
    </row>
    <row r="1570" spans="15:19" x14ac:dyDescent="0.2">
      <c r="O1570" s="4">
        <f t="shared" ca="1" si="153"/>
        <v>0.91293800957606774</v>
      </c>
      <c r="P1570" s="4">
        <f t="shared" ca="1" si="154"/>
        <v>1.3590713486098009</v>
      </c>
      <c r="Q1570" s="4">
        <f t="shared" ca="1" si="155"/>
        <v>1882.0912779991863</v>
      </c>
      <c r="R1570" s="4">
        <f t="shared" ca="1" si="156"/>
        <v>-41.57876600081363</v>
      </c>
      <c r="S1570" s="4">
        <f t="shared" ca="1" si="157"/>
        <v>-20.343839863344385</v>
      </c>
    </row>
    <row r="1571" spans="15:19" x14ac:dyDescent="0.2">
      <c r="O1571" s="4">
        <f t="shared" ca="1" si="153"/>
        <v>6.6645478281651904E-2</v>
      </c>
      <c r="P1571" s="4">
        <f t="shared" ca="1" si="154"/>
        <v>-1.5012498276412467</v>
      </c>
      <c r="Q1571" s="4">
        <f t="shared" ca="1" si="155"/>
        <v>1968.7445810383238</v>
      </c>
      <c r="R1571" s="4">
        <f t="shared" ca="1" si="156"/>
        <v>45.074537038323797</v>
      </c>
      <c r="S1571" s="4">
        <f t="shared" ca="1" si="157"/>
        <v>23.644220349420273</v>
      </c>
    </row>
    <row r="1572" spans="15:19" x14ac:dyDescent="0.2">
      <c r="O1572" s="4">
        <f t="shared" ca="1" si="153"/>
        <v>0.66118104967904812</v>
      </c>
      <c r="P1572" s="4">
        <f t="shared" ca="1" si="154"/>
        <v>0.41568857758601341</v>
      </c>
      <c r="Q1572" s="4">
        <f t="shared" ca="1" si="155"/>
        <v>1910.6710171621044</v>
      </c>
      <c r="R1572" s="4">
        <f t="shared" ca="1" si="156"/>
        <v>-12.999026837895599</v>
      </c>
      <c r="S1572" s="4">
        <f t="shared" ca="1" si="157"/>
        <v>-6.5114503098004217</v>
      </c>
    </row>
    <row r="1573" spans="15:19" x14ac:dyDescent="0.2">
      <c r="O1573" s="4">
        <f t="shared" ca="1" si="153"/>
        <v>0.80962320358887885</v>
      </c>
      <c r="P1573" s="4">
        <f t="shared" ca="1" si="154"/>
        <v>0.87650861910581879</v>
      </c>
      <c r="Q1573" s="4">
        <f t="shared" ca="1" si="155"/>
        <v>1896.710494464209</v>
      </c>
      <c r="R1573" s="4">
        <f t="shared" ca="1" si="156"/>
        <v>-26.959549535790984</v>
      </c>
      <c r="S1573" s="4">
        <f t="shared" ca="1" si="157"/>
        <v>-13.351323081148831</v>
      </c>
    </row>
    <row r="1574" spans="15:19" x14ac:dyDescent="0.2">
      <c r="O1574" s="4">
        <f t="shared" ca="1" si="153"/>
        <v>0.97413633580445913</v>
      </c>
      <c r="P1574" s="4">
        <f t="shared" ca="1" si="154"/>
        <v>1.9453960616754391</v>
      </c>
      <c r="Q1574" s="4">
        <f t="shared" ca="1" si="155"/>
        <v>1864.3285968490916</v>
      </c>
      <c r="R1574" s="4">
        <f t="shared" ca="1" si="156"/>
        <v>-59.34144715090838</v>
      </c>
      <c r="S1574" s="4">
        <f t="shared" ca="1" si="157"/>
        <v>-28.605765228219262</v>
      </c>
    </row>
    <row r="1575" spans="15:19" x14ac:dyDescent="0.2">
      <c r="O1575" s="4">
        <f t="shared" ca="1" si="153"/>
        <v>0.71879241562786511</v>
      </c>
      <c r="P1575" s="4">
        <f t="shared" ca="1" si="154"/>
        <v>0.5792578988063587</v>
      </c>
      <c r="Q1575" s="4">
        <f t="shared" ca="1" si="155"/>
        <v>1905.7156918380476</v>
      </c>
      <c r="R1575" s="4">
        <f t="shared" ca="1" si="156"/>
        <v>-17.954352161952329</v>
      </c>
      <c r="S1575" s="4">
        <f t="shared" ca="1" si="157"/>
        <v>-8.9574465940880437</v>
      </c>
    </row>
    <row r="1576" spans="15:19" x14ac:dyDescent="0.2">
      <c r="O1576" s="4">
        <f t="shared" ca="1" si="153"/>
        <v>0.73010938313473728</v>
      </c>
      <c r="P1576" s="4">
        <f t="shared" ca="1" si="154"/>
        <v>0.61314384148697765</v>
      </c>
      <c r="Q1576" s="4">
        <f t="shared" ca="1" si="155"/>
        <v>1904.68911870904</v>
      </c>
      <c r="R1576" s="4">
        <f t="shared" ca="1" si="156"/>
        <v>-18.980925290959931</v>
      </c>
      <c r="S1576" s="4">
        <f t="shared" ca="1" si="157"/>
        <v>-9.4616732196810958</v>
      </c>
    </row>
    <row r="1577" spans="15:19" x14ac:dyDescent="0.2">
      <c r="O1577" s="4">
        <f t="shared" ca="1" si="153"/>
        <v>0.89281212477850169</v>
      </c>
      <c r="P1577" s="4">
        <f t="shared" ca="1" si="154"/>
        <v>1.2416228407463559</v>
      </c>
      <c r="Q1577" s="4">
        <f t="shared" ca="1" si="155"/>
        <v>1885.6493753303137</v>
      </c>
      <c r="R1577" s="4">
        <f t="shared" ca="1" si="156"/>
        <v>-38.020668669686302</v>
      </c>
      <c r="S1577" s="4">
        <f t="shared" ca="1" si="157"/>
        <v>-18.657987321564555</v>
      </c>
    </row>
    <row r="1578" spans="15:19" x14ac:dyDescent="0.2">
      <c r="O1578" s="4">
        <f t="shared" ca="1" si="153"/>
        <v>9.5907405892233011E-2</v>
      </c>
      <c r="P1578" s="4">
        <f t="shared" ca="1" si="154"/>
        <v>-1.3052292065858759</v>
      </c>
      <c r="Q1578" s="4">
        <f t="shared" ca="1" si="155"/>
        <v>1962.80614502657</v>
      </c>
      <c r="R1578" s="4">
        <f t="shared" ca="1" si="156"/>
        <v>39.136101026570032</v>
      </c>
      <c r="S1578" s="4">
        <f t="shared" ca="1" si="157"/>
        <v>20.434558904820562</v>
      </c>
    </row>
    <row r="1579" spans="15:19" x14ac:dyDescent="0.2">
      <c r="O1579" s="4">
        <f t="shared" ca="1" si="153"/>
        <v>0.33741595118789414</v>
      </c>
      <c r="P1579" s="4">
        <f t="shared" ca="1" si="154"/>
        <v>-0.4195258012665643</v>
      </c>
      <c r="Q1579" s="4">
        <f t="shared" ca="1" si="155"/>
        <v>1935.9737996867634</v>
      </c>
      <c r="R1579" s="4">
        <f t="shared" ca="1" si="156"/>
        <v>12.303755686763452</v>
      </c>
      <c r="S1579" s="4">
        <f t="shared" ca="1" si="157"/>
        <v>6.2899047607487697</v>
      </c>
    </row>
    <row r="1580" spans="15:19" x14ac:dyDescent="0.2">
      <c r="O1580" s="4">
        <f t="shared" ca="1" si="153"/>
        <v>0.11241972732504391</v>
      </c>
      <c r="P1580" s="4">
        <f t="shared" ca="1" si="154"/>
        <v>-1.2137598176473894</v>
      </c>
      <c r="Q1580" s="4">
        <f t="shared" ca="1" si="155"/>
        <v>1960.0350839498276</v>
      </c>
      <c r="R1580" s="4">
        <f t="shared" ca="1" si="156"/>
        <v>36.365039949827633</v>
      </c>
      <c r="S1580" s="4">
        <f t="shared" ca="1" si="157"/>
        <v>18.946654325089543</v>
      </c>
    </row>
    <row r="1581" spans="15:19" x14ac:dyDescent="0.2">
      <c r="O1581" s="4">
        <f t="shared" ca="1" si="153"/>
        <v>0.52257747268284815</v>
      </c>
      <c r="P1581" s="4">
        <f t="shared" ca="1" si="154"/>
        <v>5.6623574876793523E-2</v>
      </c>
      <c r="Q1581" s="4">
        <f t="shared" ca="1" si="155"/>
        <v>1921.5488754770545</v>
      </c>
      <c r="R1581" s="4">
        <f t="shared" ca="1" si="156"/>
        <v>-2.1211685229454815</v>
      </c>
      <c r="S1581" s="4">
        <f t="shared" ca="1" si="157"/>
        <v>-1.0719247336365152</v>
      </c>
    </row>
    <row r="1582" spans="15:19" x14ac:dyDescent="0.2">
      <c r="O1582" s="4">
        <f t="shared" ca="1" si="153"/>
        <v>3.9072102782674145E-2</v>
      </c>
      <c r="P1582" s="4">
        <f t="shared" ca="1" si="154"/>
        <v>-1.7615568161331938</v>
      </c>
      <c r="Q1582" s="4">
        <f t="shared" ca="1" si="155"/>
        <v>1976.6305696973182</v>
      </c>
      <c r="R1582" s="4">
        <f t="shared" ca="1" si="156"/>
        <v>52.960525697318189</v>
      </c>
      <c r="S1582" s="4">
        <f t="shared" ca="1" si="157"/>
        <v>27.950891650681619</v>
      </c>
    </row>
    <row r="1583" spans="15:19" x14ac:dyDescent="0.2">
      <c r="O1583" s="4">
        <f t="shared" ca="1" si="153"/>
        <v>0.38946280092766161</v>
      </c>
      <c r="P1583" s="4">
        <f t="shared" ca="1" si="154"/>
        <v>-0.28071943380743319</v>
      </c>
      <c r="Q1583" s="4">
        <f t="shared" ca="1" si="155"/>
        <v>1931.7686669474522</v>
      </c>
      <c r="R1583" s="4">
        <f t="shared" ca="1" si="156"/>
        <v>8.0986229474522133</v>
      </c>
      <c r="S1583" s="4">
        <f t="shared" ca="1" si="157"/>
        <v>4.1263009929159455</v>
      </c>
    </row>
    <row r="1584" spans="15:19" x14ac:dyDescent="0.2">
      <c r="O1584" s="4">
        <f t="shared" ca="1" si="153"/>
        <v>0.90959399732709434</v>
      </c>
      <c r="P1584" s="4">
        <f t="shared" ca="1" si="154"/>
        <v>1.3382590514138732</v>
      </c>
      <c r="Q1584" s="4">
        <f t="shared" ca="1" si="155"/>
        <v>1882.7217856186919</v>
      </c>
      <c r="R1584" s="4">
        <f t="shared" ca="1" si="156"/>
        <v>-40.948258381308051</v>
      </c>
      <c r="S1584" s="4">
        <f t="shared" ca="1" si="157"/>
        <v>-20.045852137173188</v>
      </c>
    </row>
    <row r="1585" spans="15:19" x14ac:dyDescent="0.2">
      <c r="O1585" s="4">
        <f t="shared" ca="1" si="153"/>
        <v>0.65147186377582333</v>
      </c>
      <c r="P1585" s="4">
        <f t="shared" ca="1" si="154"/>
        <v>0.38929724718061887</v>
      </c>
      <c r="Q1585" s="4">
        <f t="shared" ca="1" si="155"/>
        <v>1911.4705413449872</v>
      </c>
      <c r="R1585" s="4">
        <f t="shared" ca="1" si="156"/>
        <v>-12.199502655012793</v>
      </c>
      <c r="S1585" s="4">
        <f t="shared" ca="1" si="157"/>
        <v>-6.1149244931576519</v>
      </c>
    </row>
    <row r="1586" spans="15:19" x14ac:dyDescent="0.2">
      <c r="O1586" s="4">
        <f t="shared" ca="1" si="153"/>
        <v>0.83725597938138963</v>
      </c>
      <c r="P1586" s="4">
        <f t="shared" ca="1" si="154"/>
        <v>0.98324262394541806</v>
      </c>
      <c r="Q1586" s="4">
        <f t="shared" ca="1" si="155"/>
        <v>1893.4769925264759</v>
      </c>
      <c r="R1586" s="4">
        <f t="shared" ca="1" si="156"/>
        <v>-30.193051473524065</v>
      </c>
      <c r="S1586" s="4">
        <f t="shared" ca="1" si="157"/>
        <v>-14.912925800982226</v>
      </c>
    </row>
    <row r="1587" spans="15:19" x14ac:dyDescent="0.2">
      <c r="O1587" s="4">
        <f t="shared" ca="1" si="153"/>
        <v>6.8959470301625747E-2</v>
      </c>
      <c r="P1587" s="4">
        <f t="shared" ca="1" si="154"/>
        <v>-1.4835854166569913</v>
      </c>
      <c r="Q1587" s="4">
        <f t="shared" ca="1" si="155"/>
        <v>1968.2094384918375</v>
      </c>
      <c r="R1587" s="4">
        <f t="shared" ca="1" si="156"/>
        <v>44.539394491837584</v>
      </c>
      <c r="S1587" s="4">
        <f t="shared" ca="1" si="157"/>
        <v>23.353804446312868</v>
      </c>
    </row>
    <row r="1588" spans="15:19" x14ac:dyDescent="0.2">
      <c r="O1588" s="4">
        <f t="shared" ca="1" si="153"/>
        <v>0.10277078442288901</v>
      </c>
      <c r="P1588" s="4">
        <f t="shared" ca="1" si="154"/>
        <v>-1.26592043673487</v>
      </c>
      <c r="Q1588" s="4">
        <f t="shared" ca="1" si="155"/>
        <v>1961.6152875892037</v>
      </c>
      <c r="R1588" s="4">
        <f t="shared" ca="1" si="156"/>
        <v>37.945243589203756</v>
      </c>
      <c r="S1588" s="4">
        <f t="shared" ca="1" si="157"/>
        <v>19.79436914400485</v>
      </c>
    </row>
    <row r="1589" spans="15:19" x14ac:dyDescent="0.2">
      <c r="O1589" s="4">
        <f t="shared" ca="1" si="153"/>
        <v>5.9581023739054384E-2</v>
      </c>
      <c r="P1589" s="4">
        <f t="shared" ca="1" si="154"/>
        <v>-1.5583004283431663</v>
      </c>
      <c r="Q1589" s="4">
        <f t="shared" ca="1" si="155"/>
        <v>1970.472926453599</v>
      </c>
      <c r="R1589" s="4">
        <f t="shared" ca="1" si="156"/>
        <v>46.802882453599068</v>
      </c>
      <c r="S1589" s="4">
        <f t="shared" ca="1" si="157"/>
        <v>24.583766658491726</v>
      </c>
    </row>
    <row r="1590" spans="15:19" x14ac:dyDescent="0.2">
      <c r="O1590" s="4">
        <f t="shared" ca="1" si="153"/>
        <v>0.18599058105310218</v>
      </c>
      <c r="P1590" s="4">
        <f t="shared" ca="1" si="154"/>
        <v>-0.89276849328220886</v>
      </c>
      <c r="Q1590" s="4">
        <f t="shared" ca="1" si="155"/>
        <v>1950.3106660298768</v>
      </c>
      <c r="R1590" s="4">
        <f t="shared" ca="1" si="156"/>
        <v>26.640622029876795</v>
      </c>
      <c r="S1590" s="4">
        <f t="shared" ca="1" si="157"/>
        <v>13.774650101023976</v>
      </c>
    </row>
    <row r="1591" spans="15:19" x14ac:dyDescent="0.2">
      <c r="O1591" s="4">
        <f t="shared" ca="1" si="153"/>
        <v>0.51172376693751631</v>
      </c>
      <c r="P1591" s="4">
        <f t="shared" ca="1" si="154"/>
        <v>2.9391356772161554E-2</v>
      </c>
      <c r="Q1591" s="4">
        <f t="shared" ca="1" si="155"/>
        <v>1922.3738743154511</v>
      </c>
      <c r="R1591" s="4">
        <f t="shared" ca="1" si="156"/>
        <v>-1.2961696845488859</v>
      </c>
      <c r="S1591" s="4">
        <f t="shared" ca="1" si="157"/>
        <v>-0.6554498911436446</v>
      </c>
    </row>
    <row r="1592" spans="15:19" x14ac:dyDescent="0.2">
      <c r="O1592" s="4">
        <f t="shared" ca="1" si="153"/>
        <v>0.33633417753396389</v>
      </c>
      <c r="P1592" s="4">
        <f t="shared" ca="1" si="154"/>
        <v>-0.42248868891768615</v>
      </c>
      <c r="Q1592" s="4">
        <f t="shared" ca="1" si="155"/>
        <v>1936.0635602366049</v>
      </c>
      <c r="R1592" s="4">
        <f t="shared" ca="1" si="156"/>
        <v>12.39351623660491</v>
      </c>
      <c r="S1592" s="4">
        <f t="shared" ca="1" si="157"/>
        <v>6.3362448379049559</v>
      </c>
    </row>
    <row r="1593" spans="15:19" x14ac:dyDescent="0.2">
      <c r="O1593" s="4">
        <f t="shared" ca="1" si="153"/>
        <v>0.73712036347450194</v>
      </c>
      <c r="P1593" s="4">
        <f t="shared" ca="1" si="154"/>
        <v>0.63449278636241269</v>
      </c>
      <c r="Q1593" s="4">
        <f t="shared" ca="1" si="155"/>
        <v>1904.0423533719106</v>
      </c>
      <c r="R1593" s="4">
        <f t="shared" ca="1" si="156"/>
        <v>-19.62769062808934</v>
      </c>
      <c r="S1593" s="4">
        <f t="shared" ca="1" si="157"/>
        <v>-9.7789073589275244</v>
      </c>
    </row>
    <row r="1594" spans="15:19" x14ac:dyDescent="0.2">
      <c r="O1594" s="4">
        <f t="shared" ca="1" si="153"/>
        <v>0.67053850246975633</v>
      </c>
      <c r="P1594" s="4">
        <f t="shared" ca="1" si="154"/>
        <v>0.44140061777819084</v>
      </c>
      <c r="Q1594" s="4">
        <f t="shared" ca="1" si="155"/>
        <v>1909.892072046071</v>
      </c>
      <c r="R1594" s="4">
        <f t="shared" ca="1" si="156"/>
        <v>-13.777971953928954</v>
      </c>
      <c r="S1594" s="4">
        <f t="shared" ca="1" si="157"/>
        <v>-6.8972693836735637</v>
      </c>
    </row>
    <row r="1595" spans="15:19" x14ac:dyDescent="0.2">
      <c r="O1595" s="4">
        <f t="shared" ca="1" si="153"/>
        <v>0.3821731701220471</v>
      </c>
      <c r="P1595" s="4">
        <f t="shared" ca="1" si="154"/>
        <v>-0.29977820608318773</v>
      </c>
      <c r="Q1595" s="4">
        <f t="shared" ca="1" si="155"/>
        <v>1932.346051607356</v>
      </c>
      <c r="R1595" s="4">
        <f t="shared" ca="1" si="156"/>
        <v>8.6760076073560413</v>
      </c>
      <c r="S1595" s="4">
        <f t="shared" ca="1" si="157"/>
        <v>4.4225213973109749</v>
      </c>
    </row>
    <row r="1596" spans="15:19" x14ac:dyDescent="0.2">
      <c r="O1596" s="4">
        <f t="shared" ca="1" si="153"/>
        <v>0.56420645367497124</v>
      </c>
      <c r="P1596" s="4">
        <f t="shared" ca="1" si="154"/>
        <v>0.16164287405491912</v>
      </c>
      <c r="Q1596" s="4">
        <f t="shared" ca="1" si="155"/>
        <v>1918.3673204712047</v>
      </c>
      <c r="R1596" s="4">
        <f t="shared" ca="1" si="156"/>
        <v>-5.3027235287952408</v>
      </c>
      <c r="S1596" s="4">
        <f t="shared" ca="1" si="157"/>
        <v>-2.6728442605350407</v>
      </c>
    </row>
    <row r="1597" spans="15:19" x14ac:dyDescent="0.2">
      <c r="O1597" s="4">
        <f t="shared" ca="1" si="153"/>
        <v>5.3418472212268808E-2</v>
      </c>
      <c r="P1597" s="4">
        <f t="shared" ca="1" si="154"/>
        <v>-1.6125746738749733</v>
      </c>
      <c r="Q1597" s="4">
        <f t="shared" ca="1" si="155"/>
        <v>1972.117162312263</v>
      </c>
      <c r="R1597" s="4">
        <f t="shared" ca="1" si="156"/>
        <v>48.447118312263001</v>
      </c>
      <c r="S1597" s="4">
        <f t="shared" ca="1" si="157"/>
        <v>25.479847477950351</v>
      </c>
    </row>
    <row r="1598" spans="15:19" x14ac:dyDescent="0.2">
      <c r="O1598" s="4">
        <f t="shared" ca="1" si="153"/>
        <v>0.52772658880323631</v>
      </c>
      <c r="P1598" s="4">
        <f t="shared" ca="1" si="154"/>
        <v>6.9556297244962109E-2</v>
      </c>
      <c r="Q1598" s="4">
        <f t="shared" ca="1" si="155"/>
        <v>1921.1570792271107</v>
      </c>
      <c r="R1598" s="4">
        <f t="shared" ca="1" si="156"/>
        <v>-2.5129647728892905</v>
      </c>
      <c r="S1598" s="4">
        <f t="shared" ca="1" si="157"/>
        <v>-1.269516743405414</v>
      </c>
    </row>
    <row r="1599" spans="15:19" x14ac:dyDescent="0.2">
      <c r="O1599" s="4">
        <f t="shared" ca="1" si="153"/>
        <v>0.79017983377908196</v>
      </c>
      <c r="P1599" s="4">
        <f t="shared" ca="1" si="154"/>
        <v>0.80704539084756088</v>
      </c>
      <c r="Q1599" s="4">
        <f t="shared" ca="1" si="155"/>
        <v>1898.8148798801953</v>
      </c>
      <c r="R1599" s="4">
        <f t="shared" ca="1" si="156"/>
        <v>-24.855164119804613</v>
      </c>
      <c r="S1599" s="4">
        <f t="shared" ca="1" si="157"/>
        <v>-12.330448637558881</v>
      </c>
    </row>
    <row r="1600" spans="15:19" x14ac:dyDescent="0.2">
      <c r="O1600" s="4">
        <f t="shared" ca="1" si="153"/>
        <v>0.33858338772931429</v>
      </c>
      <c r="P1600" s="4">
        <f t="shared" ca="1" si="154"/>
        <v>-0.41633241586451147</v>
      </c>
      <c r="Q1600" s="4">
        <f t="shared" ca="1" si="155"/>
        <v>1935.8770562177913</v>
      </c>
      <c r="R1600" s="4">
        <f t="shared" ca="1" si="156"/>
        <v>12.207012217791316</v>
      </c>
      <c r="S1600" s="4">
        <f t="shared" ca="1" si="157"/>
        <v>6.2399670035272594</v>
      </c>
    </row>
    <row r="1601" spans="15:19" x14ac:dyDescent="0.2">
      <c r="O1601" s="4">
        <f t="shared" ca="1" si="153"/>
        <v>0.1436603558859505</v>
      </c>
      <c r="P1601" s="4">
        <f t="shared" ca="1" si="154"/>
        <v>-1.0640176327960427</v>
      </c>
      <c r="Q1601" s="4">
        <f t="shared" ca="1" si="155"/>
        <v>1955.4986511081586</v>
      </c>
      <c r="R1601" s="4">
        <f t="shared" ca="1" si="156"/>
        <v>31.828607108158621</v>
      </c>
      <c r="S1601" s="4">
        <f t="shared" ca="1" si="157"/>
        <v>16.524338319973911</v>
      </c>
    </row>
    <row r="1602" spans="15:19" x14ac:dyDescent="0.2">
      <c r="O1602" s="4">
        <f t="shared" ca="1" si="153"/>
        <v>0.22276095434563159</v>
      </c>
      <c r="P1602" s="4">
        <f t="shared" ca="1" si="154"/>
        <v>-0.76290189047187695</v>
      </c>
      <c r="Q1602" s="4">
        <f t="shared" ca="1" si="155"/>
        <v>1946.3763630636849</v>
      </c>
      <c r="R1602" s="4">
        <f t="shared" ca="1" si="156"/>
        <v>22.706319063684987</v>
      </c>
      <c r="S1602" s="4">
        <f t="shared" ca="1" si="157"/>
        <v>11.704036616122174</v>
      </c>
    </row>
    <row r="1603" spans="15:19" x14ac:dyDescent="0.2">
      <c r="O1603" s="4">
        <f t="shared" ref="O1603:O1666" ca="1" si="158">RAND()</f>
        <v>0.97319796979122497</v>
      </c>
      <c r="P1603" s="4">
        <f t="shared" ref="P1603:P1666" ca="1" si="159">NORMSINV(O1603)</f>
        <v>1.9300224155604384</v>
      </c>
      <c r="Q1603" s="4">
        <f t="shared" ref="Q1603:Q1666" ca="1" si="160">$B$4*(1+$B$17-$B$6/SQRT(252)*P1603)</f>
        <v>1864.7943407755711</v>
      </c>
      <c r="R1603" s="4">
        <f t="shared" ref="R1603:R1666" ca="1" si="161">Q1603-$B$4</f>
        <v>-58.875703224428889</v>
      </c>
      <c r="S1603" s="4">
        <f t="shared" ref="S1603:S1666" ca="1" si="162">R1603*$B$12+0.5*$B$13*R1603^2</f>
        <v>-28.392413882567375</v>
      </c>
    </row>
    <row r="1604" spans="15:19" x14ac:dyDescent="0.2">
      <c r="O1604" s="4">
        <f t="shared" ca="1" si="158"/>
        <v>0.23577551791663154</v>
      </c>
      <c r="P1604" s="4">
        <f t="shared" ca="1" si="159"/>
        <v>-0.71995770704616358</v>
      </c>
      <c r="Q1604" s="4">
        <f t="shared" ca="1" si="160"/>
        <v>1945.0753709334813</v>
      </c>
      <c r="R1604" s="4">
        <f t="shared" ca="1" si="161"/>
        <v>21.405326933481319</v>
      </c>
      <c r="S1604" s="4">
        <f t="shared" ca="1" si="162"/>
        <v>11.02210039988219</v>
      </c>
    </row>
    <row r="1605" spans="15:19" x14ac:dyDescent="0.2">
      <c r="O1605" s="4">
        <f t="shared" ca="1" si="158"/>
        <v>0.91134989965217506</v>
      </c>
      <c r="P1605" s="4">
        <f t="shared" ca="1" si="159"/>
        <v>1.3491144715272769</v>
      </c>
      <c r="Q1605" s="4">
        <f t="shared" ca="1" si="160"/>
        <v>1882.3929211483262</v>
      </c>
      <c r="R1605" s="4">
        <f t="shared" ca="1" si="161"/>
        <v>-41.277122851673766</v>
      </c>
      <c r="S1605" s="4">
        <f t="shared" ca="1" si="162"/>
        <v>-20.201318991710185</v>
      </c>
    </row>
    <row r="1606" spans="15:19" x14ac:dyDescent="0.2">
      <c r="O1606" s="4">
        <f t="shared" ca="1" si="158"/>
        <v>0.5679721590833009</v>
      </c>
      <c r="P1606" s="4">
        <f t="shared" ca="1" si="159"/>
        <v>0.17121376826927964</v>
      </c>
      <c r="Q1606" s="4">
        <f t="shared" ca="1" si="160"/>
        <v>1918.0773706559187</v>
      </c>
      <c r="R1606" s="4">
        <f t="shared" ca="1" si="161"/>
        <v>-5.5926733440812768</v>
      </c>
      <c r="S1606" s="4">
        <f t="shared" ca="1" si="162"/>
        <v>-2.8183337172191036</v>
      </c>
    </row>
    <row r="1607" spans="15:19" x14ac:dyDescent="0.2">
      <c r="O1607" s="4">
        <f t="shared" ca="1" si="158"/>
        <v>0.52527035215581164</v>
      </c>
      <c r="P1607" s="4">
        <f t="shared" ca="1" si="159"/>
        <v>6.3385798471022256E-2</v>
      </c>
      <c r="Q1607" s="4">
        <f t="shared" ca="1" si="160"/>
        <v>1921.3440142135034</v>
      </c>
      <c r="R1607" s="4">
        <f t="shared" ca="1" si="161"/>
        <v>-2.3260297864965196</v>
      </c>
      <c r="S1607" s="4">
        <f t="shared" ca="1" si="162"/>
        <v>-1.1752566478974271</v>
      </c>
    </row>
    <row r="1608" spans="15:19" x14ac:dyDescent="0.2">
      <c r="O1608" s="4">
        <f t="shared" ca="1" si="158"/>
        <v>0.20063981331585767</v>
      </c>
      <c r="P1608" s="4">
        <f t="shared" ca="1" si="159"/>
        <v>-0.83933806825016721</v>
      </c>
      <c r="Q1608" s="4">
        <f t="shared" ca="1" si="160"/>
        <v>1948.6919936757884</v>
      </c>
      <c r="R1608" s="4">
        <f t="shared" ca="1" si="161"/>
        <v>25.021949675788392</v>
      </c>
      <c r="S1608" s="4">
        <f t="shared" ca="1" si="162"/>
        <v>12.921221227595085</v>
      </c>
    </row>
    <row r="1609" spans="15:19" x14ac:dyDescent="0.2">
      <c r="O1609" s="4">
        <f t="shared" ca="1" si="158"/>
        <v>0.21339164810326272</v>
      </c>
      <c r="P1609" s="4">
        <f t="shared" ca="1" si="159"/>
        <v>-0.79470814003616574</v>
      </c>
      <c r="Q1609" s="4">
        <f t="shared" ca="1" si="160"/>
        <v>1947.3399319820692</v>
      </c>
      <c r="R1609" s="4">
        <f t="shared" ca="1" si="161"/>
        <v>23.669887982069213</v>
      </c>
      <c r="S1609" s="4">
        <f t="shared" ca="1" si="162"/>
        <v>12.209995209508621</v>
      </c>
    </row>
    <row r="1610" spans="15:19" x14ac:dyDescent="0.2">
      <c r="O1610" s="4">
        <f t="shared" ca="1" si="158"/>
        <v>0.8373629447058506</v>
      </c>
      <c r="P1610" s="4">
        <f t="shared" ca="1" si="159"/>
        <v>0.98367749088018719</v>
      </c>
      <c r="Q1610" s="4">
        <f t="shared" ca="1" si="160"/>
        <v>1893.4638182519948</v>
      </c>
      <c r="R1610" s="4">
        <f t="shared" ca="1" si="161"/>
        <v>-30.206225748005181</v>
      </c>
      <c r="S1610" s="4">
        <f t="shared" ca="1" si="162"/>
        <v>-14.919270836002045</v>
      </c>
    </row>
    <row r="1611" spans="15:19" x14ac:dyDescent="0.2">
      <c r="O1611" s="4">
        <f t="shared" ca="1" si="158"/>
        <v>0.44298483455103466</v>
      </c>
      <c r="P1611" s="4">
        <f t="shared" ca="1" si="159"/>
        <v>-0.14340584239665335</v>
      </c>
      <c r="Q1611" s="4">
        <f t="shared" ca="1" si="160"/>
        <v>1927.6087577922485</v>
      </c>
      <c r="R1611" s="4">
        <f t="shared" ca="1" si="161"/>
        <v>3.9387137922485635</v>
      </c>
      <c r="S1611" s="4">
        <f t="shared" ca="1" si="162"/>
        <v>2.0001305556957321</v>
      </c>
    </row>
    <row r="1612" spans="15:19" x14ac:dyDescent="0.2">
      <c r="O1612" s="4">
        <f t="shared" ca="1" si="158"/>
        <v>0.17442395557596868</v>
      </c>
      <c r="P1612" s="4">
        <f t="shared" ca="1" si="159"/>
        <v>-0.93682630655988952</v>
      </c>
      <c r="Q1612" s="4">
        <f t="shared" ca="1" si="160"/>
        <v>1951.6453955270015</v>
      </c>
      <c r="R1612" s="4">
        <f t="shared" ca="1" si="161"/>
        <v>27.975351527001521</v>
      </c>
      <c r="S1612" s="4">
        <f t="shared" ca="1" si="162"/>
        <v>14.479977595628684</v>
      </c>
    </row>
    <row r="1613" spans="15:19" x14ac:dyDescent="0.2">
      <c r="O1613" s="4">
        <f t="shared" ca="1" si="158"/>
        <v>0.5961687372385932</v>
      </c>
      <c r="P1613" s="4">
        <f t="shared" ca="1" si="159"/>
        <v>0.24344262665747296</v>
      </c>
      <c r="Q1613" s="4">
        <f t="shared" ca="1" si="160"/>
        <v>1915.8892005979374</v>
      </c>
      <c r="R1613" s="4">
        <f t="shared" ca="1" si="161"/>
        <v>-7.7808434020626009</v>
      </c>
      <c r="S1613" s="4">
        <f t="shared" ca="1" si="162"/>
        <v>-3.9140945514309609</v>
      </c>
    </row>
    <row r="1614" spans="15:19" x14ac:dyDescent="0.2">
      <c r="O1614" s="4">
        <f t="shared" ca="1" si="158"/>
        <v>0.52849956074371374</v>
      </c>
      <c r="P1614" s="4">
        <f t="shared" ca="1" si="159"/>
        <v>7.1498675685120333E-2</v>
      </c>
      <c r="Q1614" s="4">
        <f t="shared" ca="1" si="160"/>
        <v>1921.0982349585056</v>
      </c>
      <c r="R1614" s="4">
        <f t="shared" ca="1" si="161"/>
        <v>-2.5718090414943617</v>
      </c>
      <c r="S1614" s="4">
        <f t="shared" ca="1" si="162"/>
        <v>-1.2991824894473065</v>
      </c>
    </row>
    <row r="1615" spans="15:19" x14ac:dyDescent="0.2">
      <c r="O1615" s="4">
        <f t="shared" ca="1" si="158"/>
        <v>0.24336081186551994</v>
      </c>
      <c r="P1615" s="4">
        <f t="shared" ca="1" si="159"/>
        <v>-0.69553254366577921</v>
      </c>
      <c r="Q1615" s="4">
        <f t="shared" ca="1" si="160"/>
        <v>1944.3354116933251</v>
      </c>
      <c r="R1615" s="4">
        <f t="shared" ca="1" si="161"/>
        <v>20.665367693325152</v>
      </c>
      <c r="S1615" s="4">
        <f t="shared" ca="1" si="162"/>
        <v>10.634853475759682</v>
      </c>
    </row>
    <row r="1616" spans="15:19" x14ac:dyDescent="0.2">
      <c r="O1616" s="4">
        <f t="shared" ca="1" si="158"/>
        <v>0.88949017182122914</v>
      </c>
      <c r="P1616" s="4">
        <f t="shared" ca="1" si="159"/>
        <v>1.2238212760214993</v>
      </c>
      <c r="Q1616" s="4">
        <f t="shared" ca="1" si="160"/>
        <v>1886.1886729432817</v>
      </c>
      <c r="R1616" s="4">
        <f t="shared" ca="1" si="161"/>
        <v>-37.481371056718217</v>
      </c>
      <c r="S1616" s="4">
        <f t="shared" ca="1" si="162"/>
        <v>-18.401564660657204</v>
      </c>
    </row>
    <row r="1617" spans="15:19" x14ac:dyDescent="0.2">
      <c r="O1617" s="4">
        <f t="shared" ca="1" si="158"/>
        <v>0.82680720603641689</v>
      </c>
      <c r="P1617" s="4">
        <f t="shared" ca="1" si="159"/>
        <v>0.94162319918464843</v>
      </c>
      <c r="Q1617" s="4">
        <f t="shared" ca="1" si="160"/>
        <v>1894.7378511517429</v>
      </c>
      <c r="R1617" s="4">
        <f t="shared" ca="1" si="161"/>
        <v>-28.932192848257046</v>
      </c>
      <c r="S1617" s="4">
        <f t="shared" ca="1" si="162"/>
        <v>-14.305013245290191</v>
      </c>
    </row>
    <row r="1618" spans="15:19" x14ac:dyDescent="0.2">
      <c r="O1618" s="4">
        <f t="shared" ca="1" si="158"/>
        <v>0.88581695300833985</v>
      </c>
      <c r="P1618" s="4">
        <f t="shared" ca="1" si="159"/>
        <v>1.2045784140323614</v>
      </c>
      <c r="Q1618" s="4">
        <f t="shared" ca="1" si="160"/>
        <v>1886.7716345928789</v>
      </c>
      <c r="R1618" s="4">
        <f t="shared" ca="1" si="161"/>
        <v>-36.898409407121108</v>
      </c>
      <c r="S1618" s="4">
        <f t="shared" ca="1" si="162"/>
        <v>-18.124114512966315</v>
      </c>
    </row>
    <row r="1619" spans="15:19" x14ac:dyDescent="0.2">
      <c r="O1619" s="4">
        <f t="shared" ca="1" si="158"/>
        <v>0.84668686046394981</v>
      </c>
      <c r="P1619" s="4">
        <f t="shared" ca="1" si="159"/>
        <v>1.0223267448125017</v>
      </c>
      <c r="Q1619" s="4">
        <f t="shared" ca="1" si="160"/>
        <v>1892.2929408201032</v>
      </c>
      <c r="R1619" s="4">
        <f t="shared" ca="1" si="161"/>
        <v>-31.377103179896721</v>
      </c>
      <c r="S1619" s="4">
        <f t="shared" ca="1" si="162"/>
        <v>-15.482628111312872</v>
      </c>
    </row>
    <row r="1620" spans="15:19" x14ac:dyDescent="0.2">
      <c r="O1620" s="4">
        <f t="shared" ca="1" si="158"/>
        <v>4.0088029190478824E-2</v>
      </c>
      <c r="P1620" s="4">
        <f t="shared" ca="1" si="159"/>
        <v>-1.7496654523269375</v>
      </c>
      <c r="Q1620" s="4">
        <f t="shared" ca="1" si="160"/>
        <v>1976.2703213587722</v>
      </c>
      <c r="R1620" s="4">
        <f t="shared" ca="1" si="161"/>
        <v>52.600277358772246</v>
      </c>
      <c r="S1620" s="4">
        <f t="shared" ca="1" si="162"/>
        <v>27.753050342293911</v>
      </c>
    </row>
    <row r="1621" spans="15:19" x14ac:dyDescent="0.2">
      <c r="O1621" s="4">
        <f t="shared" ca="1" si="158"/>
        <v>0.97798507989207584</v>
      </c>
      <c r="P1621" s="4">
        <f t="shared" ca="1" si="159"/>
        <v>2.0138066220067672</v>
      </c>
      <c r="Q1621" s="4">
        <f t="shared" ca="1" si="160"/>
        <v>1862.2561019612142</v>
      </c>
      <c r="R1621" s="4">
        <f t="shared" ca="1" si="161"/>
        <v>-61.413942038785763</v>
      </c>
      <c r="S1621" s="4">
        <f t="shared" ca="1" si="162"/>
        <v>-29.553007290382499</v>
      </c>
    </row>
    <row r="1622" spans="15:19" x14ac:dyDescent="0.2">
      <c r="O1622" s="4">
        <f t="shared" ca="1" si="158"/>
        <v>0.94717996374681968</v>
      </c>
      <c r="P1622" s="4">
        <f t="shared" ca="1" si="159"/>
        <v>1.6181045296523684</v>
      </c>
      <c r="Q1622" s="4">
        <f t="shared" ca="1" si="160"/>
        <v>1874.2438792803152</v>
      </c>
      <c r="R1622" s="4">
        <f t="shared" ca="1" si="161"/>
        <v>-49.426164719684721</v>
      </c>
      <c r="S1622" s="4">
        <f t="shared" ca="1" si="162"/>
        <v>-24.025560667136467</v>
      </c>
    </row>
    <row r="1623" spans="15:19" x14ac:dyDescent="0.2">
      <c r="O1623" s="4">
        <f t="shared" ca="1" si="158"/>
        <v>5.696785039798502E-2</v>
      </c>
      <c r="P1623" s="4">
        <f t="shared" ca="1" si="159"/>
        <v>-1.5807478587847585</v>
      </c>
      <c r="Q1623" s="4">
        <f t="shared" ca="1" si="160"/>
        <v>1971.1529703621839</v>
      </c>
      <c r="R1623" s="4">
        <f t="shared" ca="1" si="161"/>
        <v>47.482926362183889</v>
      </c>
      <c r="S1623" s="4">
        <f t="shared" ca="1" si="162"/>
        <v>24.954112210042638</v>
      </c>
    </row>
    <row r="1624" spans="15:19" x14ac:dyDescent="0.2">
      <c r="O1624" s="4">
        <f t="shared" ca="1" si="158"/>
        <v>0.97935513839219501</v>
      </c>
      <c r="P1624" s="4">
        <f t="shared" ca="1" si="159"/>
        <v>2.0406088359052319</v>
      </c>
      <c r="Q1624" s="4">
        <f t="shared" ca="1" si="160"/>
        <v>1861.4441300811516</v>
      </c>
      <c r="R1624" s="4">
        <f t="shared" ca="1" si="161"/>
        <v>-62.225913918848391</v>
      </c>
      <c r="S1624" s="4">
        <f t="shared" ca="1" si="162"/>
        <v>-29.923168880421308</v>
      </c>
    </row>
    <row r="1625" spans="15:19" x14ac:dyDescent="0.2">
      <c r="O1625" s="4">
        <f t="shared" ca="1" si="158"/>
        <v>0.6066491236838194</v>
      </c>
      <c r="P1625" s="4">
        <f t="shared" ca="1" si="159"/>
        <v>0.27059602599683891</v>
      </c>
      <c r="Q1625" s="4">
        <f t="shared" ca="1" si="160"/>
        <v>1915.0665895705347</v>
      </c>
      <c r="R1625" s="4">
        <f t="shared" ca="1" si="161"/>
        <v>-8.6034544294652733</v>
      </c>
      <c r="S1625" s="4">
        <f t="shared" ca="1" si="162"/>
        <v>-4.3250218709241706</v>
      </c>
    </row>
    <row r="1626" spans="15:19" x14ac:dyDescent="0.2">
      <c r="O1626" s="4">
        <f t="shared" ca="1" si="158"/>
        <v>0.96257347427317064</v>
      </c>
      <c r="P1626" s="4">
        <f t="shared" ca="1" si="159"/>
        <v>1.7813637176750334</v>
      </c>
      <c r="Q1626" s="4">
        <f t="shared" ca="1" si="160"/>
        <v>1869.2979494277124</v>
      </c>
      <c r="R1626" s="4">
        <f t="shared" ca="1" si="161"/>
        <v>-54.372094572287551</v>
      </c>
      <c r="S1626" s="4">
        <f t="shared" ca="1" si="162"/>
        <v>-26.320258048331702</v>
      </c>
    </row>
    <row r="1627" spans="15:19" x14ac:dyDescent="0.2">
      <c r="O1627" s="4">
        <f t="shared" ca="1" si="158"/>
        <v>0.52735496448319885</v>
      </c>
      <c r="P1627" s="4">
        <f t="shared" ca="1" si="159"/>
        <v>6.8622547283560362E-2</v>
      </c>
      <c r="Q1627" s="4">
        <f t="shared" ca="1" si="160"/>
        <v>1921.1853671407339</v>
      </c>
      <c r="R1627" s="4">
        <f t="shared" ca="1" si="161"/>
        <v>-2.4846768592660737</v>
      </c>
      <c r="S1627" s="4">
        <f t="shared" ca="1" si="162"/>
        <v>-1.2552546729904492</v>
      </c>
    </row>
    <row r="1628" spans="15:19" x14ac:dyDescent="0.2">
      <c r="O1628" s="4">
        <f t="shared" ca="1" si="158"/>
        <v>0.27981099304572454</v>
      </c>
      <c r="P1628" s="4">
        <f t="shared" ca="1" si="159"/>
        <v>-0.58340307823882487</v>
      </c>
      <c r="Q1628" s="4">
        <f t="shared" ca="1" si="160"/>
        <v>1940.9384545166515</v>
      </c>
      <c r="R1628" s="4">
        <f t="shared" ca="1" si="161"/>
        <v>17.268410516651556</v>
      </c>
      <c r="S1628" s="4">
        <f t="shared" ca="1" si="162"/>
        <v>8.8628257756731426</v>
      </c>
    </row>
    <row r="1629" spans="15:19" x14ac:dyDescent="0.2">
      <c r="O1629" s="4">
        <f t="shared" ca="1" si="158"/>
        <v>0.49804425236352634</v>
      </c>
      <c r="P1629" s="4">
        <f t="shared" ca="1" si="159"/>
        <v>-4.9023519599723387E-3</v>
      </c>
      <c r="Q1629" s="4">
        <f t="shared" ca="1" si="160"/>
        <v>1923.4128006988849</v>
      </c>
      <c r="R1629" s="4">
        <f t="shared" ca="1" si="161"/>
        <v>-0.25724330111506788</v>
      </c>
      <c r="S1629" s="4">
        <f t="shared" ca="1" si="162"/>
        <v>-0.13019214125210898</v>
      </c>
    </row>
    <row r="1630" spans="15:19" x14ac:dyDescent="0.2">
      <c r="O1630" s="4">
        <f t="shared" ca="1" si="158"/>
        <v>3.8803850437277965E-2</v>
      </c>
      <c r="P1630" s="4">
        <f t="shared" ca="1" si="159"/>
        <v>-1.7647386427746781</v>
      </c>
      <c r="Q1630" s="4">
        <f t="shared" ca="1" si="160"/>
        <v>1976.7269629941522</v>
      </c>
      <c r="R1630" s="4">
        <f t="shared" ca="1" si="161"/>
        <v>53.056918994152284</v>
      </c>
      <c r="S1630" s="4">
        <f t="shared" ca="1" si="162"/>
        <v>28.003846873149101</v>
      </c>
    </row>
    <row r="1631" spans="15:19" x14ac:dyDescent="0.2">
      <c r="O1631" s="4">
        <f t="shared" ca="1" si="158"/>
        <v>0.32044610765788684</v>
      </c>
      <c r="P1631" s="4">
        <f t="shared" ca="1" si="159"/>
        <v>-0.46645169612059212</v>
      </c>
      <c r="Q1631" s="4">
        <f t="shared" ca="1" si="160"/>
        <v>1937.3954175879035</v>
      </c>
      <c r="R1631" s="4">
        <f t="shared" ca="1" si="161"/>
        <v>13.725373587903505</v>
      </c>
      <c r="S1631" s="4">
        <f t="shared" ca="1" si="162"/>
        <v>7.0246046432955707</v>
      </c>
    </row>
    <row r="1632" spans="15:19" x14ac:dyDescent="0.2">
      <c r="O1632" s="4">
        <f t="shared" ca="1" si="158"/>
        <v>0.87898042432280454</v>
      </c>
      <c r="P1632" s="4">
        <f t="shared" ca="1" si="159"/>
        <v>1.1699051246930892</v>
      </c>
      <c r="Q1632" s="4">
        <f t="shared" ca="1" si="160"/>
        <v>1887.822060353953</v>
      </c>
      <c r="R1632" s="4">
        <f t="shared" ca="1" si="161"/>
        <v>-35.847983646046941</v>
      </c>
      <c r="S1632" s="4">
        <f t="shared" ca="1" si="162"/>
        <v>-17.623484770664366</v>
      </c>
    </row>
    <row r="1633" spans="15:19" x14ac:dyDescent="0.2">
      <c r="O1633" s="4">
        <f t="shared" ca="1" si="158"/>
        <v>0.83213298758706056</v>
      </c>
      <c r="P1633" s="4">
        <f t="shared" ca="1" si="159"/>
        <v>0.96262843026823319</v>
      </c>
      <c r="Q1633" s="4">
        <f t="shared" ca="1" si="160"/>
        <v>1894.1014986086768</v>
      </c>
      <c r="R1633" s="4">
        <f t="shared" ca="1" si="161"/>
        <v>-29.568545391323141</v>
      </c>
      <c r="S1633" s="4">
        <f t="shared" ca="1" si="162"/>
        <v>-14.611987131455614</v>
      </c>
    </row>
    <row r="1634" spans="15:19" x14ac:dyDescent="0.2">
      <c r="O1634" s="4">
        <f t="shared" ca="1" si="158"/>
        <v>0.16004991325790219</v>
      </c>
      <c r="P1634" s="4">
        <f t="shared" ca="1" si="159"/>
        <v>-0.99425276294911757</v>
      </c>
      <c r="Q1634" s="4">
        <f t="shared" ca="1" si="160"/>
        <v>1953.3851274736362</v>
      </c>
      <c r="R1634" s="4">
        <f t="shared" ca="1" si="161"/>
        <v>29.715083473636241</v>
      </c>
      <c r="S1634" s="4">
        <f t="shared" ca="1" si="162"/>
        <v>15.401502813791289</v>
      </c>
    </row>
    <row r="1635" spans="15:19" x14ac:dyDescent="0.2">
      <c r="O1635" s="4">
        <f t="shared" ca="1" si="158"/>
        <v>0.73590106978107617</v>
      </c>
      <c r="P1635" s="4">
        <f t="shared" ca="1" si="159"/>
        <v>0.63075938946205645</v>
      </c>
      <c r="Q1635" s="4">
        <f t="shared" ca="1" si="160"/>
        <v>1904.1554564652477</v>
      </c>
      <c r="R1635" s="4">
        <f t="shared" ca="1" si="161"/>
        <v>-19.514587534752309</v>
      </c>
      <c r="S1635" s="4">
        <f t="shared" ca="1" si="162"/>
        <v>-9.7234556066017035</v>
      </c>
    </row>
    <row r="1636" spans="15:19" x14ac:dyDescent="0.2">
      <c r="O1636" s="4">
        <f t="shared" ca="1" si="158"/>
        <v>0.16682127381755907</v>
      </c>
      <c r="P1636" s="4">
        <f t="shared" ca="1" si="159"/>
        <v>-0.96680295365235902</v>
      </c>
      <c r="Q1636" s="4">
        <f t="shared" ca="1" si="160"/>
        <v>1952.5535367197347</v>
      </c>
      <c r="R1636" s="4">
        <f t="shared" ca="1" si="161"/>
        <v>28.883492719734704</v>
      </c>
      <c r="S1636" s="4">
        <f t="shared" ca="1" si="162"/>
        <v>14.960706931540507</v>
      </c>
    </row>
    <row r="1637" spans="15:19" x14ac:dyDescent="0.2">
      <c r="O1637" s="4">
        <f t="shared" ca="1" si="158"/>
        <v>0.95542251243230614</v>
      </c>
      <c r="P1637" s="4">
        <f t="shared" ca="1" si="159"/>
        <v>1.6998721571452557</v>
      </c>
      <c r="Q1637" s="4">
        <f t="shared" ca="1" si="160"/>
        <v>1871.7667326358187</v>
      </c>
      <c r="R1637" s="4">
        <f t="shared" ca="1" si="161"/>
        <v>-51.903311364181263</v>
      </c>
      <c r="S1637" s="4">
        <f t="shared" ca="1" si="162"/>
        <v>-25.177338941317778</v>
      </c>
    </row>
    <row r="1638" spans="15:19" x14ac:dyDescent="0.2">
      <c r="O1638" s="4">
        <f t="shared" ca="1" si="158"/>
        <v>0.56624551638462206</v>
      </c>
      <c r="P1638" s="4">
        <f t="shared" ca="1" si="159"/>
        <v>0.16682344946556321</v>
      </c>
      <c r="Q1638" s="4">
        <f t="shared" ca="1" si="160"/>
        <v>1918.2103751691516</v>
      </c>
      <c r="R1638" s="4">
        <f t="shared" ca="1" si="161"/>
        <v>-5.4596688308483863</v>
      </c>
      <c r="S1638" s="4">
        <f t="shared" ca="1" si="162"/>
        <v>-2.7516039262527583</v>
      </c>
    </row>
    <row r="1639" spans="15:19" x14ac:dyDescent="0.2">
      <c r="O1639" s="4">
        <f t="shared" ca="1" si="158"/>
        <v>6.7026849721582238E-2</v>
      </c>
      <c r="P1639" s="4">
        <f t="shared" ca="1" si="159"/>
        <v>-1.4983062559685003</v>
      </c>
      <c r="Q1639" s="4">
        <f t="shared" ca="1" si="160"/>
        <v>1968.6554056651894</v>
      </c>
      <c r="R1639" s="4">
        <f t="shared" ca="1" si="161"/>
        <v>44.98536166518943</v>
      </c>
      <c r="S1639" s="4">
        <f t="shared" ca="1" si="162"/>
        <v>23.59580967821077</v>
      </c>
    </row>
    <row r="1640" spans="15:19" x14ac:dyDescent="0.2">
      <c r="O1640" s="4">
        <f t="shared" ca="1" si="158"/>
        <v>0.21883020720079949</v>
      </c>
      <c r="P1640" s="4">
        <f t="shared" ca="1" si="159"/>
        <v>-0.77615001680148954</v>
      </c>
      <c r="Q1640" s="4">
        <f t="shared" ca="1" si="160"/>
        <v>1946.7777144626366</v>
      </c>
      <c r="R1640" s="4">
        <f t="shared" ca="1" si="161"/>
        <v>23.107670462636634</v>
      </c>
      <c r="S1640" s="4">
        <f t="shared" ca="1" si="162"/>
        <v>11.914689614435943</v>
      </c>
    </row>
    <row r="1641" spans="15:19" x14ac:dyDescent="0.2">
      <c r="O1641" s="4">
        <f t="shared" ca="1" si="158"/>
        <v>0.31070794991266903</v>
      </c>
      <c r="P1641" s="4">
        <f t="shared" ca="1" si="159"/>
        <v>-0.49384464609857276</v>
      </c>
      <c r="Q1641" s="4">
        <f t="shared" ca="1" si="160"/>
        <v>1938.225285791267</v>
      </c>
      <c r="R1641" s="4">
        <f t="shared" ca="1" si="161"/>
        <v>14.555241791267008</v>
      </c>
      <c r="S1641" s="4">
        <f t="shared" ca="1" si="162"/>
        <v>7.4542456386643714</v>
      </c>
    </row>
    <row r="1642" spans="15:19" x14ac:dyDescent="0.2">
      <c r="O1642" s="4">
        <f t="shared" ca="1" si="158"/>
        <v>1.2321466491068911E-2</v>
      </c>
      <c r="P1642" s="4">
        <f t="shared" ca="1" si="159"/>
        <v>-2.2469545333925689</v>
      </c>
      <c r="Q1642" s="4">
        <f t="shared" ca="1" si="160"/>
        <v>1991.3356719905196</v>
      </c>
      <c r="R1642" s="4">
        <f t="shared" ca="1" si="161"/>
        <v>67.665627990519624</v>
      </c>
      <c r="S1642" s="4">
        <f t="shared" ca="1" si="162"/>
        <v>36.116825971759326</v>
      </c>
    </row>
    <row r="1643" spans="15:19" x14ac:dyDescent="0.2">
      <c r="O1643" s="4">
        <f t="shared" ca="1" si="158"/>
        <v>0.7264086130147287</v>
      </c>
      <c r="P1643" s="4">
        <f t="shared" ca="1" si="159"/>
        <v>0.6019870253749624</v>
      </c>
      <c r="Q1643" s="4">
        <f t="shared" ca="1" si="160"/>
        <v>1905.0271139578022</v>
      </c>
      <c r="R1643" s="4">
        <f t="shared" ca="1" si="161"/>
        <v>-18.642930042197804</v>
      </c>
      <c r="S1643" s="4">
        <f t="shared" ca="1" si="162"/>
        <v>-9.2957532849754632</v>
      </c>
    </row>
    <row r="1644" spans="15:19" x14ac:dyDescent="0.2">
      <c r="O1644" s="4">
        <f t="shared" ca="1" si="158"/>
        <v>0.37134863597967815</v>
      </c>
      <c r="P1644" s="4">
        <f t="shared" ca="1" si="159"/>
        <v>-0.32828356170500617</v>
      </c>
      <c r="Q1644" s="4">
        <f t="shared" ca="1" si="160"/>
        <v>1933.2096200903097</v>
      </c>
      <c r="R1644" s="4">
        <f t="shared" ca="1" si="161"/>
        <v>9.5395760903097653</v>
      </c>
      <c r="S1644" s="4">
        <f t="shared" ca="1" si="162"/>
        <v>4.8660715853223353</v>
      </c>
    </row>
    <row r="1645" spans="15:19" x14ac:dyDescent="0.2">
      <c r="O1645" s="4">
        <f t="shared" ca="1" si="158"/>
        <v>0.97074070184066452</v>
      </c>
      <c r="P1645" s="4">
        <f t="shared" ca="1" si="159"/>
        <v>1.8917927750293435</v>
      </c>
      <c r="Q1645" s="4">
        <f t="shared" ca="1" si="160"/>
        <v>1865.9525060381029</v>
      </c>
      <c r="R1645" s="4">
        <f t="shared" ca="1" si="161"/>
        <v>-57.717537961897051</v>
      </c>
      <c r="S1645" s="4">
        <f t="shared" ca="1" si="162"/>
        <v>-27.861107566806385</v>
      </c>
    </row>
    <row r="1646" spans="15:19" x14ac:dyDescent="0.2">
      <c r="O1646" s="4">
        <f t="shared" ca="1" si="158"/>
        <v>0.61257982120000987</v>
      </c>
      <c r="P1646" s="4">
        <f t="shared" ca="1" si="159"/>
        <v>0.28604930628021175</v>
      </c>
      <c r="Q1646" s="4">
        <f t="shared" ca="1" si="160"/>
        <v>1914.5984331304601</v>
      </c>
      <c r="R1646" s="4">
        <f t="shared" ca="1" si="161"/>
        <v>-9.0716108695398816</v>
      </c>
      <c r="S1646" s="4">
        <f t="shared" ca="1" si="162"/>
        <v>-4.5586388724872187</v>
      </c>
    </row>
    <row r="1647" spans="15:19" x14ac:dyDescent="0.2">
      <c r="O1647" s="4">
        <f t="shared" ca="1" si="158"/>
        <v>0.82015839715212702</v>
      </c>
      <c r="P1647" s="4">
        <f t="shared" ca="1" si="159"/>
        <v>0.9159689023592863</v>
      </c>
      <c r="Q1647" s="4">
        <f t="shared" ca="1" si="160"/>
        <v>1895.5150469350422</v>
      </c>
      <c r="R1647" s="4">
        <f t="shared" ca="1" si="161"/>
        <v>-28.154997064957797</v>
      </c>
      <c r="S1647" s="4">
        <f t="shared" ca="1" si="162"/>
        <v>-13.929649943402186</v>
      </c>
    </row>
    <row r="1648" spans="15:19" x14ac:dyDescent="0.2">
      <c r="O1648" s="4">
        <f t="shared" ca="1" si="158"/>
        <v>0.95594055843422132</v>
      </c>
      <c r="P1648" s="4">
        <f t="shared" ca="1" si="159"/>
        <v>1.7054051788899776</v>
      </c>
      <c r="Q1648" s="4">
        <f t="shared" ca="1" si="160"/>
        <v>1871.5991099877228</v>
      </c>
      <c r="R1648" s="4">
        <f t="shared" ca="1" si="161"/>
        <v>-52.070934012277121</v>
      </c>
      <c r="S1648" s="4">
        <f t="shared" ca="1" si="162"/>
        <v>-25.255096586729586</v>
      </c>
    </row>
    <row r="1649" spans="15:19" x14ac:dyDescent="0.2">
      <c r="O1649" s="4">
        <f t="shared" ca="1" si="158"/>
        <v>0.58804437511268937</v>
      </c>
      <c r="P1649" s="4">
        <f t="shared" ca="1" si="159"/>
        <v>0.22251724552793165</v>
      </c>
      <c r="Q1649" s="4">
        <f t="shared" ca="1" si="160"/>
        <v>1916.5231340901905</v>
      </c>
      <c r="R1649" s="4">
        <f t="shared" ca="1" si="161"/>
        <v>-7.1469099098094375</v>
      </c>
      <c r="S1649" s="4">
        <f t="shared" ca="1" si="162"/>
        <v>-3.5970433869658396</v>
      </c>
    </row>
    <row r="1650" spans="15:19" x14ac:dyDescent="0.2">
      <c r="O1650" s="4">
        <f t="shared" ca="1" si="158"/>
        <v>0.8457194961547615</v>
      </c>
      <c r="P1650" s="4">
        <f t="shared" ca="1" si="159"/>
        <v>1.018246118057502</v>
      </c>
      <c r="Q1650" s="4">
        <f t="shared" ca="1" si="160"/>
        <v>1892.4165632264705</v>
      </c>
      <c r="R1650" s="4">
        <f t="shared" ca="1" si="161"/>
        <v>-31.253480773529418</v>
      </c>
      <c r="S1650" s="4">
        <f t="shared" ca="1" si="162"/>
        <v>-15.423200989527908</v>
      </c>
    </row>
    <row r="1651" spans="15:19" x14ac:dyDescent="0.2">
      <c r="O1651" s="4">
        <f t="shared" ca="1" si="158"/>
        <v>0.87383458350386667</v>
      </c>
      <c r="P1651" s="4">
        <f t="shared" ca="1" si="159"/>
        <v>1.14470631893888</v>
      </c>
      <c r="Q1651" s="4">
        <f t="shared" ca="1" si="160"/>
        <v>1888.585457055475</v>
      </c>
      <c r="R1651" s="4">
        <f t="shared" ca="1" si="161"/>
        <v>-35.084586944524972</v>
      </c>
      <c r="S1651" s="4">
        <f t="shared" ca="1" si="162"/>
        <v>-17.259088555508018</v>
      </c>
    </row>
    <row r="1652" spans="15:19" x14ac:dyDescent="0.2">
      <c r="O1652" s="4">
        <f t="shared" ca="1" si="158"/>
        <v>0.60740340072198173</v>
      </c>
      <c r="P1652" s="4">
        <f t="shared" ca="1" si="159"/>
        <v>0.2725577430357185</v>
      </c>
      <c r="Q1652" s="4">
        <f t="shared" ca="1" si="160"/>
        <v>1915.0071594399401</v>
      </c>
      <c r="R1652" s="4">
        <f t="shared" ca="1" si="161"/>
        <v>-8.6628845600598652</v>
      </c>
      <c r="S1652" s="4">
        <f t="shared" ca="1" si="162"/>
        <v>-4.3546882748104334</v>
      </c>
    </row>
    <row r="1653" spans="15:19" x14ac:dyDescent="0.2">
      <c r="O1653" s="4">
        <f t="shared" ca="1" si="158"/>
        <v>0.19525838535251583</v>
      </c>
      <c r="P1653" s="4">
        <f t="shared" ca="1" si="159"/>
        <v>-0.85868057427388389</v>
      </c>
      <c r="Q1653" s="4">
        <f t="shared" ca="1" si="160"/>
        <v>1949.277974036989</v>
      </c>
      <c r="R1653" s="4">
        <f t="shared" ca="1" si="161"/>
        <v>25.607930036989046</v>
      </c>
      <c r="S1653" s="4">
        <f t="shared" ca="1" si="162"/>
        <v>13.229927202741132</v>
      </c>
    </row>
    <row r="1654" spans="15:19" x14ac:dyDescent="0.2">
      <c r="O1654" s="4">
        <f t="shared" ca="1" si="158"/>
        <v>0.44271780143785899</v>
      </c>
      <c r="P1654" s="4">
        <f t="shared" ca="1" si="159"/>
        <v>-0.14408214620107559</v>
      </c>
      <c r="Q1654" s="4">
        <f t="shared" ca="1" si="160"/>
        <v>1927.6292463859761</v>
      </c>
      <c r="R1654" s="4">
        <f t="shared" ca="1" si="161"/>
        <v>3.9592023859761412</v>
      </c>
      <c r="S1654" s="4">
        <f t="shared" ca="1" si="162"/>
        <v>2.0105679533251033</v>
      </c>
    </row>
    <row r="1655" spans="15:19" x14ac:dyDescent="0.2">
      <c r="O1655" s="4">
        <f t="shared" ca="1" si="158"/>
        <v>0.59238365675968896</v>
      </c>
      <c r="P1655" s="4">
        <f t="shared" ca="1" si="159"/>
        <v>0.23368093911857143</v>
      </c>
      <c r="Q1655" s="4">
        <f t="shared" ca="1" si="160"/>
        <v>1916.1849304885191</v>
      </c>
      <c r="R1655" s="4">
        <f t="shared" ca="1" si="161"/>
        <v>-7.485113511480904</v>
      </c>
      <c r="S1655" s="4">
        <f t="shared" ca="1" si="162"/>
        <v>-3.7662309388040995</v>
      </c>
    </row>
    <row r="1656" spans="15:19" x14ac:dyDescent="0.2">
      <c r="O1656" s="4">
        <f t="shared" ca="1" si="158"/>
        <v>0.39622578333579028</v>
      </c>
      <c r="P1656" s="4">
        <f t="shared" ca="1" si="159"/>
        <v>-0.26312846266029649</v>
      </c>
      <c r="Q1656" s="4">
        <f t="shared" ca="1" si="160"/>
        <v>1931.2357492575713</v>
      </c>
      <c r="R1656" s="4">
        <f t="shared" ca="1" si="161"/>
        <v>7.5657052575713806</v>
      </c>
      <c r="S1656" s="4">
        <f t="shared" ca="1" si="162"/>
        <v>3.8531347069140613</v>
      </c>
    </row>
    <row r="1657" spans="15:19" x14ac:dyDescent="0.2">
      <c r="O1657" s="4">
        <f t="shared" ca="1" si="158"/>
        <v>0.37864971902647127</v>
      </c>
      <c r="P1657" s="4">
        <f t="shared" ca="1" si="159"/>
        <v>-0.30902903800786041</v>
      </c>
      <c r="Q1657" s="4">
        <f t="shared" ca="1" si="160"/>
        <v>1932.626305149786</v>
      </c>
      <c r="R1657" s="4">
        <f t="shared" ca="1" si="161"/>
        <v>8.9562611497860871</v>
      </c>
      <c r="S1657" s="4">
        <f t="shared" ca="1" si="162"/>
        <v>4.5664000204779347</v>
      </c>
    </row>
    <row r="1658" spans="15:19" x14ac:dyDescent="0.2">
      <c r="O1658" s="4">
        <f t="shared" ca="1" si="158"/>
        <v>0.44972563101697138</v>
      </c>
      <c r="P1658" s="4">
        <f t="shared" ca="1" si="159"/>
        <v>-0.1263545696282406</v>
      </c>
      <c r="Q1658" s="4">
        <f t="shared" ca="1" si="160"/>
        <v>1927.0921902407886</v>
      </c>
      <c r="R1658" s="4">
        <f t="shared" ca="1" si="161"/>
        <v>3.4221462407886065</v>
      </c>
      <c r="S1658" s="4">
        <f t="shared" ca="1" si="162"/>
        <v>1.73709116894607</v>
      </c>
    </row>
    <row r="1659" spans="15:19" x14ac:dyDescent="0.2">
      <c r="O1659" s="4">
        <f t="shared" ca="1" si="158"/>
        <v>0.74922088963992051</v>
      </c>
      <c r="P1659" s="4">
        <f t="shared" ca="1" si="159"/>
        <v>0.67204001754254061</v>
      </c>
      <c r="Q1659" s="4">
        <f t="shared" ca="1" si="160"/>
        <v>1902.9048616703678</v>
      </c>
      <c r="R1659" s="4">
        <f t="shared" ca="1" si="161"/>
        <v>-20.765182329632125</v>
      </c>
      <c r="S1659" s="4">
        <f t="shared" ca="1" si="162"/>
        <v>-10.336013370167192</v>
      </c>
    </row>
    <row r="1660" spans="15:19" x14ac:dyDescent="0.2">
      <c r="O1660" s="4">
        <f t="shared" ca="1" si="158"/>
        <v>0.66723449480155428</v>
      </c>
      <c r="P1660" s="4">
        <f t="shared" ca="1" si="159"/>
        <v>0.43228950991519788</v>
      </c>
      <c r="Q1660" s="4">
        <f t="shared" ca="1" si="160"/>
        <v>1910.1680926542565</v>
      </c>
      <c r="R1660" s="4">
        <f t="shared" ca="1" si="161"/>
        <v>-13.501951345743464</v>
      </c>
      <c r="S1660" s="4">
        <f t="shared" ca="1" si="162"/>
        <v>-6.76061020662699</v>
      </c>
    </row>
    <row r="1661" spans="15:19" x14ac:dyDescent="0.2">
      <c r="O1661" s="4">
        <f t="shared" ca="1" si="158"/>
        <v>0.73784965162540361</v>
      </c>
      <c r="P1661" s="4">
        <f t="shared" ca="1" si="159"/>
        <v>0.63673004935043065</v>
      </c>
      <c r="Q1661" s="4">
        <f t="shared" ca="1" si="160"/>
        <v>1903.9745755890208</v>
      </c>
      <c r="R1661" s="4">
        <f t="shared" ca="1" si="161"/>
        <v>-19.695468410979174</v>
      </c>
      <c r="S1661" s="4">
        <f t="shared" ca="1" si="162"/>
        <v>-9.8121322007302751</v>
      </c>
    </row>
    <row r="1662" spans="15:19" x14ac:dyDescent="0.2">
      <c r="O1662" s="4">
        <f t="shared" ca="1" si="158"/>
        <v>0.4525088513836194</v>
      </c>
      <c r="P1662" s="4">
        <f t="shared" ca="1" si="159"/>
        <v>-0.11932522101462453</v>
      </c>
      <c r="Q1662" s="4">
        <f t="shared" ca="1" si="160"/>
        <v>1926.8792364366352</v>
      </c>
      <c r="R1662" s="4">
        <f t="shared" ca="1" si="161"/>
        <v>3.2091924366352487</v>
      </c>
      <c r="S1662" s="4">
        <f t="shared" ca="1" si="162"/>
        <v>1.6287170169620646</v>
      </c>
    </row>
    <row r="1663" spans="15:19" x14ac:dyDescent="0.2">
      <c r="O1663" s="4">
        <f t="shared" ca="1" si="158"/>
        <v>0.34413473149783214</v>
      </c>
      <c r="P1663" s="4">
        <f t="shared" ca="1" si="159"/>
        <v>-0.40120464250947491</v>
      </c>
      <c r="Q1663" s="4">
        <f t="shared" ca="1" si="160"/>
        <v>1935.4187609956582</v>
      </c>
      <c r="R1663" s="4">
        <f t="shared" ca="1" si="161"/>
        <v>11.748716995658242</v>
      </c>
      <c r="S1663" s="4">
        <f t="shared" ca="1" si="162"/>
        <v>6.0035043430397446</v>
      </c>
    </row>
    <row r="1664" spans="15:19" x14ac:dyDescent="0.2">
      <c r="O1664" s="4">
        <f t="shared" ca="1" si="158"/>
        <v>0.40985137233191349</v>
      </c>
      <c r="P1664" s="4">
        <f t="shared" ca="1" si="159"/>
        <v>-0.22792731834523036</v>
      </c>
      <c r="Q1664" s="4">
        <f t="shared" ca="1" si="160"/>
        <v>1930.1693321534417</v>
      </c>
      <c r="R1664" s="4">
        <f t="shared" ca="1" si="161"/>
        <v>6.4992881534417393</v>
      </c>
      <c r="S1664" s="4">
        <f t="shared" ca="1" si="162"/>
        <v>3.3071982311578418</v>
      </c>
    </row>
    <row r="1665" spans="15:19" x14ac:dyDescent="0.2">
      <c r="O1665" s="4">
        <f t="shared" ca="1" si="158"/>
        <v>0.3579709007847871</v>
      </c>
      <c r="P1665" s="4">
        <f t="shared" ca="1" si="159"/>
        <v>-0.36388779150281064</v>
      </c>
      <c r="Q1665" s="4">
        <f t="shared" ca="1" si="160"/>
        <v>1934.2882486512419</v>
      </c>
      <c r="R1665" s="4">
        <f t="shared" ca="1" si="161"/>
        <v>10.618204651241967</v>
      </c>
      <c r="S1665" s="4">
        <f t="shared" ca="1" si="162"/>
        <v>5.4209347356086832</v>
      </c>
    </row>
    <row r="1666" spans="15:19" x14ac:dyDescent="0.2">
      <c r="O1666" s="4">
        <f t="shared" ca="1" si="158"/>
        <v>0.38371221771221586</v>
      </c>
      <c r="P1666" s="4">
        <f t="shared" ca="1" si="159"/>
        <v>-0.29574551469767058</v>
      </c>
      <c r="Q1666" s="4">
        <f t="shared" ca="1" si="160"/>
        <v>1932.2238814008792</v>
      </c>
      <c r="R1666" s="4">
        <f t="shared" ca="1" si="161"/>
        <v>8.5538374008792744</v>
      </c>
      <c r="S1666" s="4">
        <f t="shared" ca="1" si="162"/>
        <v>4.3598207721235251</v>
      </c>
    </row>
    <row r="1667" spans="15:19" x14ac:dyDescent="0.2">
      <c r="O1667" s="4">
        <f t="shared" ref="O1667:O1730" ca="1" si="163">RAND()</f>
        <v>0.17095006665414247</v>
      </c>
      <c r="P1667" s="4">
        <f t="shared" ref="P1667:P1730" ca="1" si="164">NORMSINV(O1667)</f>
        <v>-0.95041754344611873</v>
      </c>
      <c r="Q1667" s="4">
        <f t="shared" ref="Q1667:Q1730" ca="1" si="165">$B$4*(1+$B$17-$B$6/SQRT(252)*P1667)</f>
        <v>1952.0571414450326</v>
      </c>
      <c r="R1667" s="4">
        <f t="shared" ref="R1667:R1730" ca="1" si="166">Q1667-$B$4</f>
        <v>28.387097445032623</v>
      </c>
      <c r="S1667" s="4">
        <f t="shared" ref="S1667:S1730" ca="1" si="167">R1667*$B$12+0.5*$B$13*R1667^2</f>
        <v>14.697854271246337</v>
      </c>
    </row>
    <row r="1668" spans="15:19" x14ac:dyDescent="0.2">
      <c r="O1668" s="4">
        <f t="shared" ca="1" si="163"/>
        <v>0.69364045770236016</v>
      </c>
      <c r="P1668" s="4">
        <f t="shared" ca="1" si="164"/>
        <v>0.50619596890222152</v>
      </c>
      <c r="Q1668" s="4">
        <f t="shared" ca="1" si="165"/>
        <v>1907.9290997606172</v>
      </c>
      <c r="R1668" s="4">
        <f t="shared" ca="1" si="166"/>
        <v>-15.74094423938277</v>
      </c>
      <c r="S1668" s="4">
        <f t="shared" ca="1" si="167"/>
        <v>-7.8673576309717372</v>
      </c>
    </row>
    <row r="1669" spans="15:19" x14ac:dyDescent="0.2">
      <c r="O1669" s="4">
        <f t="shared" ca="1" si="163"/>
        <v>0.26971985904232754</v>
      </c>
      <c r="P1669" s="4">
        <f t="shared" ca="1" si="164"/>
        <v>-0.61366046580549827</v>
      </c>
      <c r="Q1669" s="4">
        <f t="shared" ca="1" si="165"/>
        <v>1941.8551007295864</v>
      </c>
      <c r="R1669" s="4">
        <f t="shared" ca="1" si="166"/>
        <v>18.185056729586449</v>
      </c>
      <c r="S1669" s="4">
        <f t="shared" ca="1" si="167"/>
        <v>9.340070119441501</v>
      </c>
    </row>
    <row r="1670" spans="15:19" x14ac:dyDescent="0.2">
      <c r="O1670" s="4">
        <f t="shared" ca="1" si="163"/>
        <v>6.8114830932363701E-2</v>
      </c>
      <c r="P1670" s="4">
        <f t="shared" ca="1" si="164"/>
        <v>-1.4899793644456425</v>
      </c>
      <c r="Q1670" s="4">
        <f t="shared" ca="1" si="165"/>
        <v>1968.4031428562103</v>
      </c>
      <c r="R1670" s="4">
        <f t="shared" ca="1" si="166"/>
        <v>44.73309885621029</v>
      </c>
      <c r="S1670" s="4">
        <f t="shared" ca="1" si="167"/>
        <v>23.458898725891299</v>
      </c>
    </row>
    <row r="1671" spans="15:19" x14ac:dyDescent="0.2">
      <c r="O1671" s="4">
        <f t="shared" ca="1" si="163"/>
        <v>0.60786761707272241</v>
      </c>
      <c r="P1671" s="4">
        <f t="shared" ca="1" si="164"/>
        <v>0.2737655939490064</v>
      </c>
      <c r="Q1671" s="4">
        <f t="shared" ca="1" si="165"/>
        <v>1914.9705676501494</v>
      </c>
      <c r="R1671" s="4">
        <f t="shared" ca="1" si="166"/>
        <v>-8.6994763498505563</v>
      </c>
      <c r="S1671" s="4">
        <f t="shared" ca="1" si="167"/>
        <v>-4.3729527780518227</v>
      </c>
    </row>
    <row r="1672" spans="15:19" x14ac:dyDescent="0.2">
      <c r="O1672" s="4">
        <f t="shared" ca="1" si="163"/>
        <v>0.20442106421694706</v>
      </c>
      <c r="P1672" s="4">
        <f t="shared" ca="1" si="164"/>
        <v>-0.82593294915526061</v>
      </c>
      <c r="Q1672" s="4">
        <f t="shared" ca="1" si="165"/>
        <v>1948.285886187982</v>
      </c>
      <c r="R1672" s="4">
        <f t="shared" ca="1" si="166"/>
        <v>24.615842187982025</v>
      </c>
      <c r="S1672" s="4">
        <f t="shared" ca="1" si="167"/>
        <v>12.707439824477154</v>
      </c>
    </row>
    <row r="1673" spans="15:19" x14ac:dyDescent="0.2">
      <c r="O1673" s="4">
        <f t="shared" ca="1" si="163"/>
        <v>0.66523314433223979</v>
      </c>
      <c r="P1673" s="4">
        <f t="shared" ca="1" si="164"/>
        <v>0.42678804981006446</v>
      </c>
      <c r="Q1673" s="4">
        <f t="shared" ca="1" si="165"/>
        <v>1910.3347591438821</v>
      </c>
      <c r="R1673" s="4">
        <f t="shared" ca="1" si="166"/>
        <v>-13.335284856117823</v>
      </c>
      <c r="S1673" s="4">
        <f t="shared" ca="1" si="167"/>
        <v>-6.6780627639887884</v>
      </c>
    </row>
    <row r="1674" spans="15:19" x14ac:dyDescent="0.2">
      <c r="O1674" s="4">
        <f t="shared" ca="1" si="163"/>
        <v>0.9207899377649541</v>
      </c>
      <c r="P1674" s="4">
        <f t="shared" ca="1" si="164"/>
        <v>1.410405018265503</v>
      </c>
      <c r="Q1674" s="4">
        <f t="shared" ca="1" si="165"/>
        <v>1880.5361267561304</v>
      </c>
      <c r="R1674" s="4">
        <f t="shared" ca="1" si="166"/>
        <v>-43.133917243869519</v>
      </c>
      <c r="S1674" s="4">
        <f t="shared" ca="1" si="167"/>
        <v>-21.077444934166401</v>
      </c>
    </row>
    <row r="1675" spans="15:19" x14ac:dyDescent="0.2">
      <c r="O1675" s="4">
        <f t="shared" ca="1" si="163"/>
        <v>0.32173348627312637</v>
      </c>
      <c r="P1675" s="4">
        <f t="shared" ca="1" si="164"/>
        <v>-0.46285685849363595</v>
      </c>
      <c r="Q1675" s="4">
        <f t="shared" ca="1" si="165"/>
        <v>1937.2865121416019</v>
      </c>
      <c r="R1675" s="4">
        <f t="shared" ca="1" si="166"/>
        <v>13.616468141601899</v>
      </c>
      <c r="S1675" s="4">
        <f t="shared" ca="1" si="167"/>
        <v>6.9682635196085485</v>
      </c>
    </row>
    <row r="1676" spans="15:19" x14ac:dyDescent="0.2">
      <c r="O1676" s="4">
        <f t="shared" ca="1" si="163"/>
        <v>0.52007707124057756</v>
      </c>
      <c r="P1676" s="4">
        <f t="shared" ca="1" si="164"/>
        <v>5.0347016479865281E-2</v>
      </c>
      <c r="Q1676" s="4">
        <f t="shared" ca="1" si="165"/>
        <v>1921.7390235350165</v>
      </c>
      <c r="R1676" s="4">
        <f t="shared" ca="1" si="166"/>
        <v>-1.9310204649834759</v>
      </c>
      <c r="S1676" s="4">
        <f t="shared" ca="1" si="167"/>
        <v>-0.97598357751110865</v>
      </c>
    </row>
    <row r="1677" spans="15:19" x14ac:dyDescent="0.2">
      <c r="O1677" s="4">
        <f t="shared" ca="1" si="163"/>
        <v>0.68134110979223794</v>
      </c>
      <c r="P1677" s="4">
        <f t="shared" ca="1" si="164"/>
        <v>0.47145229282290835</v>
      </c>
      <c r="Q1677" s="4">
        <f t="shared" ca="1" si="165"/>
        <v>1908.9816578848556</v>
      </c>
      <c r="R1677" s="4">
        <f t="shared" ca="1" si="166"/>
        <v>-14.68838611514434</v>
      </c>
      <c r="S1677" s="4">
        <f t="shared" ca="1" si="167"/>
        <v>-7.3475802720049623</v>
      </c>
    </row>
    <row r="1678" spans="15:19" x14ac:dyDescent="0.2">
      <c r="O1678" s="4">
        <f t="shared" ca="1" si="163"/>
        <v>0.4100484855858284</v>
      </c>
      <c r="P1678" s="4">
        <f t="shared" ca="1" si="164"/>
        <v>-0.2274202556391762</v>
      </c>
      <c r="Q1678" s="4">
        <f t="shared" ca="1" si="165"/>
        <v>1930.1539707112747</v>
      </c>
      <c r="R1678" s="4">
        <f t="shared" ca="1" si="166"/>
        <v>6.4839267112747621</v>
      </c>
      <c r="S1678" s="4">
        <f t="shared" ca="1" si="167"/>
        <v>3.2993409324145575</v>
      </c>
    </row>
    <row r="1679" spans="15:19" x14ac:dyDescent="0.2">
      <c r="O1679" s="4">
        <f t="shared" ca="1" si="163"/>
        <v>0.20460631234267435</v>
      </c>
      <c r="P1679" s="4">
        <f t="shared" ca="1" si="164"/>
        <v>-0.82528003365093139</v>
      </c>
      <c r="Q1679" s="4">
        <f t="shared" ca="1" si="165"/>
        <v>1948.2661061417673</v>
      </c>
      <c r="R1679" s="4">
        <f t="shared" ca="1" si="166"/>
        <v>24.596062141767334</v>
      </c>
      <c r="S1679" s="4">
        <f t="shared" ca="1" si="167"/>
        <v>12.697030724561339</v>
      </c>
    </row>
    <row r="1680" spans="15:19" x14ac:dyDescent="0.2">
      <c r="O1680" s="4">
        <f t="shared" ca="1" si="163"/>
        <v>0.65701225910789562</v>
      </c>
      <c r="P1680" s="4">
        <f t="shared" ca="1" si="164"/>
        <v>0.40432263634948179</v>
      </c>
      <c r="Q1680" s="4">
        <f t="shared" ca="1" si="165"/>
        <v>1911.0153478472287</v>
      </c>
      <c r="R1680" s="4">
        <f t="shared" ca="1" si="166"/>
        <v>-12.654696152771294</v>
      </c>
      <c r="S1680" s="4">
        <f t="shared" ca="1" si="167"/>
        <v>-6.3407425349535185</v>
      </c>
    </row>
    <row r="1681" spans="15:19" x14ac:dyDescent="0.2">
      <c r="O1681" s="4">
        <f t="shared" ca="1" si="163"/>
        <v>0.4667498637827765</v>
      </c>
      <c r="P1681" s="4">
        <f t="shared" ca="1" si="164"/>
        <v>-8.3442460559917164E-2</v>
      </c>
      <c r="Q1681" s="4">
        <f t="shared" ca="1" si="165"/>
        <v>1925.7921698018185</v>
      </c>
      <c r="R1681" s="4">
        <f t="shared" ca="1" si="166"/>
        <v>2.1221258018185836</v>
      </c>
      <c r="S1681" s="4">
        <f t="shared" ca="1" si="167"/>
        <v>1.0760740697474798</v>
      </c>
    </row>
    <row r="1682" spans="15:19" x14ac:dyDescent="0.2">
      <c r="O1682" s="4">
        <f t="shared" ca="1" si="163"/>
        <v>0.85895417545323638</v>
      </c>
      <c r="P1682" s="4">
        <f t="shared" ca="1" si="164"/>
        <v>1.0756324939861319</v>
      </c>
      <c r="Q1682" s="4">
        <f t="shared" ca="1" si="165"/>
        <v>1890.6780455156099</v>
      </c>
      <c r="R1682" s="4">
        <f t="shared" ca="1" si="166"/>
        <v>-32.991998484390024</v>
      </c>
      <c r="S1682" s="4">
        <f t="shared" ca="1" si="167"/>
        <v>-16.257789346690657</v>
      </c>
    </row>
    <row r="1683" spans="15:19" x14ac:dyDescent="0.2">
      <c r="O1683" s="4">
        <f t="shared" ca="1" si="163"/>
        <v>0.59187741670190608</v>
      </c>
      <c r="P1683" s="4">
        <f t="shared" ca="1" si="164"/>
        <v>0.23237705765456293</v>
      </c>
      <c r="Q1683" s="4">
        <f t="shared" ca="1" si="165"/>
        <v>1916.2244315195803</v>
      </c>
      <c r="R1683" s="4">
        <f t="shared" ca="1" si="166"/>
        <v>-7.4456124804196406</v>
      </c>
      <c r="S1683" s="4">
        <f t="shared" ca="1" si="167"/>
        <v>-3.7464752108818788</v>
      </c>
    </row>
    <row r="1684" spans="15:19" x14ac:dyDescent="0.2">
      <c r="O1684" s="4">
        <f t="shared" ca="1" si="163"/>
        <v>0.69310080995901713</v>
      </c>
      <c r="P1684" s="4">
        <f t="shared" ca="1" si="164"/>
        <v>0.50465897516202163</v>
      </c>
      <c r="Q1684" s="4">
        <f t="shared" ca="1" si="165"/>
        <v>1907.9756629177355</v>
      </c>
      <c r="R1684" s="4">
        <f t="shared" ca="1" si="166"/>
        <v>-15.694381082264499</v>
      </c>
      <c r="S1684" s="4">
        <f t="shared" ca="1" si="167"/>
        <v>-7.844382743377138</v>
      </c>
    </row>
    <row r="1685" spans="15:19" x14ac:dyDescent="0.2">
      <c r="O1685" s="4">
        <f t="shared" ca="1" si="163"/>
        <v>0.65920112440061529</v>
      </c>
      <c r="P1685" s="4">
        <f t="shared" ca="1" si="164"/>
        <v>0.41028383161460041</v>
      </c>
      <c r="Q1685" s="4">
        <f t="shared" ca="1" si="165"/>
        <v>1910.8347537013431</v>
      </c>
      <c r="R1685" s="4">
        <f t="shared" ca="1" si="166"/>
        <v>-12.835290298656901</v>
      </c>
      <c r="S1685" s="4">
        <f t="shared" ca="1" si="167"/>
        <v>-6.4302871815046014</v>
      </c>
    </row>
    <row r="1686" spans="15:19" x14ac:dyDescent="0.2">
      <c r="O1686" s="4">
        <f t="shared" ca="1" si="163"/>
        <v>0.84359295959819947</v>
      </c>
      <c r="P1686" s="4">
        <f t="shared" ca="1" si="164"/>
        <v>1.0093348314523145</v>
      </c>
      <c r="Q1686" s="4">
        <f t="shared" ca="1" si="165"/>
        <v>1892.6865302585222</v>
      </c>
      <c r="R1686" s="4">
        <f t="shared" ca="1" si="166"/>
        <v>-30.983513741477736</v>
      </c>
      <c r="S1686" s="4">
        <f t="shared" ca="1" si="167"/>
        <v>-15.293380584962213</v>
      </c>
    </row>
    <row r="1687" spans="15:19" x14ac:dyDescent="0.2">
      <c r="O1687" s="4">
        <f t="shared" ca="1" si="163"/>
        <v>0.59117176997426346</v>
      </c>
      <c r="P1687" s="4">
        <f t="shared" ca="1" si="164"/>
        <v>0.23056023900203246</v>
      </c>
      <c r="Q1687" s="4">
        <f t="shared" ca="1" si="165"/>
        <v>1916.2794719599935</v>
      </c>
      <c r="R1687" s="4">
        <f t="shared" ca="1" si="166"/>
        <v>-7.3905720400064183</v>
      </c>
      <c r="S1687" s="4">
        <f t="shared" ca="1" si="167"/>
        <v>-3.7189456095407776</v>
      </c>
    </row>
    <row r="1688" spans="15:19" x14ac:dyDescent="0.2">
      <c r="O1688" s="4">
        <f t="shared" ca="1" si="163"/>
        <v>7.7507613080416871E-2</v>
      </c>
      <c r="P1688" s="4">
        <f t="shared" ca="1" si="164"/>
        <v>-1.4220379779589227</v>
      </c>
      <c r="Q1688" s="4">
        <f t="shared" ca="1" si="165"/>
        <v>1966.3448615691243</v>
      </c>
      <c r="R1688" s="4">
        <f t="shared" ca="1" si="166"/>
        <v>42.674817569124343</v>
      </c>
      <c r="S1688" s="4">
        <f t="shared" ca="1" si="167"/>
        <v>22.343740721251379</v>
      </c>
    </row>
    <row r="1689" spans="15:19" x14ac:dyDescent="0.2">
      <c r="O1689" s="4">
        <f t="shared" ca="1" si="163"/>
        <v>0.85986208974188116</v>
      </c>
      <c r="P1689" s="4">
        <f t="shared" ca="1" si="164"/>
        <v>1.0796999402915752</v>
      </c>
      <c r="Q1689" s="4">
        <f t="shared" ca="1" si="165"/>
        <v>1890.5548224103773</v>
      </c>
      <c r="R1689" s="4">
        <f t="shared" ca="1" si="166"/>
        <v>-33.115221589622706</v>
      </c>
      <c r="S1689" s="4">
        <f t="shared" ca="1" si="167"/>
        <v>-16.316850129276787</v>
      </c>
    </row>
    <row r="1690" spans="15:19" x14ac:dyDescent="0.2">
      <c r="O1690" s="4">
        <f t="shared" ca="1" si="163"/>
        <v>0.52102581000616366</v>
      </c>
      <c r="P1690" s="4">
        <f t="shared" ca="1" si="164"/>
        <v>5.2728312873678379E-2</v>
      </c>
      <c r="Q1690" s="4">
        <f t="shared" ca="1" si="165"/>
        <v>1921.6668822664931</v>
      </c>
      <c r="R1690" s="4">
        <f t="shared" ca="1" si="166"/>
        <v>-2.0031617335068859</v>
      </c>
      <c r="S1690" s="4">
        <f t="shared" ca="1" si="167"/>
        <v>-1.0123866611311096</v>
      </c>
    </row>
    <row r="1691" spans="15:19" x14ac:dyDescent="0.2">
      <c r="O1691" s="4">
        <f t="shared" ca="1" si="163"/>
        <v>0.72619149081280188</v>
      </c>
      <c r="P1691" s="4">
        <f t="shared" ca="1" si="164"/>
        <v>0.60133479567026826</v>
      </c>
      <c r="Q1691" s="4">
        <f t="shared" ca="1" si="165"/>
        <v>1905.0468732277475</v>
      </c>
      <c r="R1691" s="4">
        <f t="shared" ca="1" si="166"/>
        <v>-18.623170772252479</v>
      </c>
      <c r="S1691" s="4">
        <f t="shared" ca="1" si="167"/>
        <v>-9.2860506947983321</v>
      </c>
    </row>
    <row r="1692" spans="15:19" x14ac:dyDescent="0.2">
      <c r="O1692" s="4">
        <f t="shared" ca="1" si="163"/>
        <v>0.79295791898491108</v>
      </c>
      <c r="P1692" s="4">
        <f t="shared" ca="1" si="164"/>
        <v>0.81672751764198981</v>
      </c>
      <c r="Q1692" s="4">
        <f t="shared" ca="1" si="165"/>
        <v>1898.5215602788348</v>
      </c>
      <c r="R1692" s="4">
        <f t="shared" ca="1" si="166"/>
        <v>-25.148483721165121</v>
      </c>
      <c r="S1692" s="4">
        <f t="shared" ca="1" si="167"/>
        <v>-12.472959388097191</v>
      </c>
    </row>
    <row r="1693" spans="15:19" x14ac:dyDescent="0.2">
      <c r="O1693" s="4">
        <f t="shared" ca="1" si="163"/>
        <v>0.34286736273360652</v>
      </c>
      <c r="P1693" s="4">
        <f t="shared" ca="1" si="164"/>
        <v>-0.40465010137492502</v>
      </c>
      <c r="Q1693" s="4">
        <f t="shared" ca="1" si="165"/>
        <v>1935.5231410190122</v>
      </c>
      <c r="R1693" s="4">
        <f t="shared" ca="1" si="166"/>
        <v>11.853097019012239</v>
      </c>
      <c r="S1693" s="4">
        <f t="shared" ca="1" si="167"/>
        <v>6.0573453718600998</v>
      </c>
    </row>
    <row r="1694" spans="15:19" x14ac:dyDescent="0.2">
      <c r="O1694" s="4">
        <f t="shared" ca="1" si="163"/>
        <v>0.92318727436452952</v>
      </c>
      <c r="P1694" s="4">
        <f t="shared" ca="1" si="164"/>
        <v>1.4268419676846886</v>
      </c>
      <c r="Q1694" s="4">
        <f t="shared" ca="1" si="165"/>
        <v>1880.0381701032602</v>
      </c>
      <c r="R1694" s="4">
        <f t="shared" ca="1" si="166"/>
        <v>-43.631873896739762</v>
      </c>
      <c r="S1694" s="4">
        <f t="shared" ca="1" si="167"/>
        <v>-21.311927797951601</v>
      </c>
    </row>
    <row r="1695" spans="15:19" x14ac:dyDescent="0.2">
      <c r="O1695" s="4">
        <f t="shared" ca="1" si="163"/>
        <v>0.61649949181149077</v>
      </c>
      <c r="P1695" s="4">
        <f t="shared" ca="1" si="164"/>
        <v>0.29629996015561405</v>
      </c>
      <c r="Q1695" s="4">
        <f t="shared" ca="1" si="165"/>
        <v>1914.2878900264236</v>
      </c>
      <c r="R1695" s="4">
        <f t="shared" ca="1" si="166"/>
        <v>-9.3821539735763508</v>
      </c>
      <c r="S1695" s="4">
        <f t="shared" ca="1" si="167"/>
        <v>-4.71350604618753</v>
      </c>
    </row>
    <row r="1696" spans="15:19" x14ac:dyDescent="0.2">
      <c r="O1696" s="4">
        <f t="shared" ca="1" si="163"/>
        <v>0.84008207035380167</v>
      </c>
      <c r="P1696" s="4">
        <f t="shared" ca="1" si="164"/>
        <v>0.99479524515886253</v>
      </c>
      <c r="Q1696" s="4">
        <f t="shared" ca="1" si="165"/>
        <v>1893.1270063797394</v>
      </c>
      <c r="R1696" s="4">
        <f t="shared" ca="1" si="166"/>
        <v>-30.54303762026052</v>
      </c>
      <c r="S1696" s="4">
        <f t="shared" ca="1" si="167"/>
        <v>-15.081439231580177</v>
      </c>
    </row>
    <row r="1697" spans="15:19" x14ac:dyDescent="0.2">
      <c r="O1697" s="4">
        <f t="shared" ca="1" si="163"/>
        <v>0.64868070959316626</v>
      </c>
      <c r="P1697" s="4">
        <f t="shared" ca="1" si="164"/>
        <v>0.38176109211256698</v>
      </c>
      <c r="Q1697" s="4">
        <f t="shared" ca="1" si="165"/>
        <v>1911.6988488281761</v>
      </c>
      <c r="R1697" s="4">
        <f t="shared" ca="1" si="166"/>
        <v>-11.971195171823865</v>
      </c>
      <c r="S1697" s="4">
        <f t="shared" ca="1" si="167"/>
        <v>-6.0015993598625217</v>
      </c>
    </row>
    <row r="1698" spans="15:19" x14ac:dyDescent="0.2">
      <c r="O1698" s="4">
        <f t="shared" ca="1" si="163"/>
        <v>0.55987448739000201</v>
      </c>
      <c r="P1698" s="4">
        <f t="shared" ca="1" si="164"/>
        <v>0.15065100388302508</v>
      </c>
      <c r="Q1698" s="4">
        <f t="shared" ca="1" si="165"/>
        <v>1918.7003186900342</v>
      </c>
      <c r="R1698" s="4">
        <f t="shared" ca="1" si="166"/>
        <v>-4.9697253099657246</v>
      </c>
      <c r="S1698" s="4">
        <f t="shared" ca="1" si="167"/>
        <v>-2.5056697650951203</v>
      </c>
    </row>
    <row r="1699" spans="15:19" x14ac:dyDescent="0.2">
      <c r="O1699" s="4">
        <f t="shared" ca="1" si="163"/>
        <v>0.84324670174032723</v>
      </c>
      <c r="P1699" s="4">
        <f t="shared" ca="1" si="164"/>
        <v>1.0078914086817627</v>
      </c>
      <c r="Q1699" s="4">
        <f t="shared" ca="1" si="165"/>
        <v>1892.7302586872697</v>
      </c>
      <c r="R1699" s="4">
        <f t="shared" ca="1" si="166"/>
        <v>-30.939785312730237</v>
      </c>
      <c r="S1699" s="4">
        <f t="shared" ca="1" si="167"/>
        <v>-15.272347091552627</v>
      </c>
    </row>
    <row r="1700" spans="15:19" x14ac:dyDescent="0.2">
      <c r="O1700" s="4">
        <f t="shared" ca="1" si="163"/>
        <v>0.13510537134528178</v>
      </c>
      <c r="P1700" s="4">
        <f t="shared" ca="1" si="164"/>
        <v>-1.1025773688041491</v>
      </c>
      <c r="Q1700" s="4">
        <f t="shared" ca="1" si="165"/>
        <v>1956.6668165985109</v>
      </c>
      <c r="R1700" s="4">
        <f t="shared" ca="1" si="166"/>
        <v>32.996772598510915</v>
      </c>
      <c r="S1700" s="4">
        <f t="shared" ca="1" si="167"/>
        <v>17.146501171491142</v>
      </c>
    </row>
    <row r="1701" spans="15:19" x14ac:dyDescent="0.2">
      <c r="O1701" s="4">
        <f t="shared" ca="1" si="163"/>
        <v>3.0530576064748738E-2</v>
      </c>
      <c r="P1701" s="4">
        <f t="shared" ca="1" si="164"/>
        <v>-1.8730523807859853</v>
      </c>
      <c r="Q1701" s="4">
        <f t="shared" ca="1" si="165"/>
        <v>1980.0083228781832</v>
      </c>
      <c r="R1701" s="4">
        <f t="shared" ca="1" si="166"/>
        <v>56.338278878183246</v>
      </c>
      <c r="S1701" s="4">
        <f t="shared" ca="1" si="167"/>
        <v>29.811026997289215</v>
      </c>
    </row>
    <row r="1702" spans="15:19" x14ac:dyDescent="0.2">
      <c r="O1702" s="4">
        <f t="shared" ca="1" si="163"/>
        <v>0.76429419510496499</v>
      </c>
      <c r="P1702" s="4">
        <f t="shared" ca="1" si="164"/>
        <v>0.72018416895002535</v>
      </c>
      <c r="Q1702" s="4">
        <f t="shared" ca="1" si="165"/>
        <v>1901.4463367410301</v>
      </c>
      <c r="R1702" s="4">
        <f t="shared" ca="1" si="166"/>
        <v>-22.223707258969853</v>
      </c>
      <c r="S1702" s="4">
        <f t="shared" ca="1" si="167"/>
        <v>-11.048809585603099</v>
      </c>
    </row>
    <row r="1703" spans="15:19" x14ac:dyDescent="0.2">
      <c r="O1703" s="4">
        <f t="shared" ca="1" si="163"/>
        <v>0.5881987491431091</v>
      </c>
      <c r="P1703" s="4">
        <f t="shared" ca="1" si="164"/>
        <v>0.22291392083574849</v>
      </c>
      <c r="Q1703" s="4">
        <f t="shared" ca="1" si="165"/>
        <v>1916.5111168293524</v>
      </c>
      <c r="R1703" s="4">
        <f t="shared" ca="1" si="166"/>
        <v>-7.1589271706475301</v>
      </c>
      <c r="S1703" s="4">
        <f t="shared" ca="1" si="167"/>
        <v>-3.6030566599998264</v>
      </c>
    </row>
    <row r="1704" spans="15:19" x14ac:dyDescent="0.2">
      <c r="O1704" s="4">
        <f t="shared" ca="1" si="163"/>
        <v>0.96747254815338635</v>
      </c>
      <c r="P1704" s="4">
        <f t="shared" ca="1" si="164"/>
        <v>1.8448806386905814</v>
      </c>
      <c r="Q1704" s="4">
        <f t="shared" ca="1" si="165"/>
        <v>1867.3737071256339</v>
      </c>
      <c r="R1704" s="4">
        <f t="shared" ca="1" si="166"/>
        <v>-56.296336874366034</v>
      </c>
      <c r="S1704" s="4">
        <f t="shared" ca="1" si="167"/>
        <v>-27.207641786537767</v>
      </c>
    </row>
    <row r="1705" spans="15:19" x14ac:dyDescent="0.2">
      <c r="O1705" s="4">
        <f t="shared" ca="1" si="163"/>
        <v>0.5304966760739982</v>
      </c>
      <c r="P1705" s="4">
        <f t="shared" ca="1" si="164"/>
        <v>7.6518435139205782E-2</v>
      </c>
      <c r="Q1705" s="4">
        <f t="shared" ca="1" si="165"/>
        <v>1920.9461615687167</v>
      </c>
      <c r="R1705" s="4">
        <f t="shared" ca="1" si="166"/>
        <v>-2.7238824312833003</v>
      </c>
      <c r="S1705" s="4">
        <f t="shared" ca="1" si="167"/>
        <v>-1.3758357023154324</v>
      </c>
    </row>
    <row r="1706" spans="15:19" x14ac:dyDescent="0.2">
      <c r="O1706" s="4">
        <f t="shared" ca="1" si="163"/>
        <v>0.71271126717534183</v>
      </c>
      <c r="P1706" s="4">
        <f t="shared" ca="1" si="164"/>
        <v>0.56132285234478341</v>
      </c>
      <c r="Q1706" s="4">
        <f t="shared" ca="1" si="165"/>
        <v>1906.259033274303</v>
      </c>
      <c r="R1706" s="4">
        <f t="shared" ca="1" si="166"/>
        <v>-17.411010725696997</v>
      </c>
      <c r="S1706" s="4">
        <f t="shared" ca="1" si="167"/>
        <v>-8.6902238623778416</v>
      </c>
    </row>
    <row r="1707" spans="15:19" x14ac:dyDescent="0.2">
      <c r="O1707" s="4">
        <f t="shared" ca="1" si="163"/>
        <v>0.2528320374262677</v>
      </c>
      <c r="P1707" s="4">
        <f t="shared" ca="1" si="164"/>
        <v>-0.66560427239921771</v>
      </c>
      <c r="Q1707" s="4">
        <f t="shared" ca="1" si="165"/>
        <v>1943.4287360440901</v>
      </c>
      <c r="R1707" s="4">
        <f t="shared" ca="1" si="166"/>
        <v>19.758692044090139</v>
      </c>
      <c r="S1707" s="4">
        <f t="shared" ca="1" si="167"/>
        <v>10.160965679269927</v>
      </c>
    </row>
    <row r="1708" spans="15:19" x14ac:dyDescent="0.2">
      <c r="O1708" s="4">
        <f t="shared" ca="1" si="163"/>
        <v>0.23698267035912124</v>
      </c>
      <c r="P1708" s="4">
        <f t="shared" ca="1" si="164"/>
        <v>-0.716042120988157</v>
      </c>
      <c r="Q1708" s="4">
        <f t="shared" ca="1" si="165"/>
        <v>1944.9567484277018</v>
      </c>
      <c r="R1708" s="4">
        <f t="shared" ca="1" si="166"/>
        <v>21.286704427701807</v>
      </c>
      <c r="S1708" s="4">
        <f t="shared" ca="1" si="167"/>
        <v>10.959991031040039</v>
      </c>
    </row>
    <row r="1709" spans="15:19" x14ac:dyDescent="0.2">
      <c r="O1709" s="4">
        <f t="shared" ca="1" si="163"/>
        <v>0.52926685316937272</v>
      </c>
      <c r="P1709" s="4">
        <f t="shared" ca="1" si="164"/>
        <v>7.3427049045861587E-2</v>
      </c>
      <c r="Q1709" s="4">
        <f t="shared" ca="1" si="165"/>
        <v>1921.03981497316</v>
      </c>
      <c r="R1709" s="4">
        <f t="shared" ca="1" si="166"/>
        <v>-2.6302290268399702</v>
      </c>
      <c r="S1709" s="4">
        <f t="shared" ca="1" si="167"/>
        <v>-1.328631548693578</v>
      </c>
    </row>
    <row r="1710" spans="15:19" x14ac:dyDescent="0.2">
      <c r="O1710" s="4">
        <f t="shared" ca="1" si="163"/>
        <v>0.66771955939973315</v>
      </c>
      <c r="P1710" s="4">
        <f t="shared" ca="1" si="164"/>
        <v>0.43362485713819465</v>
      </c>
      <c r="Q1710" s="4">
        <f t="shared" ca="1" si="165"/>
        <v>1910.1276383694237</v>
      </c>
      <c r="R1710" s="4">
        <f t="shared" ca="1" si="166"/>
        <v>-13.542405630576241</v>
      </c>
      <c r="S1710" s="4">
        <f t="shared" ca="1" si="167"/>
        <v>-6.7806432036491877</v>
      </c>
    </row>
    <row r="1711" spans="15:19" x14ac:dyDescent="0.2">
      <c r="O1711" s="4">
        <f t="shared" ca="1" si="163"/>
        <v>0.91334362542195224</v>
      </c>
      <c r="P1711" s="4">
        <f t="shared" ca="1" si="164"/>
        <v>1.3616361234262755</v>
      </c>
      <c r="Q1711" s="4">
        <f t="shared" ca="1" si="165"/>
        <v>1882.0135782599948</v>
      </c>
      <c r="R1711" s="4">
        <f t="shared" ca="1" si="166"/>
        <v>-41.65646574000516</v>
      </c>
      <c r="S1711" s="4">
        <f t="shared" ca="1" si="167"/>
        <v>-20.380539570867594</v>
      </c>
    </row>
    <row r="1712" spans="15:19" x14ac:dyDescent="0.2">
      <c r="O1712" s="4">
        <f t="shared" ca="1" si="163"/>
        <v>0.52956497995088392</v>
      </c>
      <c r="P1712" s="4">
        <f t="shared" ca="1" si="164"/>
        <v>7.4176379994823197E-2</v>
      </c>
      <c r="Q1712" s="4">
        <f t="shared" ca="1" si="165"/>
        <v>1921.0171140253308</v>
      </c>
      <c r="R1712" s="4">
        <f t="shared" ca="1" si="166"/>
        <v>-2.6529299746691777</v>
      </c>
      <c r="S1712" s="4">
        <f t="shared" ca="1" si="167"/>
        <v>-1.3400741699201657</v>
      </c>
    </row>
    <row r="1713" spans="15:19" x14ac:dyDescent="0.2">
      <c r="O1713" s="4">
        <f t="shared" ca="1" si="163"/>
        <v>0.65348420756732228</v>
      </c>
      <c r="P1713" s="4">
        <f t="shared" ca="1" si="164"/>
        <v>0.39474432800494452</v>
      </c>
      <c r="Q1713" s="4">
        <f t="shared" ca="1" si="165"/>
        <v>1911.3055222732592</v>
      </c>
      <c r="R1713" s="4">
        <f t="shared" ca="1" si="166"/>
        <v>-12.364521726740804</v>
      </c>
      <c r="S1713" s="4">
        <f t="shared" ca="1" si="167"/>
        <v>-6.1968086952757622</v>
      </c>
    </row>
    <row r="1714" spans="15:19" x14ac:dyDescent="0.2">
      <c r="O1714" s="4">
        <f t="shared" ca="1" si="163"/>
        <v>0.48565975814657136</v>
      </c>
      <c r="P1714" s="4">
        <f t="shared" ca="1" si="164"/>
        <v>-3.5953400035480393E-2</v>
      </c>
      <c r="Q1714" s="4">
        <f t="shared" ca="1" si="165"/>
        <v>1924.3534908216971</v>
      </c>
      <c r="R1714" s="4">
        <f t="shared" ca="1" si="166"/>
        <v>0.68344682169708904</v>
      </c>
      <c r="S1714" s="4">
        <f t="shared" ca="1" si="167"/>
        <v>0.34615761729551631</v>
      </c>
    </row>
    <row r="1715" spans="15:19" x14ac:dyDescent="0.2">
      <c r="O1715" s="4">
        <f t="shared" ca="1" si="163"/>
        <v>0.43788742300563144</v>
      </c>
      <c r="P1715" s="4">
        <f t="shared" ca="1" si="164"/>
        <v>-0.15632754432254414</v>
      </c>
      <c r="Q1715" s="4">
        <f t="shared" ca="1" si="165"/>
        <v>1928.0002201783825</v>
      </c>
      <c r="R1715" s="4">
        <f t="shared" ca="1" si="166"/>
        <v>4.3301761783825441</v>
      </c>
      <c r="S1715" s="4">
        <f t="shared" ca="1" si="167"/>
        <v>2.1996103164499181</v>
      </c>
    </row>
    <row r="1716" spans="15:19" x14ac:dyDescent="0.2">
      <c r="O1716" s="4">
        <f t="shared" ca="1" si="163"/>
        <v>0.12934165097545047</v>
      </c>
      <c r="P1716" s="4">
        <f t="shared" ca="1" si="164"/>
        <v>-1.129508699098714</v>
      </c>
      <c r="Q1716" s="4">
        <f t="shared" ca="1" si="165"/>
        <v>1957.4827000540606</v>
      </c>
      <c r="R1716" s="4">
        <f t="shared" ca="1" si="166"/>
        <v>33.812656054060653</v>
      </c>
      <c r="S1716" s="4">
        <f t="shared" ca="1" si="167"/>
        <v>17.581698185554405</v>
      </c>
    </row>
    <row r="1717" spans="15:19" x14ac:dyDescent="0.2">
      <c r="O1717" s="4">
        <f t="shared" ca="1" si="163"/>
        <v>0.43423921171916602</v>
      </c>
      <c r="P1717" s="4">
        <f t="shared" ca="1" si="164"/>
        <v>-0.16559151717769163</v>
      </c>
      <c r="Q1717" s="4">
        <f t="shared" ca="1" si="165"/>
        <v>1928.2808718247181</v>
      </c>
      <c r="R1717" s="4">
        <f t="shared" ca="1" si="166"/>
        <v>4.6108278247181715</v>
      </c>
      <c r="S1717" s="4">
        <f t="shared" ca="1" si="167"/>
        <v>2.342700390639799</v>
      </c>
    </row>
    <row r="1718" spans="15:19" x14ac:dyDescent="0.2">
      <c r="O1718" s="4">
        <f t="shared" ca="1" si="163"/>
        <v>0.98798782208936864</v>
      </c>
      <c r="P1718" s="4">
        <f t="shared" ca="1" si="164"/>
        <v>2.25673952055593</v>
      </c>
      <c r="Q1718" s="4">
        <f t="shared" ca="1" si="165"/>
        <v>1854.896460585644</v>
      </c>
      <c r="R1718" s="4">
        <f t="shared" ca="1" si="166"/>
        <v>-68.773583414355926</v>
      </c>
      <c r="S1718" s="4">
        <f t="shared" ca="1" si="167"/>
        <v>-32.888503180139729</v>
      </c>
    </row>
    <row r="1719" spans="15:19" x14ac:dyDescent="0.2">
      <c r="O1719" s="4">
        <f t="shared" ca="1" si="163"/>
        <v>0.26920433034764846</v>
      </c>
      <c r="P1719" s="4">
        <f t="shared" ca="1" si="164"/>
        <v>-0.61522118236097778</v>
      </c>
      <c r="Q1719" s="4">
        <f t="shared" ca="1" si="165"/>
        <v>1941.9023825683403</v>
      </c>
      <c r="R1719" s="4">
        <f t="shared" ca="1" si="166"/>
        <v>18.23233856834031</v>
      </c>
      <c r="S1719" s="4">
        <f t="shared" ca="1" si="167"/>
        <v>9.3647055742731578</v>
      </c>
    </row>
    <row r="1720" spans="15:19" x14ac:dyDescent="0.2">
      <c r="O1720" s="4">
        <f t="shared" ca="1" si="163"/>
        <v>0.93632970647333458</v>
      </c>
      <c r="P1720" s="4">
        <f t="shared" ca="1" si="164"/>
        <v>1.5246733701093105</v>
      </c>
      <c r="Q1720" s="4">
        <f t="shared" ca="1" si="165"/>
        <v>1877.0743721104225</v>
      </c>
      <c r="R1720" s="4">
        <f t="shared" ca="1" si="166"/>
        <v>-46.595671889577488</v>
      </c>
      <c r="S1720" s="4">
        <f t="shared" ca="1" si="167"/>
        <v>-22.703374458790051</v>
      </c>
    </row>
    <row r="1721" spans="15:19" x14ac:dyDescent="0.2">
      <c r="O1721" s="4">
        <f t="shared" ca="1" si="163"/>
        <v>0.4433821541407772</v>
      </c>
      <c r="P1721" s="4">
        <f t="shared" ca="1" si="164"/>
        <v>-0.14239968867530442</v>
      </c>
      <c r="Q1721" s="4">
        <f t="shared" ca="1" si="165"/>
        <v>1927.5782764099324</v>
      </c>
      <c r="R1721" s="4">
        <f t="shared" ca="1" si="166"/>
        <v>3.9082324099324524</v>
      </c>
      <c r="S1721" s="4">
        <f t="shared" ca="1" si="167"/>
        <v>1.9846032162399978</v>
      </c>
    </row>
    <row r="1722" spans="15:19" x14ac:dyDescent="0.2">
      <c r="O1722" s="4">
        <f t="shared" ca="1" si="163"/>
        <v>0.57857797822195967</v>
      </c>
      <c r="P1722" s="4">
        <f t="shared" ca="1" si="164"/>
        <v>0.1982569352411713</v>
      </c>
      <c r="Q1722" s="4">
        <f t="shared" ca="1" si="165"/>
        <v>1917.2580991131947</v>
      </c>
      <c r="R1722" s="4">
        <f t="shared" ca="1" si="166"/>
        <v>-6.4119448868052586</v>
      </c>
      <c r="S1722" s="4">
        <f t="shared" ca="1" si="167"/>
        <v>-3.2290534538614835</v>
      </c>
    </row>
    <row r="1723" spans="15:19" x14ac:dyDescent="0.2">
      <c r="O1723" s="4">
        <f t="shared" ca="1" si="163"/>
        <v>0.58915498352560502</v>
      </c>
      <c r="P1723" s="4">
        <f t="shared" ca="1" si="164"/>
        <v>0.22537181894931213</v>
      </c>
      <c r="Q1723" s="4">
        <f t="shared" ca="1" si="165"/>
        <v>1916.4366549151302</v>
      </c>
      <c r="R1723" s="4">
        <f t="shared" ca="1" si="166"/>
        <v>-7.2333890848697138</v>
      </c>
      <c r="S1723" s="4">
        <f t="shared" ca="1" si="167"/>
        <v>-3.6403137626153939</v>
      </c>
    </row>
    <row r="1724" spans="15:19" x14ac:dyDescent="0.2">
      <c r="O1724" s="4">
        <f t="shared" ca="1" si="163"/>
        <v>4.0459246049349584E-2</v>
      </c>
      <c r="P1724" s="4">
        <f t="shared" ca="1" si="164"/>
        <v>-1.745381452086243</v>
      </c>
      <c r="Q1724" s="4">
        <f t="shared" ca="1" si="165"/>
        <v>1976.1405377616857</v>
      </c>
      <c r="R1724" s="4">
        <f t="shared" ca="1" si="166"/>
        <v>52.470493761685702</v>
      </c>
      <c r="S1724" s="4">
        <f t="shared" ca="1" si="167"/>
        <v>27.6818016299483</v>
      </c>
    </row>
    <row r="1725" spans="15:19" x14ac:dyDescent="0.2">
      <c r="O1725" s="4">
        <f t="shared" ca="1" si="163"/>
        <v>0.43405547653811616</v>
      </c>
      <c r="P1725" s="4">
        <f t="shared" ca="1" si="164"/>
        <v>-0.16605844887663357</v>
      </c>
      <c r="Q1725" s="4">
        <f t="shared" ca="1" si="165"/>
        <v>1928.2950174998061</v>
      </c>
      <c r="R1725" s="4">
        <f t="shared" ca="1" si="166"/>
        <v>4.624973499806174</v>
      </c>
      <c r="S1725" s="4">
        <f t="shared" ca="1" si="167"/>
        <v>2.349914252153404</v>
      </c>
    </row>
    <row r="1726" spans="15:19" x14ac:dyDescent="0.2">
      <c r="O1726" s="4">
        <f t="shared" ca="1" si="163"/>
        <v>7.2078357213080868E-2</v>
      </c>
      <c r="P1726" s="4">
        <f t="shared" ca="1" si="164"/>
        <v>-1.4604854101733553</v>
      </c>
      <c r="Q1726" s="4">
        <f t="shared" ca="1" si="165"/>
        <v>1967.509624821033</v>
      </c>
      <c r="R1726" s="4">
        <f t="shared" ca="1" si="166"/>
        <v>43.839580821032996</v>
      </c>
      <c r="S1726" s="4">
        <f t="shared" ca="1" si="167"/>
        <v>22.974375162253171</v>
      </c>
    </row>
    <row r="1727" spans="15:19" x14ac:dyDescent="0.2">
      <c r="O1727" s="4">
        <f t="shared" ca="1" si="163"/>
        <v>0.71216115014710502</v>
      </c>
      <c r="P1727" s="4">
        <f t="shared" ca="1" si="164"/>
        <v>0.55970935592383209</v>
      </c>
      <c r="Q1727" s="4">
        <f t="shared" ca="1" si="165"/>
        <v>1906.3079140767379</v>
      </c>
      <c r="R1727" s="4">
        <f t="shared" ca="1" si="166"/>
        <v>-17.362129923262046</v>
      </c>
      <c r="S1727" s="4">
        <f t="shared" ca="1" si="167"/>
        <v>-8.6661718328484767</v>
      </c>
    </row>
    <row r="1728" spans="15:19" x14ac:dyDescent="0.2">
      <c r="O1728" s="4">
        <f t="shared" ca="1" si="163"/>
        <v>0.19975804706069789</v>
      </c>
      <c r="P1728" s="4">
        <f t="shared" ca="1" si="164"/>
        <v>-0.8424857833126902</v>
      </c>
      <c r="Q1728" s="4">
        <f t="shared" ca="1" si="165"/>
        <v>1948.7873535638521</v>
      </c>
      <c r="R1728" s="4">
        <f t="shared" ca="1" si="166"/>
        <v>25.117309563852132</v>
      </c>
      <c r="S1728" s="4">
        <f t="shared" ca="1" si="167"/>
        <v>12.971439646539755</v>
      </c>
    </row>
    <row r="1729" spans="15:19" x14ac:dyDescent="0.2">
      <c r="O1729" s="4">
        <f t="shared" ca="1" si="163"/>
        <v>0.55029008239928956</v>
      </c>
      <c r="P1729" s="4">
        <f t="shared" ca="1" si="164"/>
        <v>0.1263942731013136</v>
      </c>
      <c r="Q1729" s="4">
        <f t="shared" ca="1" si="165"/>
        <v>1919.4351752720916</v>
      </c>
      <c r="R1729" s="4">
        <f t="shared" ca="1" si="166"/>
        <v>-4.2348687279084061</v>
      </c>
      <c r="S1729" s="4">
        <f t="shared" ca="1" si="167"/>
        <v>-2.1364316046548795</v>
      </c>
    </row>
    <row r="1730" spans="15:19" x14ac:dyDescent="0.2">
      <c r="O1730" s="4">
        <f t="shared" ca="1" si="163"/>
        <v>0.25404121388066914</v>
      </c>
      <c r="P1730" s="4">
        <f t="shared" ca="1" si="164"/>
        <v>-0.66182648901671337</v>
      </c>
      <c r="Q1730" s="4">
        <f t="shared" ca="1" si="165"/>
        <v>1943.3142882642471</v>
      </c>
      <c r="R1730" s="4">
        <f t="shared" ca="1" si="166"/>
        <v>19.644244264247163</v>
      </c>
      <c r="S1730" s="4">
        <f t="shared" ca="1" si="167"/>
        <v>10.101195381447381</v>
      </c>
    </row>
    <row r="1731" spans="15:19" x14ac:dyDescent="0.2">
      <c r="O1731" s="4">
        <f t="shared" ref="O1731:O1794" ca="1" si="168">RAND()</f>
        <v>0.860402347782114</v>
      </c>
      <c r="P1731" s="4">
        <f t="shared" ref="P1731:P1794" ca="1" si="169">NORMSINV(O1731)</f>
        <v>1.082128790604781</v>
      </c>
      <c r="Q1731" s="4">
        <f t="shared" ref="Q1731:Q1794" ca="1" si="170">$B$4*(1+$B$17-$B$6/SQRT(252)*P1731)</f>
        <v>1890.4812404979771</v>
      </c>
      <c r="R1731" s="4">
        <f t="shared" ref="R1731:R1794" ca="1" si="171">Q1731-$B$4</f>
        <v>-33.188803502022893</v>
      </c>
      <c r="S1731" s="4">
        <f t="shared" ref="S1731:S1794" ca="1" si="172">R1731*$B$12+0.5*$B$13*R1731^2</f>
        <v>-16.352112014099539</v>
      </c>
    </row>
    <row r="1732" spans="15:19" x14ac:dyDescent="0.2">
      <c r="O1732" s="4">
        <f t="shared" ca="1" si="168"/>
        <v>0.65762228238826825</v>
      </c>
      <c r="P1732" s="4">
        <f t="shared" ca="1" si="169"/>
        <v>0.4059825320666462</v>
      </c>
      <c r="Q1732" s="4">
        <f t="shared" ca="1" si="170"/>
        <v>1910.9650613801748</v>
      </c>
      <c r="R1732" s="4">
        <f t="shared" ca="1" si="171"/>
        <v>-12.704982619825159</v>
      </c>
      <c r="S1732" s="4">
        <f t="shared" ca="1" si="172"/>
        <v>-6.3656789226463593</v>
      </c>
    </row>
    <row r="1733" spans="15:19" x14ac:dyDescent="0.2">
      <c r="O1733" s="4">
        <f t="shared" ca="1" si="168"/>
        <v>0.43956605074116784</v>
      </c>
      <c r="P1733" s="4">
        <f t="shared" ca="1" si="169"/>
        <v>-0.15206952331487686</v>
      </c>
      <c r="Q1733" s="4">
        <f t="shared" ca="1" si="170"/>
        <v>1927.8712236210072</v>
      </c>
      <c r="R1733" s="4">
        <f t="shared" ca="1" si="171"/>
        <v>4.2011796210072134</v>
      </c>
      <c r="S1733" s="4">
        <f t="shared" ca="1" si="172"/>
        <v>2.1338630095936089</v>
      </c>
    </row>
    <row r="1734" spans="15:19" x14ac:dyDescent="0.2">
      <c r="O1734" s="4">
        <f t="shared" ca="1" si="168"/>
        <v>0.52919763659392938</v>
      </c>
      <c r="P1734" s="4">
        <f t="shared" ca="1" si="169"/>
        <v>7.3253081584072025E-2</v>
      </c>
      <c r="Q1734" s="4">
        <f t="shared" ca="1" si="170"/>
        <v>1921.0450853096911</v>
      </c>
      <c r="R1734" s="4">
        <f t="shared" ca="1" si="171"/>
        <v>-2.6249586903088584</v>
      </c>
      <c r="S1734" s="4">
        <f t="shared" ca="1" si="172"/>
        <v>-1.3259749271557753</v>
      </c>
    </row>
    <row r="1735" spans="15:19" x14ac:dyDescent="0.2">
      <c r="O1735" s="4">
        <f t="shared" ca="1" si="168"/>
        <v>0.69927483053458395</v>
      </c>
      <c r="P1735" s="4">
        <f t="shared" ca="1" si="169"/>
        <v>0.52231598838283921</v>
      </c>
      <c r="Q1735" s="4">
        <f t="shared" ca="1" si="170"/>
        <v>1907.4407444861645</v>
      </c>
      <c r="R1735" s="4">
        <f t="shared" ca="1" si="171"/>
        <v>-16.229299513835485</v>
      </c>
      <c r="S1735" s="4">
        <f t="shared" ca="1" si="172"/>
        <v>-8.1082123487582631</v>
      </c>
    </row>
    <row r="1736" spans="15:19" x14ac:dyDescent="0.2">
      <c r="O1736" s="4">
        <f t="shared" ca="1" si="168"/>
        <v>0.5733096299223106</v>
      </c>
      <c r="P1736" s="4">
        <f t="shared" ca="1" si="169"/>
        <v>0.184806588303527</v>
      </c>
      <c r="Q1736" s="4">
        <f t="shared" ca="1" si="170"/>
        <v>1917.6655767764887</v>
      </c>
      <c r="R1736" s="4">
        <f t="shared" ca="1" si="171"/>
        <v>-6.0044672235112557</v>
      </c>
      <c r="S1736" s="4">
        <f t="shared" ca="1" si="172"/>
        <v>-3.024843799849708</v>
      </c>
    </row>
    <row r="1737" spans="15:19" x14ac:dyDescent="0.2">
      <c r="O1737" s="4">
        <f t="shared" ca="1" si="168"/>
        <v>0.98871994044138845</v>
      </c>
      <c r="P1737" s="4">
        <f t="shared" ca="1" si="169"/>
        <v>2.280802791763417</v>
      </c>
      <c r="Q1737" s="4">
        <f t="shared" ca="1" si="170"/>
        <v>1854.1674648527983</v>
      </c>
      <c r="R1737" s="4">
        <f t="shared" ca="1" si="171"/>
        <v>-69.502579147201686</v>
      </c>
      <c r="S1737" s="4">
        <f t="shared" ca="1" si="172"/>
        <v>-33.216494270295755</v>
      </c>
    </row>
    <row r="1738" spans="15:19" x14ac:dyDescent="0.2">
      <c r="O1738" s="4">
        <f t="shared" ca="1" si="168"/>
        <v>0.55881885235806883</v>
      </c>
      <c r="P1738" s="4">
        <f t="shared" ca="1" si="169"/>
        <v>0.14797525702088071</v>
      </c>
      <c r="Q1738" s="4">
        <f t="shared" ca="1" si="170"/>
        <v>1918.7813803224224</v>
      </c>
      <c r="R1738" s="4">
        <f t="shared" ca="1" si="171"/>
        <v>-4.8886636775775969</v>
      </c>
      <c r="S1738" s="4">
        <f t="shared" ca="1" si="172"/>
        <v>-2.4649608769114226</v>
      </c>
    </row>
    <row r="1739" spans="15:19" x14ac:dyDescent="0.2">
      <c r="O1739" s="4">
        <f t="shared" ca="1" si="168"/>
        <v>0.86506169062071325</v>
      </c>
      <c r="P1739" s="4">
        <f t="shared" ca="1" si="169"/>
        <v>1.1033467341653944</v>
      </c>
      <c r="Q1739" s="4">
        <f t="shared" ca="1" si="170"/>
        <v>1889.8384438398637</v>
      </c>
      <c r="R1739" s="4">
        <f t="shared" ca="1" si="171"/>
        <v>-33.831600160136304</v>
      </c>
      <c r="S1739" s="4">
        <f t="shared" ca="1" si="172"/>
        <v>-16.65996523625023</v>
      </c>
    </row>
    <row r="1740" spans="15:19" x14ac:dyDescent="0.2">
      <c r="O1740" s="4">
        <f t="shared" ca="1" si="168"/>
        <v>0.2050049974615159</v>
      </c>
      <c r="P1740" s="4">
        <f t="shared" ca="1" si="169"/>
        <v>-0.8238760415491897</v>
      </c>
      <c r="Q1740" s="4">
        <f t="shared" ca="1" si="170"/>
        <v>1948.2235722633807</v>
      </c>
      <c r="R1740" s="4">
        <f t="shared" ca="1" si="171"/>
        <v>24.553528263380713</v>
      </c>
      <c r="S1740" s="4">
        <f t="shared" ca="1" si="172"/>
        <v>12.674648671249427</v>
      </c>
    </row>
    <row r="1741" spans="15:19" x14ac:dyDescent="0.2">
      <c r="O1741" s="4">
        <f t="shared" ca="1" si="168"/>
        <v>0.5969566719269056</v>
      </c>
      <c r="P1741" s="4">
        <f t="shared" ca="1" si="169"/>
        <v>0.24547759241626047</v>
      </c>
      <c r="Q1741" s="4">
        <f t="shared" ca="1" si="170"/>
        <v>1915.8275514006252</v>
      </c>
      <c r="R1741" s="4">
        <f t="shared" ca="1" si="171"/>
        <v>-7.8424925993747365</v>
      </c>
      <c r="S1741" s="4">
        <f t="shared" ca="1" si="172"/>
        <v>-3.9449099036701458</v>
      </c>
    </row>
    <row r="1742" spans="15:19" x14ac:dyDescent="0.2">
      <c r="O1742" s="4">
        <f t="shared" ca="1" si="168"/>
        <v>0.35998520610288753</v>
      </c>
      <c r="P1742" s="4">
        <f t="shared" ca="1" si="169"/>
        <v>-0.3584983369639686</v>
      </c>
      <c r="Q1742" s="4">
        <f t="shared" ca="1" si="170"/>
        <v>1934.1249753652742</v>
      </c>
      <c r="R1742" s="4">
        <f t="shared" ca="1" si="171"/>
        <v>10.454931365274206</v>
      </c>
      <c r="S1742" s="4">
        <f t="shared" ca="1" si="172"/>
        <v>5.336883603995437</v>
      </c>
    </row>
    <row r="1743" spans="15:19" x14ac:dyDescent="0.2">
      <c r="O1743" s="4">
        <f t="shared" ca="1" si="168"/>
        <v>0.34453291180665258</v>
      </c>
      <c r="P1743" s="4">
        <f t="shared" ca="1" si="169"/>
        <v>-0.40012313705335606</v>
      </c>
      <c r="Q1743" s="4">
        <f t="shared" ca="1" si="170"/>
        <v>1935.3859968358829</v>
      </c>
      <c r="R1743" s="4">
        <f t="shared" ca="1" si="171"/>
        <v>11.715952835882945</v>
      </c>
      <c r="S1743" s="4">
        <f t="shared" ca="1" si="172"/>
        <v>5.9866058495409717</v>
      </c>
    </row>
    <row r="1744" spans="15:19" x14ac:dyDescent="0.2">
      <c r="O1744" s="4">
        <f t="shared" ca="1" si="168"/>
        <v>0.50176558238312541</v>
      </c>
      <c r="P1744" s="4">
        <f t="shared" ca="1" si="169"/>
        <v>4.4256731699925701E-3</v>
      </c>
      <c r="Q1744" s="4">
        <f t="shared" ca="1" si="170"/>
        <v>1923.1302085917278</v>
      </c>
      <c r="R1744" s="4">
        <f t="shared" ca="1" si="171"/>
        <v>-0.53983540827221077</v>
      </c>
      <c r="S1744" s="4">
        <f t="shared" ca="1" si="172"/>
        <v>-0.2731513422671708</v>
      </c>
    </row>
    <row r="1745" spans="15:19" x14ac:dyDescent="0.2">
      <c r="O1745" s="4">
        <f t="shared" ca="1" si="168"/>
        <v>0.26940894403370752</v>
      </c>
      <c r="P1745" s="4">
        <f t="shared" ca="1" si="169"/>
        <v>-0.61460155375155268</v>
      </c>
      <c r="Q1745" s="4">
        <f t="shared" ca="1" si="170"/>
        <v>1941.8836109471285</v>
      </c>
      <c r="R1745" s="4">
        <f t="shared" ca="1" si="171"/>
        <v>18.213566947128584</v>
      </c>
      <c r="S1745" s="4">
        <f t="shared" ca="1" si="172"/>
        <v>9.3549246998544771</v>
      </c>
    </row>
    <row r="1746" spans="15:19" x14ac:dyDescent="0.2">
      <c r="O1746" s="4">
        <f t="shared" ca="1" si="168"/>
        <v>0.71224334047410387</v>
      </c>
      <c r="P1746" s="4">
        <f t="shared" ca="1" si="169"/>
        <v>0.55995032795645594</v>
      </c>
      <c r="Q1746" s="4">
        <f t="shared" ca="1" si="170"/>
        <v>1906.3006138397086</v>
      </c>
      <c r="R1746" s="4">
        <f t="shared" ca="1" si="171"/>
        <v>-17.369430160291358</v>
      </c>
      <c r="S1746" s="4">
        <f t="shared" ca="1" si="172"/>
        <v>-8.6697640724970064</v>
      </c>
    </row>
    <row r="1747" spans="15:19" x14ac:dyDescent="0.2">
      <c r="O1747" s="4">
        <f t="shared" ca="1" si="168"/>
        <v>0.9256974115520944</v>
      </c>
      <c r="P1747" s="4">
        <f t="shared" ca="1" si="169"/>
        <v>1.4444758189551672</v>
      </c>
      <c r="Q1747" s="4">
        <f t="shared" ca="1" si="170"/>
        <v>1879.5039533619465</v>
      </c>
      <c r="R1747" s="4">
        <f t="shared" ca="1" si="171"/>
        <v>-44.166090638053447</v>
      </c>
      <c r="S1747" s="4">
        <f t="shared" ca="1" si="172"/>
        <v>-21.563260719102061</v>
      </c>
    </row>
    <row r="1748" spans="15:19" x14ac:dyDescent="0.2">
      <c r="O1748" s="4">
        <f t="shared" ca="1" si="168"/>
        <v>0.87411166698763687</v>
      </c>
      <c r="P1748" s="4">
        <f t="shared" ca="1" si="169"/>
        <v>1.1460446784167202</v>
      </c>
      <c r="Q1748" s="4">
        <f t="shared" ca="1" si="170"/>
        <v>1888.5449115145157</v>
      </c>
      <c r="R1748" s="4">
        <f t="shared" ca="1" si="171"/>
        <v>-35.125132485484301</v>
      </c>
      <c r="S1748" s="4">
        <f t="shared" ca="1" si="172"/>
        <v>-17.278454305157759</v>
      </c>
    </row>
    <row r="1749" spans="15:19" x14ac:dyDescent="0.2">
      <c r="O1749" s="4">
        <f t="shared" ca="1" si="168"/>
        <v>0.21163354365578524</v>
      </c>
      <c r="P1749" s="4">
        <f t="shared" ca="1" si="169"/>
        <v>-0.80076606630872449</v>
      </c>
      <c r="Q1749" s="4">
        <f t="shared" ca="1" si="170"/>
        <v>1947.5234565895305</v>
      </c>
      <c r="R1749" s="4">
        <f t="shared" ca="1" si="171"/>
        <v>23.853412589530535</v>
      </c>
      <c r="S1749" s="4">
        <f t="shared" ca="1" si="172"/>
        <v>12.306447497076089</v>
      </c>
    </row>
    <row r="1750" spans="15:19" x14ac:dyDescent="0.2">
      <c r="O1750" s="4">
        <f t="shared" ca="1" si="168"/>
        <v>6.0082092460277403E-3</v>
      </c>
      <c r="P1750" s="4">
        <f t="shared" ca="1" si="169"/>
        <v>-2.5116618051789859</v>
      </c>
      <c r="Q1750" s="4">
        <f t="shared" ca="1" si="170"/>
        <v>1999.3549670365521</v>
      </c>
      <c r="R1750" s="4">
        <f t="shared" ca="1" si="171"/>
        <v>75.684923036552163</v>
      </c>
      <c r="S1750" s="4">
        <f t="shared" ca="1" si="172"/>
        <v>40.644226390171838</v>
      </c>
    </row>
    <row r="1751" spans="15:19" x14ac:dyDescent="0.2">
      <c r="O1751" s="4">
        <f t="shared" ca="1" si="168"/>
        <v>0.58592113691903491</v>
      </c>
      <c r="P1751" s="4">
        <f t="shared" ca="1" si="169"/>
        <v>0.21706495310204924</v>
      </c>
      <c r="Q1751" s="4">
        <f t="shared" ca="1" si="170"/>
        <v>1916.6883110471565</v>
      </c>
      <c r="R1751" s="4">
        <f t="shared" ca="1" si="171"/>
        <v>-6.9817329528434584</v>
      </c>
      <c r="S1751" s="4">
        <f t="shared" ca="1" si="172"/>
        <v>-3.5143791815881742</v>
      </c>
    </row>
    <row r="1752" spans="15:19" x14ac:dyDescent="0.2">
      <c r="O1752" s="4">
        <f t="shared" ca="1" si="168"/>
        <v>0.57524734010289624</v>
      </c>
      <c r="P1752" s="4">
        <f t="shared" ca="1" si="169"/>
        <v>0.18974964062045832</v>
      </c>
      <c r="Q1752" s="4">
        <f t="shared" ca="1" si="170"/>
        <v>1917.5158272260139</v>
      </c>
      <c r="R1752" s="4">
        <f t="shared" ca="1" si="171"/>
        <v>-6.1542167739860361</v>
      </c>
      <c r="S1752" s="4">
        <f t="shared" ca="1" si="172"/>
        <v>-3.0999073147520262</v>
      </c>
    </row>
    <row r="1753" spans="15:19" x14ac:dyDescent="0.2">
      <c r="O1753" s="4">
        <f t="shared" ca="1" si="168"/>
        <v>0.3155760720077061</v>
      </c>
      <c r="P1753" s="4">
        <f t="shared" ca="1" si="169"/>
        <v>-0.48010582847193062</v>
      </c>
      <c r="Q1753" s="4">
        <f t="shared" ca="1" si="170"/>
        <v>1937.8090689212572</v>
      </c>
      <c r="R1753" s="4">
        <f t="shared" ca="1" si="171"/>
        <v>14.13902492125726</v>
      </c>
      <c r="S1753" s="4">
        <f t="shared" ca="1" si="172"/>
        <v>7.2386909390785421</v>
      </c>
    </row>
    <row r="1754" spans="15:19" x14ac:dyDescent="0.2">
      <c r="O1754" s="4">
        <f t="shared" ca="1" si="168"/>
        <v>0.61069295152769676</v>
      </c>
      <c r="P1754" s="4">
        <f t="shared" ca="1" si="169"/>
        <v>0.28112556051012982</v>
      </c>
      <c r="Q1754" s="4">
        <f t="shared" ca="1" si="170"/>
        <v>1914.7475977899553</v>
      </c>
      <c r="R1754" s="4">
        <f t="shared" ca="1" si="171"/>
        <v>-8.9224462100446544</v>
      </c>
      <c r="S1754" s="4">
        <f t="shared" ca="1" si="172"/>
        <v>-4.4842228661048846</v>
      </c>
    </row>
    <row r="1755" spans="15:19" x14ac:dyDescent="0.2">
      <c r="O1755" s="4">
        <f t="shared" ca="1" si="168"/>
        <v>0.75831118034480871</v>
      </c>
      <c r="P1755" s="4">
        <f t="shared" ca="1" si="169"/>
        <v>0.70088042862675703</v>
      </c>
      <c r="Q1755" s="4">
        <f t="shared" ca="1" si="170"/>
        <v>1902.031142697057</v>
      </c>
      <c r="R1755" s="4">
        <f t="shared" ca="1" si="171"/>
        <v>-21.638901302942941</v>
      </c>
      <c r="S1755" s="4">
        <f t="shared" ca="1" si="172"/>
        <v>-10.763216861957101</v>
      </c>
    </row>
    <row r="1756" spans="15:19" x14ac:dyDescent="0.2">
      <c r="O1756" s="4">
        <f t="shared" ca="1" si="168"/>
        <v>0.29441386765264355</v>
      </c>
      <c r="P1756" s="4">
        <f t="shared" ca="1" si="169"/>
        <v>-0.54053557318196754</v>
      </c>
      <c r="Q1756" s="4">
        <f t="shared" ca="1" si="170"/>
        <v>1939.639785354228</v>
      </c>
      <c r="R1756" s="4">
        <f t="shared" ca="1" si="171"/>
        <v>15.969741354228063</v>
      </c>
      <c r="S1756" s="4">
        <f t="shared" ca="1" si="172"/>
        <v>8.1878554344786778</v>
      </c>
    </row>
    <row r="1757" spans="15:19" x14ac:dyDescent="0.2">
      <c r="O1757" s="4">
        <f t="shared" ca="1" si="168"/>
        <v>0.97792330320834098</v>
      </c>
      <c r="P1757" s="4">
        <f t="shared" ca="1" si="169"/>
        <v>2.0126316612575095</v>
      </c>
      <c r="Q1757" s="4">
        <f t="shared" ca="1" si="170"/>
        <v>1862.2916973449458</v>
      </c>
      <c r="R1757" s="4">
        <f t="shared" ca="1" si="171"/>
        <v>-61.378346655054202</v>
      </c>
      <c r="S1757" s="4">
        <f t="shared" ca="1" si="172"/>
        <v>-29.536767792383245</v>
      </c>
    </row>
    <row r="1758" spans="15:19" x14ac:dyDescent="0.2">
      <c r="O1758" s="4">
        <f t="shared" ca="1" si="168"/>
        <v>0.56619637918278731</v>
      </c>
      <c r="P1758" s="4">
        <f t="shared" ca="1" si="169"/>
        <v>0.16669855619056156</v>
      </c>
      <c r="Q1758" s="4">
        <f t="shared" ca="1" si="170"/>
        <v>1918.2141588053726</v>
      </c>
      <c r="R1758" s="4">
        <f t="shared" ca="1" si="171"/>
        <v>-5.455885194627399</v>
      </c>
      <c r="S1758" s="4">
        <f t="shared" ca="1" si="172"/>
        <v>-2.749705424694024</v>
      </c>
    </row>
    <row r="1759" spans="15:19" x14ac:dyDescent="0.2">
      <c r="O1759" s="4">
        <f t="shared" ca="1" si="168"/>
        <v>0.13939583454123583</v>
      </c>
      <c r="P1759" s="4">
        <f t="shared" ca="1" si="169"/>
        <v>-1.0830377464272931</v>
      </c>
      <c r="Q1759" s="4">
        <f t="shared" ca="1" si="170"/>
        <v>1956.0748646061434</v>
      </c>
      <c r="R1759" s="4">
        <f t="shared" ca="1" si="171"/>
        <v>32.404820606143403</v>
      </c>
      <c r="S1759" s="4">
        <f t="shared" ca="1" si="172"/>
        <v>16.83108975120976</v>
      </c>
    </row>
    <row r="1760" spans="15:19" x14ac:dyDescent="0.2">
      <c r="O1760" s="4">
        <f t="shared" ca="1" si="168"/>
        <v>0.48501467870794845</v>
      </c>
      <c r="P1760" s="4">
        <f t="shared" ca="1" si="169"/>
        <v>-3.757146759270405E-2</v>
      </c>
      <c r="Q1760" s="4">
        <f t="shared" ca="1" si="170"/>
        <v>1924.4025101065026</v>
      </c>
      <c r="R1760" s="4">
        <f t="shared" ca="1" si="171"/>
        <v>0.7324661065026703</v>
      </c>
      <c r="S1760" s="4">
        <f t="shared" ca="1" si="172"/>
        <v>0.37099991287302314</v>
      </c>
    </row>
    <row r="1761" spans="15:19" x14ac:dyDescent="0.2">
      <c r="O1761" s="4">
        <f t="shared" ca="1" si="168"/>
        <v>0.74662402078475498</v>
      </c>
      <c r="P1761" s="4">
        <f t="shared" ca="1" si="169"/>
        <v>0.66390368370350061</v>
      </c>
      <c r="Q1761" s="4">
        <f t="shared" ca="1" si="170"/>
        <v>1903.1513515427764</v>
      </c>
      <c r="R1761" s="4">
        <f t="shared" ca="1" si="171"/>
        <v>-20.518692457223551</v>
      </c>
      <c r="S1761" s="4">
        <f t="shared" ca="1" si="172"/>
        <v>-10.215380142064667</v>
      </c>
    </row>
    <row r="1762" spans="15:19" x14ac:dyDescent="0.2">
      <c r="O1762" s="4">
        <f t="shared" ca="1" si="168"/>
        <v>9.2820208667577564E-2</v>
      </c>
      <c r="P1762" s="4">
        <f t="shared" ca="1" si="169"/>
        <v>-1.3235864813074913</v>
      </c>
      <c r="Q1762" s="4">
        <f t="shared" ca="1" si="170"/>
        <v>1963.3622778492165</v>
      </c>
      <c r="R1762" s="4">
        <f t="shared" ca="1" si="171"/>
        <v>39.692233849216564</v>
      </c>
      <c r="S1762" s="4">
        <f t="shared" ca="1" si="172"/>
        <v>20.733924304623432</v>
      </c>
    </row>
    <row r="1763" spans="15:19" x14ac:dyDescent="0.2">
      <c r="O1763" s="4">
        <f t="shared" ca="1" si="168"/>
        <v>0.60398739754306308</v>
      </c>
      <c r="P1763" s="4">
        <f t="shared" ca="1" si="169"/>
        <v>0.26368169090982202</v>
      </c>
      <c r="Q1763" s="4">
        <f t="shared" ca="1" si="170"/>
        <v>1915.2760590450064</v>
      </c>
      <c r="R1763" s="4">
        <f t="shared" ca="1" si="171"/>
        <v>-8.3939849549935843</v>
      </c>
      <c r="S1763" s="4">
        <f t="shared" ca="1" si="172"/>
        <v>-4.2204357186782495</v>
      </c>
    </row>
    <row r="1764" spans="15:19" x14ac:dyDescent="0.2">
      <c r="O1764" s="4">
        <f t="shared" ca="1" si="168"/>
        <v>8.1516938376817616E-2</v>
      </c>
      <c r="P1764" s="4">
        <f t="shared" ca="1" si="169"/>
        <v>-1.3949401885022477</v>
      </c>
      <c r="Q1764" s="4">
        <f t="shared" ca="1" si="170"/>
        <v>1965.5239352406491</v>
      </c>
      <c r="R1764" s="4">
        <f t="shared" ca="1" si="171"/>
        <v>41.853891240649091</v>
      </c>
      <c r="S1764" s="4">
        <f t="shared" ca="1" si="172"/>
        <v>21.89993248925278</v>
      </c>
    </row>
    <row r="1765" spans="15:19" x14ac:dyDescent="0.2">
      <c r="O1765" s="4">
        <f t="shared" ca="1" si="168"/>
        <v>0.7970485709461379</v>
      </c>
      <c r="P1765" s="4">
        <f t="shared" ca="1" si="169"/>
        <v>0.83112528319749068</v>
      </c>
      <c r="Q1765" s="4">
        <f t="shared" ca="1" si="170"/>
        <v>1898.0853806105772</v>
      </c>
      <c r="R1765" s="4">
        <f t="shared" ca="1" si="171"/>
        <v>-25.584663389422758</v>
      </c>
      <c r="S1765" s="4">
        <f t="shared" ca="1" si="172"/>
        <v>-12.684749868346239</v>
      </c>
    </row>
    <row r="1766" spans="15:19" x14ac:dyDescent="0.2">
      <c r="O1766" s="4">
        <f t="shared" ca="1" si="168"/>
        <v>2.2424216390438012E-2</v>
      </c>
      <c r="P1766" s="4">
        <f t="shared" ca="1" si="169"/>
        <v>-2.0060732556591199</v>
      </c>
      <c r="Q1766" s="4">
        <f t="shared" ca="1" si="170"/>
        <v>1984.0381843764717</v>
      </c>
      <c r="R1766" s="4">
        <f t="shared" ca="1" si="171"/>
        <v>60.368140376471729</v>
      </c>
      <c r="S1766" s="4">
        <f t="shared" ca="1" si="172"/>
        <v>32.042431374599666</v>
      </c>
    </row>
    <row r="1767" spans="15:19" x14ac:dyDescent="0.2">
      <c r="O1767" s="4">
        <f t="shared" ca="1" si="168"/>
        <v>0.10485882171976568</v>
      </c>
      <c r="P1767" s="4">
        <f t="shared" ca="1" si="169"/>
        <v>-1.2543422223106435</v>
      </c>
      <c r="Q1767" s="4">
        <f t="shared" ca="1" si="170"/>
        <v>1961.2645260972827</v>
      </c>
      <c r="R1767" s="4">
        <f t="shared" ca="1" si="171"/>
        <v>37.594482097282707</v>
      </c>
      <c r="S1767" s="4">
        <f t="shared" ca="1" si="172"/>
        <v>19.606024361143628</v>
      </c>
    </row>
    <row r="1768" spans="15:19" x14ac:dyDescent="0.2">
      <c r="O1768" s="4">
        <f t="shared" ca="1" si="168"/>
        <v>0.95165423228085466</v>
      </c>
      <c r="P1768" s="4">
        <f t="shared" ca="1" si="169"/>
        <v>1.66110910859954</v>
      </c>
      <c r="Q1768" s="4">
        <f t="shared" ca="1" si="170"/>
        <v>1872.9410574704705</v>
      </c>
      <c r="R1768" s="4">
        <f t="shared" ca="1" si="171"/>
        <v>-50.728986529529493</v>
      </c>
      <c r="S1768" s="4">
        <f t="shared" ca="1" si="172"/>
        <v>-24.631945679049945</v>
      </c>
    </row>
    <row r="1769" spans="15:19" x14ac:dyDescent="0.2">
      <c r="O1769" s="4">
        <f t="shared" ca="1" si="168"/>
        <v>0.94178653068243723</v>
      </c>
      <c r="P1769" s="4">
        <f t="shared" ca="1" si="169"/>
        <v>1.5699491633896985</v>
      </c>
      <c r="Q1769" s="4">
        <f t="shared" ca="1" si="170"/>
        <v>1875.7027439631929</v>
      </c>
      <c r="R1769" s="4">
        <f t="shared" ca="1" si="171"/>
        <v>-47.967300036807046</v>
      </c>
      <c r="S1769" s="4">
        <f t="shared" ca="1" si="172"/>
        <v>-23.34490705271616</v>
      </c>
    </row>
    <row r="1770" spans="15:19" x14ac:dyDescent="0.2">
      <c r="O1770" s="4">
        <f t="shared" ca="1" si="168"/>
        <v>0.16608151602740584</v>
      </c>
      <c r="P1770" s="4">
        <f t="shared" ca="1" si="169"/>
        <v>-0.96976622434405602</v>
      </c>
      <c r="Q1770" s="4">
        <f t="shared" ca="1" si="170"/>
        <v>1952.6433088737738</v>
      </c>
      <c r="R1770" s="4">
        <f t="shared" ca="1" si="171"/>
        <v>28.973264873773815</v>
      </c>
      <c r="S1770" s="4">
        <f t="shared" ca="1" si="172"/>
        <v>15.008264762560414</v>
      </c>
    </row>
    <row r="1771" spans="15:19" x14ac:dyDescent="0.2">
      <c r="O1771" s="4">
        <f t="shared" ca="1" si="168"/>
        <v>0.93530763706747144</v>
      </c>
      <c r="P1771" s="4">
        <f t="shared" ca="1" si="169"/>
        <v>1.5165326303681654</v>
      </c>
      <c r="Q1771" s="4">
        <f t="shared" ca="1" si="170"/>
        <v>1877.3209954594397</v>
      </c>
      <c r="R1771" s="4">
        <f t="shared" ca="1" si="171"/>
        <v>-46.349048540560261</v>
      </c>
      <c r="S1771" s="4">
        <f t="shared" ca="1" si="172"/>
        <v>-22.587862282338737</v>
      </c>
    </row>
    <row r="1772" spans="15:19" x14ac:dyDescent="0.2">
      <c r="O1772" s="4">
        <f t="shared" ca="1" si="168"/>
        <v>0.23898656850449995</v>
      </c>
      <c r="P1772" s="4">
        <f t="shared" ca="1" si="169"/>
        <v>-0.70956627882639256</v>
      </c>
      <c r="Q1772" s="4">
        <f t="shared" ca="1" si="170"/>
        <v>1944.7605630769324</v>
      </c>
      <c r="R1772" s="4">
        <f t="shared" ca="1" si="171"/>
        <v>21.090519076932424</v>
      </c>
      <c r="S1772" s="4">
        <f t="shared" ca="1" si="172"/>
        <v>10.857295796619029</v>
      </c>
    </row>
    <row r="1773" spans="15:19" x14ac:dyDescent="0.2">
      <c r="O1773" s="4">
        <f t="shared" ca="1" si="168"/>
        <v>4.3003571747363467E-2</v>
      </c>
      <c r="P1773" s="4">
        <f t="shared" ca="1" si="169"/>
        <v>-1.7168469306969198</v>
      </c>
      <c r="Q1773" s="4">
        <f t="shared" ca="1" si="170"/>
        <v>1975.2760857031005</v>
      </c>
      <c r="R1773" s="4">
        <f t="shared" ca="1" si="171"/>
        <v>51.606041703100573</v>
      </c>
      <c r="S1773" s="4">
        <f t="shared" ca="1" si="172"/>
        <v>27.207583848123853</v>
      </c>
    </row>
    <row r="1774" spans="15:19" x14ac:dyDescent="0.2">
      <c r="O1774" s="4">
        <f t="shared" ca="1" si="168"/>
        <v>0.31103130113536381</v>
      </c>
      <c r="P1774" s="4">
        <f t="shared" ca="1" si="169"/>
        <v>-0.49292921692182395</v>
      </c>
      <c r="Q1774" s="4">
        <f t="shared" ca="1" si="170"/>
        <v>1938.1975529050012</v>
      </c>
      <c r="R1774" s="4">
        <f t="shared" ca="1" si="171"/>
        <v>14.527508905001241</v>
      </c>
      <c r="S1774" s="4">
        <f t="shared" ca="1" si="172"/>
        <v>7.4398786588744592</v>
      </c>
    </row>
    <row r="1775" spans="15:19" x14ac:dyDescent="0.2">
      <c r="O1775" s="4">
        <f t="shared" ca="1" si="168"/>
        <v>0.33424863273308547</v>
      </c>
      <c r="P1775" s="4">
        <f t="shared" ca="1" si="169"/>
        <v>-0.42821133375937365</v>
      </c>
      <c r="Q1775" s="4">
        <f t="shared" ca="1" si="170"/>
        <v>1936.2369275080039</v>
      </c>
      <c r="R1775" s="4">
        <f t="shared" ca="1" si="171"/>
        <v>12.566883508003912</v>
      </c>
      <c r="S1775" s="4">
        <f t="shared" ca="1" si="172"/>
        <v>6.4257665661382823</v>
      </c>
    </row>
    <row r="1776" spans="15:19" x14ac:dyDescent="0.2">
      <c r="O1776" s="4">
        <f t="shared" ca="1" si="168"/>
        <v>0.54269344108778228</v>
      </c>
      <c r="P1776" s="4">
        <f t="shared" ca="1" si="169"/>
        <v>0.10722167823231711</v>
      </c>
      <c r="Q1776" s="4">
        <f t="shared" ca="1" si="170"/>
        <v>1920.016008182404</v>
      </c>
      <c r="R1776" s="4">
        <f t="shared" ca="1" si="171"/>
        <v>-3.6540358175959682</v>
      </c>
      <c r="S1776" s="4">
        <f t="shared" ca="1" si="172"/>
        <v>-1.8442735425551988</v>
      </c>
    </row>
    <row r="1777" spans="15:19" x14ac:dyDescent="0.2">
      <c r="O1777" s="4">
        <f t="shared" ca="1" si="168"/>
        <v>0.58802581822801181</v>
      </c>
      <c r="P1777" s="4">
        <f t="shared" ca="1" si="169"/>
        <v>0.22246956462057102</v>
      </c>
      <c r="Q1777" s="4">
        <f t="shared" ca="1" si="170"/>
        <v>1916.5245785811621</v>
      </c>
      <c r="R1777" s="4">
        <f t="shared" ca="1" si="171"/>
        <v>-7.1454654188378299</v>
      </c>
      <c r="S1777" s="4">
        <f t="shared" ca="1" si="172"/>
        <v>-3.5963205755158389</v>
      </c>
    </row>
    <row r="1778" spans="15:19" x14ac:dyDescent="0.2">
      <c r="O1778" s="4">
        <f t="shared" ca="1" si="168"/>
        <v>0.90320424026674839</v>
      </c>
      <c r="P1778" s="4">
        <f t="shared" ca="1" si="169"/>
        <v>1.3000275717795222</v>
      </c>
      <c r="Q1778" s="4">
        <f t="shared" ca="1" si="170"/>
        <v>1883.8800065967755</v>
      </c>
      <c r="R1778" s="4">
        <f t="shared" ca="1" si="171"/>
        <v>-39.79003740322446</v>
      </c>
      <c r="S1778" s="4">
        <f t="shared" ca="1" si="172"/>
        <v>-19.49761551157377</v>
      </c>
    </row>
    <row r="1779" spans="15:19" x14ac:dyDescent="0.2">
      <c r="O1779" s="4">
        <f t="shared" ca="1" si="168"/>
        <v>0.18770555106880582</v>
      </c>
      <c r="P1779" s="4">
        <f t="shared" ca="1" si="169"/>
        <v>-0.88638313851394135</v>
      </c>
      <c r="Q1779" s="4">
        <f t="shared" ca="1" si="170"/>
        <v>1950.1172219906755</v>
      </c>
      <c r="R1779" s="4">
        <f t="shared" ca="1" si="171"/>
        <v>26.447177990675527</v>
      </c>
      <c r="S1779" s="4">
        <f t="shared" ca="1" si="172"/>
        <v>13.672546428682702</v>
      </c>
    </row>
    <row r="1780" spans="15:19" x14ac:dyDescent="0.2">
      <c r="O1780" s="4">
        <f t="shared" ca="1" si="168"/>
        <v>0.50517896793492034</v>
      </c>
      <c r="P1780" s="4">
        <f t="shared" ca="1" si="169"/>
        <v>1.298211210707881E-2</v>
      </c>
      <c r="Q1780" s="4">
        <f t="shared" ca="1" si="170"/>
        <v>1922.8709916540258</v>
      </c>
      <c r="R1780" s="4">
        <f t="shared" ca="1" si="171"/>
        <v>-0.79905234597413255</v>
      </c>
      <c r="S1780" s="4">
        <f t="shared" ca="1" si="172"/>
        <v>-0.40422821672151449</v>
      </c>
    </row>
    <row r="1781" spans="15:19" x14ac:dyDescent="0.2">
      <c r="O1781" s="4">
        <f t="shared" ca="1" si="168"/>
        <v>0.81661891575412227</v>
      </c>
      <c r="P1781" s="4">
        <f t="shared" ca="1" si="169"/>
        <v>0.90255490613751155</v>
      </c>
      <c r="Q1781" s="4">
        <f t="shared" ca="1" si="170"/>
        <v>1895.9214233550128</v>
      </c>
      <c r="R1781" s="4">
        <f t="shared" ca="1" si="171"/>
        <v>-27.748620644987113</v>
      </c>
      <c r="S1781" s="4">
        <f t="shared" ca="1" si="172"/>
        <v>-13.733185982054041</v>
      </c>
    </row>
    <row r="1782" spans="15:19" x14ac:dyDescent="0.2">
      <c r="O1782" s="4">
        <f t="shared" ca="1" si="168"/>
        <v>0.32811650723683539</v>
      </c>
      <c r="P1782" s="4">
        <f t="shared" ca="1" si="169"/>
        <v>-0.4451200299964827</v>
      </c>
      <c r="Q1782" s="4">
        <f t="shared" ca="1" si="170"/>
        <v>1936.749175709778</v>
      </c>
      <c r="R1782" s="4">
        <f t="shared" ca="1" si="171"/>
        <v>13.079131709778039</v>
      </c>
      <c r="S1782" s="4">
        <f t="shared" ca="1" si="172"/>
        <v>6.6904193426735867</v>
      </c>
    </row>
    <row r="1783" spans="15:19" x14ac:dyDescent="0.2">
      <c r="O1783" s="4">
        <f t="shared" ca="1" si="168"/>
        <v>4.4312930538057738E-2</v>
      </c>
      <c r="P1783" s="4">
        <f t="shared" ca="1" si="169"/>
        <v>-1.7026912614022518</v>
      </c>
      <c r="Q1783" s="4">
        <f t="shared" ca="1" si="170"/>
        <v>1974.8472403303158</v>
      </c>
      <c r="R1783" s="4">
        <f t="shared" ca="1" si="171"/>
        <v>51.177196330315837</v>
      </c>
      <c r="S1783" s="4">
        <f t="shared" ca="1" si="172"/>
        <v>26.972555275356118</v>
      </c>
    </row>
    <row r="1784" spans="15:19" x14ac:dyDescent="0.2">
      <c r="O1784" s="4">
        <f t="shared" ca="1" si="168"/>
        <v>0.27836306422457935</v>
      </c>
      <c r="P1784" s="4">
        <f t="shared" ca="1" si="169"/>
        <v>-0.58771124199790703</v>
      </c>
      <c r="Q1784" s="4">
        <f t="shared" ca="1" si="170"/>
        <v>1941.0689701464548</v>
      </c>
      <c r="R1784" s="4">
        <f t="shared" ca="1" si="171"/>
        <v>17.398926146454869</v>
      </c>
      <c r="S1784" s="4">
        <f t="shared" ca="1" si="172"/>
        <v>8.9307359032048286</v>
      </c>
    </row>
    <row r="1785" spans="15:19" x14ac:dyDescent="0.2">
      <c r="O1785" s="4">
        <f t="shared" ca="1" si="168"/>
        <v>0.58577239525867908</v>
      </c>
      <c r="P1785" s="4">
        <f t="shared" ca="1" si="169"/>
        <v>0.21668324098507957</v>
      </c>
      <c r="Q1785" s="4">
        <f t="shared" ca="1" si="170"/>
        <v>1916.6998749987924</v>
      </c>
      <c r="R1785" s="4">
        <f t="shared" ca="1" si="171"/>
        <v>-6.9701690012075233</v>
      </c>
      <c r="S1785" s="4">
        <f t="shared" ca="1" si="172"/>
        <v>-3.5085910721926754</v>
      </c>
    </row>
    <row r="1786" spans="15:19" x14ac:dyDescent="0.2">
      <c r="O1786" s="4">
        <f t="shared" ca="1" si="168"/>
        <v>0.2613689979155116</v>
      </c>
      <c r="P1786" s="4">
        <f t="shared" ca="1" si="169"/>
        <v>-0.63913056775591182</v>
      </c>
      <c r="Q1786" s="4">
        <f t="shared" ca="1" si="170"/>
        <v>1942.626716337327</v>
      </c>
      <c r="R1786" s="4">
        <f t="shared" ca="1" si="171"/>
        <v>18.956672337327063</v>
      </c>
      <c r="S1786" s="4">
        <f t="shared" ca="1" si="172"/>
        <v>9.7423357510350286</v>
      </c>
    </row>
    <row r="1787" spans="15:19" x14ac:dyDescent="0.2">
      <c r="O1787" s="4">
        <f t="shared" ca="1" si="168"/>
        <v>0.66752575172465167</v>
      </c>
      <c r="P1787" s="4">
        <f t="shared" ca="1" si="169"/>
        <v>0.43309122621722818</v>
      </c>
      <c r="Q1787" s="4">
        <f t="shared" ca="1" si="170"/>
        <v>1910.1438046944818</v>
      </c>
      <c r="R1787" s="4">
        <f t="shared" ca="1" si="171"/>
        <v>-13.526239305518175</v>
      </c>
      <c r="S1787" s="4">
        <f t="shared" ca="1" si="172"/>
        <v>-6.7726377852591426</v>
      </c>
    </row>
    <row r="1788" spans="15:19" x14ac:dyDescent="0.2">
      <c r="O1788" s="4">
        <f t="shared" ca="1" si="168"/>
        <v>0.13806987936946857</v>
      </c>
      <c r="P1788" s="4">
        <f t="shared" ca="1" si="169"/>
        <v>-1.0890320357768883</v>
      </c>
      <c r="Q1788" s="4">
        <f t="shared" ca="1" si="170"/>
        <v>1956.2564613358488</v>
      </c>
      <c r="R1788" s="4">
        <f t="shared" ca="1" si="171"/>
        <v>32.586417335848864</v>
      </c>
      <c r="S1788" s="4">
        <f t="shared" ca="1" si="172"/>
        <v>16.927820105406933</v>
      </c>
    </row>
    <row r="1789" spans="15:19" x14ac:dyDescent="0.2">
      <c r="O1789" s="4">
        <f t="shared" ca="1" si="168"/>
        <v>0.11809510209431073</v>
      </c>
      <c r="P1789" s="4">
        <f t="shared" ca="1" si="169"/>
        <v>-1.1845631749968679</v>
      </c>
      <c r="Q1789" s="4">
        <f t="shared" ca="1" si="170"/>
        <v>1959.1505729570315</v>
      </c>
      <c r="R1789" s="4">
        <f t="shared" ca="1" si="171"/>
        <v>35.480528957031538</v>
      </c>
      <c r="S1789" s="4">
        <f t="shared" ca="1" si="172"/>
        <v>18.473037682103211</v>
      </c>
    </row>
    <row r="1790" spans="15:19" x14ac:dyDescent="0.2">
      <c r="O1790" s="4">
        <f t="shared" ca="1" si="168"/>
        <v>0.29832731085976305</v>
      </c>
      <c r="P1790" s="4">
        <f t="shared" ca="1" si="169"/>
        <v>-0.52921743730843507</v>
      </c>
      <c r="Q1790" s="4">
        <f t="shared" ca="1" si="170"/>
        <v>1939.2969029304534</v>
      </c>
      <c r="R1790" s="4">
        <f t="shared" ca="1" si="171"/>
        <v>15.626858930453409</v>
      </c>
      <c r="S1790" s="4">
        <f t="shared" ca="1" si="172"/>
        <v>8.0098748380893863</v>
      </c>
    </row>
    <row r="1791" spans="15:19" x14ac:dyDescent="0.2">
      <c r="O1791" s="4">
        <f t="shared" ca="1" si="168"/>
        <v>0.65779418552860358</v>
      </c>
      <c r="P1791" s="4">
        <f t="shared" ca="1" si="169"/>
        <v>0.40645048870946948</v>
      </c>
      <c r="Q1791" s="4">
        <f t="shared" ca="1" si="170"/>
        <v>1910.9508846544575</v>
      </c>
      <c r="R1791" s="4">
        <f t="shared" ca="1" si="171"/>
        <v>-12.719159345542494</v>
      </c>
      <c r="S1791" s="4">
        <f t="shared" ca="1" si="172"/>
        <v>-6.372708599660549</v>
      </c>
    </row>
    <row r="1792" spans="15:19" x14ac:dyDescent="0.2">
      <c r="O1792" s="4">
        <f t="shared" ca="1" si="168"/>
        <v>0.43868644935134493</v>
      </c>
      <c r="P1792" s="4">
        <f t="shared" ca="1" si="169"/>
        <v>-0.15430037873876257</v>
      </c>
      <c r="Q1792" s="4">
        <f t="shared" ca="1" si="170"/>
        <v>1927.9388072870258</v>
      </c>
      <c r="R1792" s="4">
        <f t="shared" ca="1" si="171"/>
        <v>4.2687632870258767</v>
      </c>
      <c r="S1792" s="4">
        <f t="shared" ca="1" si="172"/>
        <v>2.1683075418603726</v>
      </c>
    </row>
    <row r="1793" spans="15:19" x14ac:dyDescent="0.2">
      <c r="O1793" s="4">
        <f t="shared" ca="1" si="168"/>
        <v>0.11092215980742537</v>
      </c>
      <c r="P1793" s="4">
        <f t="shared" ca="1" si="169"/>
        <v>-1.2216386137340185</v>
      </c>
      <c r="Q1793" s="4">
        <f t="shared" ca="1" si="170"/>
        <v>1960.2737717274615</v>
      </c>
      <c r="R1793" s="4">
        <f t="shared" ca="1" si="171"/>
        <v>36.603727727461546</v>
      </c>
      <c r="S1793" s="4">
        <f t="shared" ca="1" si="172"/>
        <v>19.074570240207898</v>
      </c>
    </row>
    <row r="1794" spans="15:19" x14ac:dyDescent="0.2">
      <c r="O1794" s="4">
        <f t="shared" ca="1" si="168"/>
        <v>0.21411658442503623</v>
      </c>
      <c r="P1794" s="4">
        <f t="shared" ca="1" si="169"/>
        <v>-0.79221869634867226</v>
      </c>
      <c r="Q1794" s="4">
        <f t="shared" ca="1" si="170"/>
        <v>1947.2645143960856</v>
      </c>
      <c r="R1794" s="4">
        <f t="shared" ca="1" si="171"/>
        <v>23.594470396085626</v>
      </c>
      <c r="S1794" s="4">
        <f t="shared" ca="1" si="172"/>
        <v>12.170367064544607</v>
      </c>
    </row>
    <row r="1795" spans="15:19" x14ac:dyDescent="0.2">
      <c r="O1795" s="4">
        <f t="shared" ref="O1795:O1858" ca="1" si="173">RAND()</f>
        <v>0.40625863825582609</v>
      </c>
      <c r="P1795" s="4">
        <f t="shared" ref="P1795:P1858" ca="1" si="174">NORMSINV(O1795)</f>
        <v>-0.23717983869360512</v>
      </c>
      <c r="Q1795" s="4">
        <f t="shared" ref="Q1795:Q1858" ca="1" si="175">$B$4*(1+$B$17-$B$6/SQRT(252)*P1795)</f>
        <v>1930.449636846593</v>
      </c>
      <c r="R1795" s="4">
        <f t="shared" ref="R1795:R1858" ca="1" si="176">Q1795-$B$4</f>
        <v>6.7795928465930047</v>
      </c>
      <c r="S1795" s="4">
        <f t="shared" ref="S1795:S1858" ca="1" si="177">R1795*$B$12+0.5*$B$13*R1795^2</f>
        <v>3.4506063780506269</v>
      </c>
    </row>
    <row r="1796" spans="15:19" x14ac:dyDescent="0.2">
      <c r="O1796" s="4">
        <f t="shared" ca="1" si="173"/>
        <v>0.47921489684284924</v>
      </c>
      <c r="P1796" s="4">
        <f t="shared" ca="1" si="174"/>
        <v>-5.2124120527354628E-2</v>
      </c>
      <c r="Q1796" s="4">
        <f t="shared" ca="1" si="175"/>
        <v>1924.8433820810346</v>
      </c>
      <c r="R1796" s="4">
        <f t="shared" ca="1" si="176"/>
        <v>1.1733380810346716</v>
      </c>
      <c r="S1796" s="4">
        <f t="shared" ca="1" si="177"/>
        <v>0.59451565061665113</v>
      </c>
    </row>
    <row r="1797" spans="15:19" x14ac:dyDescent="0.2">
      <c r="O1797" s="4">
        <f t="shared" ca="1" si="173"/>
        <v>0.44737295371392849</v>
      </c>
      <c r="P1797" s="4">
        <f t="shared" ca="1" si="174"/>
        <v>-0.13230139069849187</v>
      </c>
      <c r="Q1797" s="4">
        <f t="shared" ca="1" si="175"/>
        <v>1927.2723489210791</v>
      </c>
      <c r="R1797" s="4">
        <f t="shared" ca="1" si="176"/>
        <v>3.6023049210791669</v>
      </c>
      <c r="S1797" s="4">
        <f t="shared" ca="1" si="177"/>
        <v>1.8288044101040444</v>
      </c>
    </row>
    <row r="1798" spans="15:19" x14ac:dyDescent="0.2">
      <c r="O1798" s="4">
        <f t="shared" ca="1" si="173"/>
        <v>0.21858660558375342</v>
      </c>
      <c r="P1798" s="4">
        <f t="shared" ca="1" si="174"/>
        <v>-0.77697552367224476</v>
      </c>
      <c r="Q1798" s="4">
        <f t="shared" ca="1" si="175"/>
        <v>1946.8027231566343</v>
      </c>
      <c r="R1798" s="4">
        <f t="shared" ca="1" si="176"/>
        <v>23.132679156634367</v>
      </c>
      <c r="S1798" s="4">
        <f t="shared" ca="1" si="177"/>
        <v>11.927819999525637</v>
      </c>
    </row>
    <row r="1799" spans="15:19" x14ac:dyDescent="0.2">
      <c r="O1799" s="4">
        <f t="shared" ca="1" si="173"/>
        <v>0.68946434497139064</v>
      </c>
      <c r="P1799" s="4">
        <f t="shared" ca="1" si="174"/>
        <v>0.49433259357699266</v>
      </c>
      <c r="Q1799" s="4">
        <f t="shared" ca="1" si="175"/>
        <v>1908.2885001893731</v>
      </c>
      <c r="R1799" s="4">
        <f t="shared" ca="1" si="176"/>
        <v>-15.381543810626908</v>
      </c>
      <c r="S1799" s="4">
        <f t="shared" ca="1" si="177"/>
        <v>-7.6899788602307506</v>
      </c>
    </row>
    <row r="1800" spans="15:19" x14ac:dyDescent="0.2">
      <c r="O1800" s="4">
        <f t="shared" ca="1" si="173"/>
        <v>0.48754933761073949</v>
      </c>
      <c r="P1800" s="4">
        <f t="shared" ca="1" si="174"/>
        <v>-3.1214250469241828E-2</v>
      </c>
      <c r="Q1800" s="4">
        <f t="shared" ca="1" si="175"/>
        <v>1924.2099184960014</v>
      </c>
      <c r="R1800" s="4">
        <f t="shared" ca="1" si="176"/>
        <v>0.5398744960014028</v>
      </c>
      <c r="S1800" s="4">
        <f t="shared" ca="1" si="177"/>
        <v>0.27340840411226841</v>
      </c>
    </row>
    <row r="1801" spans="15:19" x14ac:dyDescent="0.2">
      <c r="O1801" s="4">
        <f t="shared" ca="1" si="173"/>
        <v>0.11746520543936623</v>
      </c>
      <c r="P1801" s="4">
        <f t="shared" ca="1" si="174"/>
        <v>-1.1877538255835107</v>
      </c>
      <c r="Q1801" s="4">
        <f t="shared" ca="1" si="175"/>
        <v>1959.2472335748921</v>
      </c>
      <c r="R1801" s="4">
        <f t="shared" ca="1" si="176"/>
        <v>35.577189574892145</v>
      </c>
      <c r="S1801" s="4">
        <f t="shared" ca="1" si="177"/>
        <v>18.524764181693282</v>
      </c>
    </row>
    <row r="1802" spans="15:19" x14ac:dyDescent="0.2">
      <c r="O1802" s="4">
        <f t="shared" ca="1" si="173"/>
        <v>0.14361549461233158</v>
      </c>
      <c r="P1802" s="4">
        <f t="shared" ca="1" si="174"/>
        <v>-1.064215715690281</v>
      </c>
      <c r="Q1802" s="4">
        <f t="shared" ca="1" si="175"/>
        <v>1955.5046520206449</v>
      </c>
      <c r="R1802" s="4">
        <f t="shared" ca="1" si="176"/>
        <v>31.834608020644964</v>
      </c>
      <c r="S1802" s="4">
        <f t="shared" ca="1" si="177"/>
        <v>16.527531556314393</v>
      </c>
    </row>
    <row r="1803" spans="15:19" x14ac:dyDescent="0.2">
      <c r="O1803" s="4">
        <f t="shared" ca="1" si="173"/>
        <v>0.14952918417971961</v>
      </c>
      <c r="P1803" s="4">
        <f t="shared" ca="1" si="174"/>
        <v>-1.0384547996069389</v>
      </c>
      <c r="Q1803" s="4">
        <f t="shared" ca="1" si="175"/>
        <v>1954.7242262116588</v>
      </c>
      <c r="R1803" s="4">
        <f t="shared" ca="1" si="176"/>
        <v>31.054182211658826</v>
      </c>
      <c r="S1803" s="4">
        <f t="shared" ca="1" si="177"/>
        <v>16.112493395765046</v>
      </c>
    </row>
    <row r="1804" spans="15:19" x14ac:dyDescent="0.2">
      <c r="O1804" s="4">
        <f t="shared" ca="1" si="173"/>
        <v>3.6508494394561941E-2</v>
      </c>
      <c r="P1804" s="4">
        <f t="shared" ca="1" si="174"/>
        <v>-1.792724488809202</v>
      </c>
      <c r="Q1804" s="4">
        <f t="shared" ca="1" si="175"/>
        <v>1977.5747929572244</v>
      </c>
      <c r="R1804" s="4">
        <f t="shared" ca="1" si="176"/>
        <v>53.904748957224456</v>
      </c>
      <c r="S1804" s="4">
        <f t="shared" ca="1" si="177"/>
        <v>28.469941902571936</v>
      </c>
    </row>
    <row r="1805" spans="15:19" x14ac:dyDescent="0.2">
      <c r="O1805" s="4">
        <f t="shared" ca="1" si="173"/>
        <v>0.41838932662934614</v>
      </c>
      <c r="P1805" s="4">
        <f t="shared" ca="1" si="174"/>
        <v>-0.20601569266725375</v>
      </c>
      <c r="Q1805" s="4">
        <f t="shared" ca="1" si="175"/>
        <v>1929.5055204263815</v>
      </c>
      <c r="R1805" s="4">
        <f t="shared" ca="1" si="176"/>
        <v>5.8354764263815468</v>
      </c>
      <c r="S1805" s="4">
        <f t="shared" ca="1" si="177"/>
        <v>2.9678371658481577</v>
      </c>
    </row>
    <row r="1806" spans="15:19" x14ac:dyDescent="0.2">
      <c r="O1806" s="4">
        <f t="shared" ca="1" si="173"/>
        <v>0.57656755171202256</v>
      </c>
      <c r="P1806" s="4">
        <f t="shared" ca="1" si="174"/>
        <v>0.19312011897578696</v>
      </c>
      <c r="Q1806" s="4">
        <f t="shared" ca="1" si="175"/>
        <v>1917.4137187338849</v>
      </c>
      <c r="R1806" s="4">
        <f t="shared" ca="1" si="176"/>
        <v>-6.2563252661150273</v>
      </c>
      <c r="S1806" s="4">
        <f t="shared" ca="1" si="177"/>
        <v>-3.1510797866405693</v>
      </c>
    </row>
    <row r="1807" spans="15:19" x14ac:dyDescent="0.2">
      <c r="O1807" s="4">
        <f t="shared" ca="1" si="173"/>
        <v>0.66789608024640557</v>
      </c>
      <c r="P1807" s="4">
        <f t="shared" ca="1" si="174"/>
        <v>0.43411099789806062</v>
      </c>
      <c r="Q1807" s="4">
        <f t="shared" ca="1" si="175"/>
        <v>1910.1129107566878</v>
      </c>
      <c r="R1807" s="4">
        <f t="shared" ca="1" si="176"/>
        <v>-13.557133243312137</v>
      </c>
      <c r="S1807" s="4">
        <f t="shared" ca="1" si="177"/>
        <v>-6.7879359994567467</v>
      </c>
    </row>
    <row r="1808" spans="15:19" x14ac:dyDescent="0.2">
      <c r="O1808" s="4">
        <f t="shared" ca="1" si="173"/>
        <v>0.11254752641800836</v>
      </c>
      <c r="P1808" s="4">
        <f t="shared" ca="1" si="174"/>
        <v>-1.2130909417454603</v>
      </c>
      <c r="Q1808" s="4">
        <f t="shared" ca="1" si="175"/>
        <v>1960.0148203840758</v>
      </c>
      <c r="R1808" s="4">
        <f t="shared" ca="1" si="176"/>
        <v>36.344776384075885</v>
      </c>
      <c r="S1808" s="4">
        <f t="shared" ca="1" si="177"/>
        <v>18.935796950053227</v>
      </c>
    </row>
    <row r="1809" spans="15:19" x14ac:dyDescent="0.2">
      <c r="O1809" s="4">
        <f t="shared" ca="1" si="173"/>
        <v>0.44223515945537517</v>
      </c>
      <c r="P1809" s="4">
        <f t="shared" ca="1" si="174"/>
        <v>-0.14530468117304127</v>
      </c>
      <c r="Q1809" s="4">
        <f t="shared" ca="1" si="175"/>
        <v>1927.6662830286723</v>
      </c>
      <c r="R1809" s="4">
        <f t="shared" ca="1" si="176"/>
        <v>3.9962390286723348</v>
      </c>
      <c r="S1809" s="4">
        <f t="shared" ca="1" si="177"/>
        <v>2.0294362046615504</v>
      </c>
    </row>
    <row r="1810" spans="15:19" x14ac:dyDescent="0.2">
      <c r="O1810" s="4">
        <f t="shared" ca="1" si="173"/>
        <v>0.35025451494024318</v>
      </c>
      <c r="P1810" s="4">
        <f t="shared" ca="1" si="174"/>
        <v>-0.3846334200886623</v>
      </c>
      <c r="Q1810" s="4">
        <f t="shared" ca="1" si="175"/>
        <v>1934.9167365481655</v>
      </c>
      <c r="R1810" s="4">
        <f t="shared" ca="1" si="176"/>
        <v>11.246692548165584</v>
      </c>
      <c r="S1810" s="4">
        <f t="shared" ca="1" si="177"/>
        <v>5.744675338364436</v>
      </c>
    </row>
    <row r="1811" spans="15:19" x14ac:dyDescent="0.2">
      <c r="O1811" s="4">
        <f t="shared" ca="1" si="173"/>
        <v>6.6140411502915164E-3</v>
      </c>
      <c r="P1811" s="4">
        <f t="shared" ca="1" si="174"/>
        <v>-2.477569015580491</v>
      </c>
      <c r="Q1811" s="4">
        <f t="shared" ca="1" si="175"/>
        <v>1998.3221274893513</v>
      </c>
      <c r="R1811" s="4">
        <f t="shared" ca="1" si="176"/>
        <v>74.652083489351298</v>
      </c>
      <c r="S1811" s="4">
        <f t="shared" ca="1" si="177"/>
        <v>40.058185625517105</v>
      </c>
    </row>
    <row r="1812" spans="15:19" x14ac:dyDescent="0.2">
      <c r="O1812" s="4">
        <f t="shared" ca="1" si="173"/>
        <v>0.90076204514937486</v>
      </c>
      <c r="P1812" s="4">
        <f t="shared" ca="1" si="174"/>
        <v>1.2859058847239504</v>
      </c>
      <c r="Q1812" s="4">
        <f t="shared" ca="1" si="175"/>
        <v>1884.3078224791352</v>
      </c>
      <c r="R1812" s="4">
        <f t="shared" ca="1" si="176"/>
        <v>-39.36222152086475</v>
      </c>
      <c r="S1812" s="4">
        <f t="shared" ca="1" si="177"/>
        <v>-19.294835341221365</v>
      </c>
    </row>
    <row r="1813" spans="15:19" x14ac:dyDescent="0.2">
      <c r="O1813" s="4">
        <f t="shared" ca="1" si="173"/>
        <v>0.42657837175412605</v>
      </c>
      <c r="P1813" s="4">
        <f t="shared" ca="1" si="174"/>
        <v>-0.18509216926760091</v>
      </c>
      <c r="Q1813" s="4">
        <f t="shared" ca="1" si="175"/>
        <v>1928.8716432139724</v>
      </c>
      <c r="R1813" s="4">
        <f t="shared" ca="1" si="176"/>
        <v>5.2015992139724858</v>
      </c>
      <c r="S1813" s="4">
        <f t="shared" ca="1" si="177"/>
        <v>2.6441143944944732</v>
      </c>
    </row>
    <row r="1814" spans="15:19" x14ac:dyDescent="0.2">
      <c r="O1814" s="4">
        <f t="shared" ca="1" si="173"/>
        <v>0.49711249966183801</v>
      </c>
      <c r="P1814" s="4">
        <f t="shared" ca="1" si="174"/>
        <v>-7.2379531870881203E-3</v>
      </c>
      <c r="Q1814" s="4">
        <f t="shared" ca="1" si="175"/>
        <v>1923.4835576343619</v>
      </c>
      <c r="R1814" s="4">
        <f t="shared" ca="1" si="176"/>
        <v>-0.18648636563807486</v>
      </c>
      <c r="S1814" s="4">
        <f t="shared" ca="1" si="177"/>
        <v>-9.4387068188858683E-2</v>
      </c>
    </row>
    <row r="1815" spans="15:19" x14ac:dyDescent="0.2">
      <c r="O1815" s="4">
        <f t="shared" ca="1" si="173"/>
        <v>0.70223189484575721</v>
      </c>
      <c r="P1815" s="4">
        <f t="shared" ca="1" si="174"/>
        <v>0.53083054642010852</v>
      </c>
      <c r="Q1815" s="4">
        <f t="shared" ca="1" si="175"/>
        <v>1907.1827963284634</v>
      </c>
      <c r="R1815" s="4">
        <f t="shared" ca="1" si="176"/>
        <v>-16.487247671536579</v>
      </c>
      <c r="S1815" s="4">
        <f t="shared" ca="1" si="177"/>
        <v>-8.2353529051158123</v>
      </c>
    </row>
    <row r="1816" spans="15:19" x14ac:dyDescent="0.2">
      <c r="O1816" s="4">
        <f t="shared" ca="1" si="173"/>
        <v>0.60052691226303734</v>
      </c>
      <c r="P1816" s="4">
        <f t="shared" ca="1" si="174"/>
        <v>0.25471118664439535</v>
      </c>
      <c r="Q1816" s="4">
        <f t="shared" ca="1" si="175"/>
        <v>1915.547820073446</v>
      </c>
      <c r="R1816" s="4">
        <f t="shared" ca="1" si="176"/>
        <v>-8.1222239265539429</v>
      </c>
      <c r="S1816" s="4">
        <f t="shared" ca="1" si="177"/>
        <v>-4.0846947389235932</v>
      </c>
    </row>
    <row r="1817" spans="15:19" x14ac:dyDescent="0.2">
      <c r="O1817" s="4">
        <f t="shared" ca="1" si="173"/>
        <v>0.72172104691256544</v>
      </c>
      <c r="P1817" s="4">
        <f t="shared" ca="1" si="174"/>
        <v>0.58796184083958258</v>
      </c>
      <c r="Q1817" s="4">
        <f t="shared" ca="1" si="175"/>
        <v>1905.4520063005973</v>
      </c>
      <c r="R1817" s="4">
        <f t="shared" ca="1" si="176"/>
        <v>-18.218037699402657</v>
      </c>
      <c r="S1817" s="4">
        <f t="shared" ca="1" si="177"/>
        <v>-9.0870441142588518</v>
      </c>
    </row>
    <row r="1818" spans="15:19" x14ac:dyDescent="0.2">
      <c r="O1818" s="4">
        <f t="shared" ca="1" si="173"/>
        <v>0.51895357106446283</v>
      </c>
      <c r="P1818" s="4">
        <f t="shared" ca="1" si="174"/>
        <v>4.7527444031749501E-2</v>
      </c>
      <c r="Q1818" s="4">
        <f t="shared" ca="1" si="175"/>
        <v>1921.8244423571462</v>
      </c>
      <c r="R1818" s="4">
        <f t="shared" ca="1" si="176"/>
        <v>-1.8456016428538078</v>
      </c>
      <c r="S1818" s="4">
        <f t="shared" ca="1" si="177"/>
        <v>-0.93287505141874871</v>
      </c>
    </row>
    <row r="1819" spans="15:19" x14ac:dyDescent="0.2">
      <c r="O1819" s="4">
        <f t="shared" ca="1" si="173"/>
        <v>0.34858246600334986</v>
      </c>
      <c r="P1819" s="4">
        <f t="shared" ca="1" si="174"/>
        <v>-0.38915034622154149</v>
      </c>
      <c r="Q1819" s="4">
        <f t="shared" ca="1" si="175"/>
        <v>1935.053576624814</v>
      </c>
      <c r="R1819" s="4">
        <f t="shared" ca="1" si="176"/>
        <v>11.383532624814052</v>
      </c>
      <c r="S1819" s="4">
        <f t="shared" ca="1" si="177"/>
        <v>5.8152057056234581</v>
      </c>
    </row>
    <row r="1820" spans="15:19" x14ac:dyDescent="0.2">
      <c r="O1820" s="4">
        <f t="shared" ca="1" si="173"/>
        <v>0.58300148895767867</v>
      </c>
      <c r="P1820" s="4">
        <f t="shared" ca="1" si="174"/>
        <v>0.20957803802423086</v>
      </c>
      <c r="Q1820" s="4">
        <f t="shared" ca="1" si="175"/>
        <v>1916.9151268070275</v>
      </c>
      <c r="R1820" s="4">
        <f t="shared" ca="1" si="176"/>
        <v>-6.7549171929724707</v>
      </c>
      <c r="S1820" s="4">
        <f t="shared" ca="1" si="177"/>
        <v>-3.4008311233059372</v>
      </c>
    </row>
    <row r="1821" spans="15:19" x14ac:dyDescent="0.2">
      <c r="O1821" s="4">
        <f t="shared" ca="1" si="173"/>
        <v>8.5899542322250055E-2</v>
      </c>
      <c r="P1821" s="4">
        <f t="shared" ca="1" si="174"/>
        <v>-1.366445790802522</v>
      </c>
      <c r="Q1821" s="4">
        <f t="shared" ca="1" si="175"/>
        <v>1964.6606987274583</v>
      </c>
      <c r="R1821" s="4">
        <f t="shared" ca="1" si="176"/>
        <v>40.990654727458377</v>
      </c>
      <c r="S1821" s="4">
        <f t="shared" ca="1" si="177"/>
        <v>21.433842384458064</v>
      </c>
    </row>
    <row r="1822" spans="15:19" x14ac:dyDescent="0.2">
      <c r="O1822" s="4">
        <f t="shared" ca="1" si="173"/>
        <v>0.57294870138376686</v>
      </c>
      <c r="P1822" s="4">
        <f t="shared" ca="1" si="174"/>
        <v>0.18388637051923115</v>
      </c>
      <c r="Q1822" s="4">
        <f t="shared" ca="1" si="175"/>
        <v>1917.6934547334074</v>
      </c>
      <c r="R1822" s="4">
        <f t="shared" ca="1" si="176"/>
        <v>-5.9765892665925548</v>
      </c>
      <c r="S1822" s="4">
        <f t="shared" ca="1" si="177"/>
        <v>-3.0108676691197198</v>
      </c>
    </row>
    <row r="1823" spans="15:19" x14ac:dyDescent="0.2">
      <c r="O1823" s="4">
        <f t="shared" ca="1" si="173"/>
        <v>0.26002035801744339</v>
      </c>
      <c r="P1823" s="4">
        <f t="shared" ca="1" si="174"/>
        <v>-0.64328264401943136</v>
      </c>
      <c r="Q1823" s="4">
        <f t="shared" ca="1" si="175"/>
        <v>1942.7525033033821</v>
      </c>
      <c r="R1823" s="4">
        <f t="shared" ca="1" si="176"/>
        <v>19.082459303382166</v>
      </c>
      <c r="S1823" s="4">
        <f t="shared" ca="1" si="177"/>
        <v>9.8079581011296124</v>
      </c>
    </row>
    <row r="1824" spans="15:19" x14ac:dyDescent="0.2">
      <c r="O1824" s="4">
        <f t="shared" ca="1" si="173"/>
        <v>0.69356535576042821</v>
      </c>
      <c r="P1824" s="4">
        <f t="shared" ca="1" si="174"/>
        <v>0.50598199629992735</v>
      </c>
      <c r="Q1824" s="4">
        <f t="shared" ca="1" si="175"/>
        <v>1907.9355820511034</v>
      </c>
      <c r="R1824" s="4">
        <f t="shared" ca="1" si="176"/>
        <v>-15.734461948896524</v>
      </c>
      <c r="S1824" s="4">
        <f t="shared" ca="1" si="177"/>
        <v>-7.8641592874780075</v>
      </c>
    </row>
    <row r="1825" spans="15:19" x14ac:dyDescent="0.2">
      <c r="O1825" s="4">
        <f t="shared" ca="1" si="173"/>
        <v>0.20883858562093438</v>
      </c>
      <c r="P1825" s="4">
        <f t="shared" ca="1" si="174"/>
        <v>-0.81045769265263079</v>
      </c>
      <c r="Q1825" s="4">
        <f t="shared" ca="1" si="175"/>
        <v>1947.8170639793207</v>
      </c>
      <c r="R1825" s="4">
        <f t="shared" ca="1" si="176"/>
        <v>24.147019979320703</v>
      </c>
      <c r="S1825" s="4">
        <f t="shared" ca="1" si="177"/>
        <v>12.460811374920372</v>
      </c>
    </row>
    <row r="1826" spans="15:19" x14ac:dyDescent="0.2">
      <c r="O1826" s="4">
        <f t="shared" ca="1" si="173"/>
        <v>0.66188583480052332</v>
      </c>
      <c r="P1826" s="4">
        <f t="shared" ca="1" si="174"/>
        <v>0.41761540685764098</v>
      </c>
      <c r="Q1826" s="4">
        <f t="shared" ca="1" si="175"/>
        <v>1910.6126439548698</v>
      </c>
      <c r="R1826" s="4">
        <f t="shared" ca="1" si="176"/>
        <v>-13.05740004513018</v>
      </c>
      <c r="S1826" s="4">
        <f t="shared" ca="1" si="177"/>
        <v>-6.5403802479075308</v>
      </c>
    </row>
    <row r="1827" spans="15:19" x14ac:dyDescent="0.2">
      <c r="O1827" s="4">
        <f t="shared" ca="1" si="173"/>
        <v>0.38764942267220703</v>
      </c>
      <c r="P1827" s="4">
        <f t="shared" ca="1" si="174"/>
        <v>-0.285450731499162</v>
      </c>
      <c r="Q1827" s="4">
        <f t="shared" ca="1" si="175"/>
        <v>1931.9120014009582</v>
      </c>
      <c r="R1827" s="4">
        <f t="shared" ca="1" si="176"/>
        <v>8.2419574009581993</v>
      </c>
      <c r="S1827" s="4">
        <f t="shared" ca="1" si="177"/>
        <v>4.1998117218051627</v>
      </c>
    </row>
    <row r="1828" spans="15:19" x14ac:dyDescent="0.2">
      <c r="O1828" s="4">
        <f t="shared" ca="1" si="173"/>
        <v>0.29808021194415213</v>
      </c>
      <c r="P1828" s="4">
        <f t="shared" ca="1" si="174"/>
        <v>-0.5299300595399713</v>
      </c>
      <c r="Q1828" s="4">
        <f t="shared" ca="1" si="175"/>
        <v>1939.3184917893179</v>
      </c>
      <c r="R1828" s="4">
        <f t="shared" ca="1" si="176"/>
        <v>15.64844778931797</v>
      </c>
      <c r="S1828" s="4">
        <f t="shared" ca="1" si="177"/>
        <v>8.0210781823089139</v>
      </c>
    </row>
    <row r="1829" spans="15:19" x14ac:dyDescent="0.2">
      <c r="O1829" s="4">
        <f t="shared" ca="1" si="173"/>
        <v>0.51755461087338472</v>
      </c>
      <c r="P1829" s="4">
        <f t="shared" ca="1" si="174"/>
        <v>4.401709372188841E-2</v>
      </c>
      <c r="Q1829" s="4">
        <f t="shared" ca="1" si="175"/>
        <v>1921.9307882639273</v>
      </c>
      <c r="R1829" s="4">
        <f t="shared" ca="1" si="176"/>
        <v>-1.7392557360726641</v>
      </c>
      <c r="S1829" s="4">
        <f t="shared" ca="1" si="177"/>
        <v>-0.87919690075711476</v>
      </c>
    </row>
    <row r="1830" spans="15:19" x14ac:dyDescent="0.2">
      <c r="O1830" s="4">
        <f t="shared" ca="1" si="173"/>
        <v>0.45914049212611963</v>
      </c>
      <c r="P1830" s="4">
        <f t="shared" ca="1" si="174"/>
        <v>-0.10259931786059376</v>
      </c>
      <c r="Q1830" s="4">
        <f t="shared" ca="1" si="175"/>
        <v>1926.3725259431972</v>
      </c>
      <c r="R1830" s="4">
        <f t="shared" ca="1" si="176"/>
        <v>2.7024819431971991</v>
      </c>
      <c r="S1830" s="4">
        <f t="shared" ca="1" si="177"/>
        <v>1.3709958231072414</v>
      </c>
    </row>
    <row r="1831" spans="15:19" x14ac:dyDescent="0.2">
      <c r="O1831" s="4">
        <f t="shared" ca="1" si="173"/>
        <v>0.83337210333964862</v>
      </c>
      <c r="P1831" s="4">
        <f t="shared" ca="1" si="174"/>
        <v>0.96757675029548629</v>
      </c>
      <c r="Q1831" s="4">
        <f t="shared" ca="1" si="175"/>
        <v>1893.9515894731517</v>
      </c>
      <c r="R1831" s="4">
        <f t="shared" ca="1" si="176"/>
        <v>-29.718454526848291</v>
      </c>
      <c r="S1831" s="4">
        <f t="shared" ca="1" si="177"/>
        <v>-14.684254710146703</v>
      </c>
    </row>
    <row r="1832" spans="15:19" x14ac:dyDescent="0.2">
      <c r="O1832" s="4">
        <f t="shared" ca="1" si="173"/>
        <v>0.36142672928508512</v>
      </c>
      <c r="P1832" s="4">
        <f t="shared" ca="1" si="174"/>
        <v>-0.35464780400471613</v>
      </c>
      <c r="Q1832" s="4">
        <f t="shared" ca="1" si="175"/>
        <v>1934.0083236402336</v>
      </c>
      <c r="R1832" s="4">
        <f t="shared" ca="1" si="176"/>
        <v>10.338279640233623</v>
      </c>
      <c r="S1832" s="4">
        <f t="shared" ca="1" si="177"/>
        <v>5.2768459857551377</v>
      </c>
    </row>
    <row r="1833" spans="15:19" x14ac:dyDescent="0.2">
      <c r="O1833" s="4">
        <f t="shared" ca="1" si="173"/>
        <v>0.91937782673644297</v>
      </c>
      <c r="P1833" s="4">
        <f t="shared" ca="1" si="174"/>
        <v>1.4008987704153431</v>
      </c>
      <c r="Q1833" s="4">
        <f t="shared" ca="1" si="175"/>
        <v>1880.824118112683</v>
      </c>
      <c r="R1833" s="4">
        <f t="shared" ca="1" si="176"/>
        <v>-42.84592588731698</v>
      </c>
      <c r="S1833" s="4">
        <f t="shared" ca="1" si="177"/>
        <v>-20.941740513586428</v>
      </c>
    </row>
    <row r="1834" spans="15:19" x14ac:dyDescent="0.2">
      <c r="O1834" s="4">
        <f t="shared" ca="1" si="173"/>
        <v>0.57088093780064153</v>
      </c>
      <c r="P1834" s="4">
        <f t="shared" ca="1" si="174"/>
        <v>0.17861740838716789</v>
      </c>
      <c r="Q1834" s="4">
        <f t="shared" ca="1" si="175"/>
        <v>1917.8530777072615</v>
      </c>
      <c r="R1834" s="4">
        <f t="shared" ca="1" si="176"/>
        <v>-5.8169662927384707</v>
      </c>
      <c r="S1834" s="4">
        <f t="shared" ca="1" si="177"/>
        <v>-2.9308312732029886</v>
      </c>
    </row>
    <row r="1835" spans="15:19" x14ac:dyDescent="0.2">
      <c r="O1835" s="4">
        <f t="shared" ca="1" si="173"/>
        <v>0.4029413158085311</v>
      </c>
      <c r="P1835" s="4">
        <f t="shared" ca="1" si="174"/>
        <v>-0.24574112935994077</v>
      </c>
      <c r="Q1835" s="4">
        <f t="shared" ca="1" si="175"/>
        <v>1930.7090007672173</v>
      </c>
      <c r="R1835" s="4">
        <f t="shared" ca="1" si="176"/>
        <v>7.0389567672173143</v>
      </c>
      <c r="S1835" s="4">
        <f t="shared" ca="1" si="177"/>
        <v>3.5833578847375605</v>
      </c>
    </row>
    <row r="1836" spans="15:19" x14ac:dyDescent="0.2">
      <c r="O1836" s="4">
        <f t="shared" ca="1" si="173"/>
        <v>0.17566712424131281</v>
      </c>
      <c r="P1836" s="4">
        <f t="shared" ca="1" si="174"/>
        <v>-0.93200440588820133</v>
      </c>
      <c r="Q1836" s="4">
        <f t="shared" ca="1" si="175"/>
        <v>1951.4993162602402</v>
      </c>
      <c r="R1836" s="4">
        <f t="shared" ca="1" si="176"/>
        <v>27.829272260240259</v>
      </c>
      <c r="S1836" s="4">
        <f t="shared" ca="1" si="177"/>
        <v>14.402712452940824</v>
      </c>
    </row>
    <row r="1837" spans="15:19" x14ac:dyDescent="0.2">
      <c r="O1837" s="4">
        <f t="shared" ca="1" si="173"/>
        <v>0.1419515419576507</v>
      </c>
      <c r="P1837" s="4">
        <f t="shared" ca="1" si="174"/>
        <v>-1.0715925435664966</v>
      </c>
      <c r="Q1837" s="4">
        <f t="shared" ca="1" si="175"/>
        <v>1955.7281326936311</v>
      </c>
      <c r="R1837" s="4">
        <f t="shared" ca="1" si="176"/>
        <v>32.058088693631134</v>
      </c>
      <c r="S1837" s="4">
        <f t="shared" ca="1" si="177"/>
        <v>16.646472115035511</v>
      </c>
    </row>
    <row r="1838" spans="15:19" x14ac:dyDescent="0.2">
      <c r="O1838" s="4">
        <f t="shared" ca="1" si="173"/>
        <v>0.16486457411180688</v>
      </c>
      <c r="P1838" s="4">
        <f t="shared" ca="1" si="174"/>
        <v>-0.97465958166989686</v>
      </c>
      <c r="Q1838" s="4">
        <f t="shared" ca="1" si="175"/>
        <v>1952.7915529166996</v>
      </c>
      <c r="R1838" s="4">
        <f t="shared" ca="1" si="176"/>
        <v>29.121508916699668</v>
      </c>
      <c r="S1838" s="4">
        <f t="shared" ca="1" si="177"/>
        <v>15.086813112396799</v>
      </c>
    </row>
    <row r="1839" spans="15:19" x14ac:dyDescent="0.2">
      <c r="O1839" s="4">
        <f t="shared" ca="1" si="173"/>
        <v>0.38120565407490259</v>
      </c>
      <c r="P1839" s="4">
        <f t="shared" ca="1" si="174"/>
        <v>-0.30231583503995396</v>
      </c>
      <c r="Q1839" s="4">
        <f t="shared" ca="1" si="175"/>
        <v>1932.4229289639329</v>
      </c>
      <c r="R1839" s="4">
        <f t="shared" ca="1" si="176"/>
        <v>8.7528849639329565</v>
      </c>
      <c r="S1839" s="4">
        <f t="shared" ca="1" si="177"/>
        <v>4.4619828950572193</v>
      </c>
    </row>
    <row r="1840" spans="15:19" x14ac:dyDescent="0.2">
      <c r="O1840" s="4">
        <f t="shared" ca="1" si="173"/>
        <v>4.3731057293479925E-2</v>
      </c>
      <c r="P1840" s="4">
        <f t="shared" ca="1" si="174"/>
        <v>-1.7089397276245473</v>
      </c>
      <c r="Q1840" s="4">
        <f t="shared" ca="1" si="175"/>
        <v>1975.0365373370946</v>
      </c>
      <c r="R1840" s="4">
        <f t="shared" ca="1" si="176"/>
        <v>51.366493337094653</v>
      </c>
      <c r="S1840" s="4">
        <f t="shared" ca="1" si="177"/>
        <v>27.076280981991161</v>
      </c>
    </row>
    <row r="1841" spans="15:19" x14ac:dyDescent="0.2">
      <c r="O1841" s="4">
        <f t="shared" ca="1" si="173"/>
        <v>0.89722567334805015</v>
      </c>
      <c r="P1841" s="4">
        <f t="shared" ca="1" si="174"/>
        <v>1.2659006510341106</v>
      </c>
      <c r="Q1841" s="4">
        <f t="shared" ca="1" si="175"/>
        <v>1884.9138801455567</v>
      </c>
      <c r="R1841" s="4">
        <f t="shared" ca="1" si="176"/>
        <v>-38.75616385444323</v>
      </c>
      <c r="S1841" s="4">
        <f t="shared" ca="1" si="177"/>
        <v>-19.00731539990382</v>
      </c>
    </row>
    <row r="1842" spans="15:19" x14ac:dyDescent="0.2">
      <c r="O1842" s="4">
        <f t="shared" ca="1" si="173"/>
        <v>0.89834952311603344</v>
      </c>
      <c r="P1842" s="4">
        <f t="shared" ca="1" si="174"/>
        <v>1.2722031357882273</v>
      </c>
      <c r="Q1842" s="4">
        <f t="shared" ca="1" si="175"/>
        <v>1884.7229466497547</v>
      </c>
      <c r="R1842" s="4">
        <f t="shared" ca="1" si="176"/>
        <v>-38.947097350245258</v>
      </c>
      <c r="S1842" s="4">
        <f t="shared" ca="1" si="177"/>
        <v>-19.097928463404752</v>
      </c>
    </row>
    <row r="1843" spans="15:19" x14ac:dyDescent="0.2">
      <c r="O1843" s="4">
        <f t="shared" ca="1" si="173"/>
        <v>0.9584378445674866</v>
      </c>
      <c r="P1843" s="4">
        <f t="shared" ca="1" si="174"/>
        <v>1.7328388762135867</v>
      </c>
      <c r="Q1843" s="4">
        <f t="shared" ca="1" si="175"/>
        <v>1870.7680073453328</v>
      </c>
      <c r="R1843" s="4">
        <f t="shared" ca="1" si="176"/>
        <v>-52.902036654667199</v>
      </c>
      <c r="S1843" s="4">
        <f t="shared" ca="1" si="177"/>
        <v>-25.640294816883632</v>
      </c>
    </row>
    <row r="1844" spans="15:19" x14ac:dyDescent="0.2">
      <c r="O1844" s="4">
        <f t="shared" ca="1" si="173"/>
        <v>0.36446643054037386</v>
      </c>
      <c r="P1844" s="4">
        <f t="shared" ca="1" si="174"/>
        <v>-0.34654541333412842</v>
      </c>
      <c r="Q1844" s="4">
        <f t="shared" ca="1" si="175"/>
        <v>1933.7628620746061</v>
      </c>
      <c r="R1844" s="4">
        <f t="shared" ca="1" si="176"/>
        <v>10.092818074606157</v>
      </c>
      <c r="S1844" s="4">
        <f t="shared" ca="1" si="177"/>
        <v>5.1505494647535794</v>
      </c>
    </row>
    <row r="1845" spans="15:19" x14ac:dyDescent="0.2">
      <c r="O1845" s="4">
        <f t="shared" ca="1" si="173"/>
        <v>0.38130434550616399</v>
      </c>
      <c r="P1845" s="4">
        <f t="shared" ca="1" si="174"/>
        <v>-0.30205689540571867</v>
      </c>
      <c r="Q1845" s="4">
        <f t="shared" ca="1" si="175"/>
        <v>1932.4150843992104</v>
      </c>
      <c r="R1845" s="4">
        <f t="shared" ca="1" si="176"/>
        <v>8.7450403992104384</v>
      </c>
      <c r="S1845" s="4">
        <f t="shared" ca="1" si="177"/>
        <v>4.457956023767272</v>
      </c>
    </row>
    <row r="1846" spans="15:19" x14ac:dyDescent="0.2">
      <c r="O1846" s="4">
        <f t="shared" ca="1" si="173"/>
        <v>1.1449091545654433E-3</v>
      </c>
      <c r="P1846" s="4">
        <f t="shared" ca="1" si="174"/>
        <v>-3.0498157034068112</v>
      </c>
      <c r="Q1846" s="4">
        <f t="shared" ca="1" si="175"/>
        <v>2015.6583154898713</v>
      </c>
      <c r="R1846" s="4">
        <f t="shared" ca="1" si="176"/>
        <v>91.988271489871295</v>
      </c>
      <c r="S1846" s="4">
        <f t="shared" ca="1" si="177"/>
        <v>50.009919553122138</v>
      </c>
    </row>
    <row r="1847" spans="15:19" x14ac:dyDescent="0.2">
      <c r="O1847" s="4">
        <f t="shared" ca="1" si="173"/>
        <v>0.17419563318669162</v>
      </c>
      <c r="P1847" s="4">
        <f t="shared" ca="1" si="174"/>
        <v>-0.93771427389181117</v>
      </c>
      <c r="Q1847" s="4">
        <f t="shared" ca="1" si="175"/>
        <v>1951.6722964578973</v>
      </c>
      <c r="R1847" s="4">
        <f t="shared" ca="1" si="176"/>
        <v>28.002252457897384</v>
      </c>
      <c r="S1847" s="4">
        <f t="shared" ca="1" si="177"/>
        <v>14.49420809539399</v>
      </c>
    </row>
    <row r="1848" spans="15:19" x14ac:dyDescent="0.2">
      <c r="O1848" s="4">
        <f t="shared" ca="1" si="173"/>
        <v>0.49443591414747767</v>
      </c>
      <c r="P1848" s="4">
        <f t="shared" ca="1" si="174"/>
        <v>-1.394754711939762E-2</v>
      </c>
      <c r="Q1848" s="4">
        <f t="shared" ca="1" si="175"/>
        <v>1923.6868244846421</v>
      </c>
      <c r="R1848" s="4">
        <f t="shared" ca="1" si="176"/>
        <v>1.6780484642140436E-2</v>
      </c>
      <c r="S1848" s="4">
        <f t="shared" ca="1" si="177"/>
        <v>8.4945603135634738E-3</v>
      </c>
    </row>
    <row r="1849" spans="15:19" x14ac:dyDescent="0.2">
      <c r="O1849" s="4">
        <f t="shared" ca="1" si="173"/>
        <v>0.57027176697188808</v>
      </c>
      <c r="P1849" s="4">
        <f t="shared" ca="1" si="174"/>
        <v>0.1770661042874741</v>
      </c>
      <c r="Q1849" s="4">
        <f t="shared" ca="1" si="175"/>
        <v>1917.9000743960853</v>
      </c>
      <c r="R1849" s="4">
        <f t="shared" ca="1" si="176"/>
        <v>-5.7699696039146602</v>
      </c>
      <c r="S1849" s="4">
        <f t="shared" ca="1" si="177"/>
        <v>-2.9072627575706074</v>
      </c>
    </row>
    <row r="1850" spans="15:19" x14ac:dyDescent="0.2">
      <c r="O1850" s="4">
        <f t="shared" ca="1" si="173"/>
        <v>0.48921916184184677</v>
      </c>
      <c r="P1850" s="4">
        <f t="shared" ca="1" si="174"/>
        <v>-2.7026843685223938E-2</v>
      </c>
      <c r="Q1850" s="4">
        <f t="shared" ca="1" si="175"/>
        <v>1924.0830611933961</v>
      </c>
      <c r="R1850" s="4">
        <f t="shared" ca="1" si="176"/>
        <v>0.41301719339617193</v>
      </c>
      <c r="S1850" s="4">
        <f t="shared" ca="1" si="177"/>
        <v>0.20914278793347887</v>
      </c>
    </row>
    <row r="1851" spans="15:19" x14ac:dyDescent="0.2">
      <c r="O1851" s="4">
        <f t="shared" ca="1" si="173"/>
        <v>8.4972557615180522E-3</v>
      </c>
      <c r="P1851" s="4">
        <f t="shared" ca="1" si="174"/>
        <v>-2.386826454842419</v>
      </c>
      <c r="Q1851" s="4">
        <f t="shared" ca="1" si="175"/>
        <v>1995.5730856406703</v>
      </c>
      <c r="R1851" s="4">
        <f t="shared" ca="1" si="176"/>
        <v>71.903041640670381</v>
      </c>
      <c r="S1851" s="4">
        <f t="shared" ca="1" si="177"/>
        <v>38.502591152966609</v>
      </c>
    </row>
    <row r="1852" spans="15:19" x14ac:dyDescent="0.2">
      <c r="O1852" s="4">
        <f t="shared" ca="1" si="173"/>
        <v>0.59892427596367792</v>
      </c>
      <c r="P1852" s="4">
        <f t="shared" ca="1" si="174"/>
        <v>0.25056370215325879</v>
      </c>
      <c r="Q1852" s="4">
        <f t="shared" ca="1" si="175"/>
        <v>1915.6734679319611</v>
      </c>
      <c r="R1852" s="4">
        <f t="shared" ca="1" si="176"/>
        <v>-7.9965760680388485</v>
      </c>
      <c r="S1852" s="4">
        <f t="shared" ca="1" si="177"/>
        <v>-4.0219149965660961</v>
      </c>
    </row>
    <row r="1853" spans="15:19" x14ac:dyDescent="0.2">
      <c r="O1853" s="4">
        <f t="shared" ca="1" si="173"/>
        <v>0.76221442510853632</v>
      </c>
      <c r="P1853" s="4">
        <f t="shared" ca="1" si="174"/>
        <v>0.71344384543555872</v>
      </c>
      <c r="Q1853" s="4">
        <f t="shared" ca="1" si="175"/>
        <v>1901.6505345426374</v>
      </c>
      <c r="R1853" s="4">
        <f t="shared" ca="1" si="176"/>
        <v>-22.019509457362574</v>
      </c>
      <c r="S1853" s="4">
        <f t="shared" ca="1" si="177"/>
        <v>-10.949120271350969</v>
      </c>
    </row>
    <row r="1854" spans="15:19" x14ac:dyDescent="0.2">
      <c r="O1854" s="4">
        <f t="shared" ca="1" si="173"/>
        <v>0.84680954568699607</v>
      </c>
      <c r="P1854" s="4">
        <f t="shared" ca="1" si="174"/>
        <v>1.0228454842066792</v>
      </c>
      <c r="Q1854" s="4">
        <f t="shared" ca="1" si="175"/>
        <v>1892.2772256331882</v>
      </c>
      <c r="R1854" s="4">
        <f t="shared" ca="1" si="176"/>
        <v>-31.392818366811753</v>
      </c>
      <c r="S1854" s="4">
        <f t="shared" ca="1" si="177"/>
        <v>-15.490181743063681</v>
      </c>
    </row>
    <row r="1855" spans="15:19" x14ac:dyDescent="0.2">
      <c r="O1855" s="4">
        <f t="shared" ca="1" si="173"/>
        <v>0.10503476275447576</v>
      </c>
      <c r="P1855" s="4">
        <f t="shared" ca="1" si="174"/>
        <v>-1.2533742846552389</v>
      </c>
      <c r="Q1855" s="4">
        <f t="shared" ca="1" si="175"/>
        <v>1961.2352024689881</v>
      </c>
      <c r="R1855" s="4">
        <f t="shared" ca="1" si="176"/>
        <v>37.565158468988102</v>
      </c>
      <c r="S1855" s="4">
        <f t="shared" ca="1" si="177"/>
        <v>19.590283291689818</v>
      </c>
    </row>
    <row r="1856" spans="15:19" x14ac:dyDescent="0.2">
      <c r="O1856" s="4">
        <f t="shared" ca="1" si="173"/>
        <v>0.83668022523318197</v>
      </c>
      <c r="P1856" s="4">
        <f t="shared" ca="1" si="174"/>
        <v>0.980905085255669</v>
      </c>
      <c r="Q1856" s="4">
        <f t="shared" ca="1" si="175"/>
        <v>1893.5478081572974</v>
      </c>
      <c r="R1856" s="4">
        <f t="shared" ca="1" si="176"/>
        <v>-30.122235842702594</v>
      </c>
      <c r="S1856" s="4">
        <f t="shared" ca="1" si="177"/>
        <v>-14.878816935613067</v>
      </c>
    </row>
    <row r="1857" spans="15:19" x14ac:dyDescent="0.2">
      <c r="O1857" s="4">
        <f t="shared" ca="1" si="173"/>
        <v>0.24329904482117704</v>
      </c>
      <c r="P1857" s="4">
        <f t="shared" ca="1" si="174"/>
        <v>-0.69572975182961416</v>
      </c>
      <c r="Q1857" s="4">
        <f t="shared" ca="1" si="175"/>
        <v>1944.341386105893</v>
      </c>
      <c r="R1857" s="4">
        <f t="shared" ca="1" si="176"/>
        <v>20.671342105893018</v>
      </c>
      <c r="S1857" s="4">
        <f t="shared" ca="1" si="177"/>
        <v>10.637978312777832</v>
      </c>
    </row>
    <row r="1858" spans="15:19" x14ac:dyDescent="0.2">
      <c r="O1858" s="4">
        <f t="shared" ca="1" si="173"/>
        <v>0.19849306402396127</v>
      </c>
      <c r="P1858" s="4">
        <f t="shared" ca="1" si="174"/>
        <v>-0.84701613504705198</v>
      </c>
      <c r="Q1858" s="4">
        <f t="shared" ca="1" si="175"/>
        <v>1948.9246003685014</v>
      </c>
      <c r="R1858" s="4">
        <f t="shared" ca="1" si="176"/>
        <v>25.254556368501426</v>
      </c>
      <c r="S1858" s="4">
        <f t="shared" ca="1" si="177"/>
        <v>13.043729546657206</v>
      </c>
    </row>
    <row r="1859" spans="15:19" x14ac:dyDescent="0.2">
      <c r="O1859" s="4">
        <f t="shared" ref="O1859:O1922" ca="1" si="178">RAND()</f>
        <v>0.67425408985436086</v>
      </c>
      <c r="P1859" s="4">
        <f t="shared" ref="P1859:P1922" ca="1" si="179">NORMSINV(O1859)</f>
        <v>0.45169069809296136</v>
      </c>
      <c r="Q1859" s="4">
        <f t="shared" ref="Q1859:Q1922" ca="1" si="180">$B$4*(1+$B$17-$B$6/SQRT(252)*P1859)</f>
        <v>1909.5803345198044</v>
      </c>
      <c r="R1859" s="4">
        <f t="shared" ref="R1859:R1922" ca="1" si="181">Q1859-$B$4</f>
        <v>-14.089709480195552</v>
      </c>
      <c r="S1859" s="4">
        <f t="shared" ref="S1859:S1922" ca="1" si="182">R1859*$B$12+0.5*$B$13*R1859^2</f>
        <v>-7.0515375988738125</v>
      </c>
    </row>
    <row r="1860" spans="15:19" x14ac:dyDescent="0.2">
      <c r="O1860" s="4">
        <f t="shared" ca="1" si="178"/>
        <v>0.54622092038021741</v>
      </c>
      <c r="P1860" s="4">
        <f t="shared" ca="1" si="179"/>
        <v>0.11611909036043215</v>
      </c>
      <c r="Q1860" s="4">
        <f t="shared" ca="1" si="180"/>
        <v>1919.7464614770188</v>
      </c>
      <c r="R1860" s="4">
        <f t="shared" ca="1" si="181"/>
        <v>-3.923582522981178</v>
      </c>
      <c r="S1860" s="4">
        <f t="shared" ca="1" si="182"/>
        <v>-1.9798892771328465</v>
      </c>
    </row>
    <row r="1861" spans="15:19" x14ac:dyDescent="0.2">
      <c r="O1861" s="4">
        <f t="shared" ca="1" si="178"/>
        <v>0.91133837930792627</v>
      </c>
      <c r="P1861" s="4">
        <f t="shared" ca="1" si="179"/>
        <v>1.3490427307284869</v>
      </c>
      <c r="Q1861" s="4">
        <f t="shared" ca="1" si="180"/>
        <v>1882.3950945326405</v>
      </c>
      <c r="R1861" s="4">
        <f t="shared" ca="1" si="181"/>
        <v>-41.27494946735942</v>
      </c>
      <c r="S1861" s="4">
        <f t="shared" ca="1" si="182"/>
        <v>-20.200291838575762</v>
      </c>
    </row>
    <row r="1862" spans="15:19" x14ac:dyDescent="0.2">
      <c r="O1862" s="4">
        <f t="shared" ca="1" si="178"/>
        <v>0.75308342022106378</v>
      </c>
      <c r="P1862" s="4">
        <f t="shared" ca="1" si="179"/>
        <v>0.68422490256430468</v>
      </c>
      <c r="Q1862" s="4">
        <f t="shared" ca="1" si="180"/>
        <v>1902.5357211196301</v>
      </c>
      <c r="R1862" s="4">
        <f t="shared" ca="1" si="181"/>
        <v>-21.134322880369837</v>
      </c>
      <c r="S1862" s="4">
        <f t="shared" ca="1" si="182"/>
        <v>-10.516579871729883</v>
      </c>
    </row>
    <row r="1863" spans="15:19" x14ac:dyDescent="0.2">
      <c r="O1863" s="4">
        <f t="shared" ca="1" si="178"/>
        <v>0.26540394244063437</v>
      </c>
      <c r="P1863" s="4">
        <f t="shared" ca="1" si="179"/>
        <v>-0.6267732433402905</v>
      </c>
      <c r="Q1863" s="4">
        <f t="shared" ca="1" si="180"/>
        <v>1942.2523517428085</v>
      </c>
      <c r="R1863" s="4">
        <f t="shared" ca="1" si="181"/>
        <v>18.582307742808553</v>
      </c>
      <c r="S1863" s="4">
        <f t="shared" ca="1" si="182"/>
        <v>9.5471080746984693</v>
      </c>
    </row>
    <row r="1864" spans="15:19" x14ac:dyDescent="0.2">
      <c r="O1864" s="4">
        <f t="shared" ca="1" si="178"/>
        <v>0.88648783871487691</v>
      </c>
      <c r="P1864" s="4">
        <f t="shared" ca="1" si="179"/>
        <v>1.2080596403138659</v>
      </c>
      <c r="Q1864" s="4">
        <f t="shared" ca="1" si="180"/>
        <v>1886.6661709972436</v>
      </c>
      <c r="R1864" s="4">
        <f t="shared" ca="1" si="181"/>
        <v>-37.003873002756336</v>
      </c>
      <c r="S1864" s="4">
        <f t="shared" ca="1" si="182"/>
        <v>-18.174328520362995</v>
      </c>
    </row>
    <row r="1865" spans="15:19" x14ac:dyDescent="0.2">
      <c r="O1865" s="4">
        <f t="shared" ca="1" si="178"/>
        <v>0.53089547060353248</v>
      </c>
      <c r="P1865" s="4">
        <f t="shared" ca="1" si="179"/>
        <v>7.7521034147083404E-2</v>
      </c>
      <c r="Q1865" s="4">
        <f t="shared" ca="1" si="180"/>
        <v>1920.9157878762874</v>
      </c>
      <c r="R1865" s="4">
        <f t="shared" ca="1" si="181"/>
        <v>-2.7542561237125938</v>
      </c>
      <c r="S1865" s="4">
        <f t="shared" ca="1" si="182"/>
        <v>-1.3911434301547365</v>
      </c>
    </row>
    <row r="1866" spans="15:19" x14ac:dyDescent="0.2">
      <c r="O1866" s="4">
        <f t="shared" ca="1" si="178"/>
        <v>0.5225515430238481</v>
      </c>
      <c r="P1866" s="4">
        <f t="shared" ca="1" si="179"/>
        <v>5.6558474700705262E-2</v>
      </c>
      <c r="Q1866" s="4">
        <f t="shared" ca="1" si="180"/>
        <v>1921.5508476839987</v>
      </c>
      <c r="R1866" s="4">
        <f t="shared" ca="1" si="181"/>
        <v>-2.1191963160013074</v>
      </c>
      <c r="S1866" s="4">
        <f t="shared" ca="1" si="182"/>
        <v>-1.0709297874336512</v>
      </c>
    </row>
    <row r="1867" spans="15:19" x14ac:dyDescent="0.2">
      <c r="O1867" s="4">
        <f t="shared" ca="1" si="178"/>
        <v>0.58120883762939868</v>
      </c>
      <c r="P1867" s="4">
        <f t="shared" ca="1" si="179"/>
        <v>0.20498694511489834</v>
      </c>
      <c r="Q1867" s="4">
        <f t="shared" ca="1" si="180"/>
        <v>1917.0542137628759</v>
      </c>
      <c r="R1867" s="4">
        <f t="shared" ca="1" si="181"/>
        <v>-6.6158302371241007</v>
      </c>
      <c r="S1867" s="4">
        <f t="shared" ca="1" si="182"/>
        <v>-3.331180969149655</v>
      </c>
    </row>
    <row r="1868" spans="15:19" x14ac:dyDescent="0.2">
      <c r="O1868" s="4">
        <f t="shared" ca="1" si="178"/>
        <v>0.74109175301534436</v>
      </c>
      <c r="P1868" s="4">
        <f t="shared" ca="1" si="179"/>
        <v>0.64671487527079752</v>
      </c>
      <c r="Q1868" s="4">
        <f t="shared" ca="1" si="180"/>
        <v>1903.6720857310795</v>
      </c>
      <c r="R1868" s="4">
        <f t="shared" ca="1" si="181"/>
        <v>-19.997958268920456</v>
      </c>
      <c r="S1868" s="4">
        <f t="shared" ca="1" si="182"/>
        <v>-9.9603679068840894</v>
      </c>
    </row>
    <row r="1869" spans="15:19" x14ac:dyDescent="0.2">
      <c r="O1869" s="4">
        <f t="shared" ca="1" si="178"/>
        <v>7.4325716243528461E-2</v>
      </c>
      <c r="P1869" s="4">
        <f t="shared" ca="1" si="179"/>
        <v>-1.4443112861346392</v>
      </c>
      <c r="Q1869" s="4">
        <f t="shared" ca="1" si="180"/>
        <v>1967.019630451395</v>
      </c>
      <c r="R1869" s="4">
        <f t="shared" ca="1" si="181"/>
        <v>43.349586451394998</v>
      </c>
      <c r="S1869" s="4">
        <f t="shared" ca="1" si="182"/>
        <v>22.708944319588113</v>
      </c>
    </row>
    <row r="1870" spans="15:19" x14ac:dyDescent="0.2">
      <c r="O1870" s="4">
        <f t="shared" ca="1" si="178"/>
        <v>0.71046553921845235</v>
      </c>
      <c r="P1870" s="4">
        <f t="shared" ca="1" si="179"/>
        <v>0.55474524863676122</v>
      </c>
      <c r="Q1870" s="4">
        <f t="shared" ca="1" si="180"/>
        <v>1906.4583014865984</v>
      </c>
      <c r="R1870" s="4">
        <f t="shared" ca="1" si="181"/>
        <v>-17.211742513401532</v>
      </c>
      <c r="S1870" s="4">
        <f t="shared" ca="1" si="182"/>
        <v>-8.5921607992598048</v>
      </c>
    </row>
    <row r="1871" spans="15:19" x14ac:dyDescent="0.2">
      <c r="O1871" s="4">
        <f t="shared" ca="1" si="178"/>
        <v>0.724773641147203</v>
      </c>
      <c r="P1871" s="4">
        <f t="shared" ca="1" si="179"/>
        <v>0.59708187597164941</v>
      </c>
      <c r="Q1871" s="4">
        <f t="shared" ca="1" si="180"/>
        <v>1905.1757152411919</v>
      </c>
      <c r="R1871" s="4">
        <f t="shared" ca="1" si="181"/>
        <v>-18.494328758808024</v>
      </c>
      <c r="S1871" s="4">
        <f t="shared" ca="1" si="182"/>
        <v>-9.2227763300582257</v>
      </c>
    </row>
    <row r="1872" spans="15:19" x14ac:dyDescent="0.2">
      <c r="O1872" s="4">
        <f t="shared" ca="1" si="178"/>
        <v>0.18291955505380464</v>
      </c>
      <c r="P1872" s="4">
        <f t="shared" ca="1" si="179"/>
        <v>-0.9042947872956032</v>
      </c>
      <c r="Q1872" s="4">
        <f t="shared" ca="1" si="180"/>
        <v>1950.6598545952568</v>
      </c>
      <c r="R1872" s="4">
        <f t="shared" ca="1" si="181"/>
        <v>26.989810595256813</v>
      </c>
      <c r="S1872" s="4">
        <f t="shared" ca="1" si="182"/>
        <v>13.959036012956295</v>
      </c>
    </row>
    <row r="1873" spans="15:19" x14ac:dyDescent="0.2">
      <c r="O1873" s="4">
        <f t="shared" ca="1" si="178"/>
        <v>0.39303276799620057</v>
      </c>
      <c r="P1873" s="4">
        <f t="shared" ca="1" si="179"/>
        <v>-0.27142323188570033</v>
      </c>
      <c r="Q1873" s="4">
        <f t="shared" ca="1" si="180"/>
        <v>1931.4870389229754</v>
      </c>
      <c r="R1873" s="4">
        <f t="shared" ca="1" si="181"/>
        <v>7.816994922975482</v>
      </c>
      <c r="S1873" s="4">
        <f t="shared" ca="1" si="182"/>
        <v>3.9819135285207583</v>
      </c>
    </row>
    <row r="1874" spans="15:19" x14ac:dyDescent="0.2">
      <c r="O1874" s="4">
        <f t="shared" ca="1" si="178"/>
        <v>0.26621270445019463</v>
      </c>
      <c r="P1874" s="4">
        <f t="shared" ca="1" si="179"/>
        <v>-0.62430788146719685</v>
      </c>
      <c r="Q1874" s="4">
        <f t="shared" ca="1" si="180"/>
        <v>1942.1776637143225</v>
      </c>
      <c r="R1874" s="4">
        <f t="shared" ca="1" si="181"/>
        <v>18.507619714322573</v>
      </c>
      <c r="S1874" s="4">
        <f t="shared" ca="1" si="182"/>
        <v>9.5081726107111031</v>
      </c>
    </row>
    <row r="1875" spans="15:19" x14ac:dyDescent="0.2">
      <c r="O1875" s="4">
        <f t="shared" ca="1" si="178"/>
        <v>0.2433179942926238</v>
      </c>
      <c r="P1875" s="4">
        <f t="shared" ca="1" si="179"/>
        <v>-0.69566924758815285</v>
      </c>
      <c r="Q1875" s="4">
        <f t="shared" ca="1" si="180"/>
        <v>1944.3395531325841</v>
      </c>
      <c r="R1875" s="4">
        <f t="shared" ca="1" si="181"/>
        <v>20.669509132584153</v>
      </c>
      <c r="S1875" s="4">
        <f t="shared" ca="1" si="182"/>
        <v>10.637019597381896</v>
      </c>
    </row>
    <row r="1876" spans="15:19" x14ac:dyDescent="0.2">
      <c r="O1876" s="4">
        <f t="shared" ca="1" si="178"/>
        <v>0.89946457387609902</v>
      </c>
      <c r="P1876" s="4">
        <f t="shared" ca="1" si="179"/>
        <v>1.2785066195367933</v>
      </c>
      <c r="Q1876" s="4">
        <f t="shared" ca="1" si="180"/>
        <v>1884.5319828894601</v>
      </c>
      <c r="R1876" s="4">
        <f t="shared" ca="1" si="181"/>
        <v>-39.138061110539866</v>
      </c>
      <c r="S1876" s="4">
        <f t="shared" ca="1" si="182"/>
        <v>-19.188526202841302</v>
      </c>
    </row>
    <row r="1877" spans="15:19" x14ac:dyDescent="0.2">
      <c r="O1877" s="4">
        <f t="shared" ca="1" si="178"/>
        <v>0.90725769435941861</v>
      </c>
      <c r="P1877" s="4">
        <f t="shared" ca="1" si="179"/>
        <v>1.3240555054985395</v>
      </c>
      <c r="Q1877" s="4">
        <f t="shared" ca="1" si="180"/>
        <v>1883.1520814115738</v>
      </c>
      <c r="R1877" s="4">
        <f t="shared" ca="1" si="181"/>
        <v>-40.517962588426144</v>
      </c>
      <c r="S1877" s="4">
        <f t="shared" ca="1" si="182"/>
        <v>-19.842301829651277</v>
      </c>
    </row>
    <row r="1878" spans="15:19" x14ac:dyDescent="0.2">
      <c r="O1878" s="4">
        <f t="shared" ca="1" si="178"/>
        <v>4.4886973708402889E-2</v>
      </c>
      <c r="P1878" s="4">
        <f t="shared" ca="1" si="179"/>
        <v>-1.6965913441364406</v>
      </c>
      <c r="Q1878" s="4">
        <f t="shared" ca="1" si="180"/>
        <v>1974.6624436075786</v>
      </c>
      <c r="R1878" s="4">
        <f t="shared" ca="1" si="181"/>
        <v>50.992399607578591</v>
      </c>
      <c r="S1878" s="4">
        <f t="shared" ca="1" si="182"/>
        <v>26.871323650373771</v>
      </c>
    </row>
    <row r="1879" spans="15:19" x14ac:dyDescent="0.2">
      <c r="O1879" s="4">
        <f t="shared" ca="1" si="178"/>
        <v>0.65234833423686978</v>
      </c>
      <c r="P1879" s="4">
        <f t="shared" ca="1" si="179"/>
        <v>0.39166827810432014</v>
      </c>
      <c r="Q1879" s="4">
        <f t="shared" ca="1" si="180"/>
        <v>1911.398711068425</v>
      </c>
      <c r="R1879" s="4">
        <f t="shared" ca="1" si="181"/>
        <v>-12.271332931574989</v>
      </c>
      <c r="S1879" s="4">
        <f t="shared" ca="1" si="182"/>
        <v>-6.1505701580595167</v>
      </c>
    </row>
    <row r="1880" spans="15:19" x14ac:dyDescent="0.2">
      <c r="O1880" s="4">
        <f t="shared" ca="1" si="178"/>
        <v>0.44142342696852499</v>
      </c>
      <c r="P1880" s="4">
        <f t="shared" ca="1" si="179"/>
        <v>-0.14736129515956023</v>
      </c>
      <c r="Q1880" s="4">
        <f t="shared" ca="1" si="180"/>
        <v>1927.7285880580823</v>
      </c>
      <c r="R1880" s="4">
        <f t="shared" ca="1" si="181"/>
        <v>4.0585440580823615</v>
      </c>
      <c r="S1880" s="4">
        <f t="shared" ca="1" si="182"/>
        <v>2.0611799099352779</v>
      </c>
    </row>
    <row r="1881" spans="15:19" x14ac:dyDescent="0.2">
      <c r="O1881" s="4">
        <f t="shared" ca="1" si="178"/>
        <v>0.93732815228801147</v>
      </c>
      <c r="P1881" s="4">
        <f t="shared" ca="1" si="179"/>
        <v>1.5327247211939794</v>
      </c>
      <c r="Q1881" s="4">
        <f t="shared" ca="1" si="180"/>
        <v>1876.8304567867842</v>
      </c>
      <c r="R1881" s="4">
        <f t="shared" ca="1" si="181"/>
        <v>-46.839587213215736</v>
      </c>
      <c r="S1881" s="4">
        <f t="shared" ca="1" si="182"/>
        <v>-22.817569558443115</v>
      </c>
    </row>
    <row r="1882" spans="15:19" x14ac:dyDescent="0.2">
      <c r="O1882" s="4">
        <f t="shared" ca="1" si="178"/>
        <v>0.87260071738201483</v>
      </c>
      <c r="P1882" s="4">
        <f t="shared" ca="1" si="179"/>
        <v>1.1387712760355873</v>
      </c>
      <c r="Q1882" s="4">
        <f t="shared" ca="1" si="180"/>
        <v>1888.7652589167203</v>
      </c>
      <c r="R1882" s="4">
        <f t="shared" ca="1" si="181"/>
        <v>-34.904785083279648</v>
      </c>
      <c r="S1882" s="4">
        <f t="shared" ca="1" si="182"/>
        <v>-17.173193740633895</v>
      </c>
    </row>
    <row r="1883" spans="15:19" x14ac:dyDescent="0.2">
      <c r="O1883" s="4">
        <f t="shared" ca="1" si="178"/>
        <v>0.95835027980762699</v>
      </c>
      <c r="P1883" s="4">
        <f t="shared" ca="1" si="179"/>
        <v>1.7318546755912803</v>
      </c>
      <c r="Q1883" s="4">
        <f t="shared" ca="1" si="180"/>
        <v>1870.7978236594879</v>
      </c>
      <c r="R1883" s="4">
        <f t="shared" ca="1" si="181"/>
        <v>-52.872220340512058</v>
      </c>
      <c r="S1883" s="4">
        <f t="shared" ca="1" si="182"/>
        <v>-25.626485320914099</v>
      </c>
    </row>
    <row r="1884" spans="15:19" x14ac:dyDescent="0.2">
      <c r="O1884" s="4">
        <f t="shared" ca="1" si="178"/>
        <v>0.240735563097771</v>
      </c>
      <c r="P1884" s="4">
        <f t="shared" ca="1" si="179"/>
        <v>-0.70393841615066988</v>
      </c>
      <c r="Q1884" s="4">
        <f t="shared" ca="1" si="180"/>
        <v>1944.5900672270427</v>
      </c>
      <c r="R1884" s="4">
        <f t="shared" ca="1" si="181"/>
        <v>20.920023227042748</v>
      </c>
      <c r="S1884" s="4">
        <f t="shared" ca="1" si="182"/>
        <v>10.768073443968744</v>
      </c>
    </row>
    <row r="1885" spans="15:19" x14ac:dyDescent="0.2">
      <c r="O1885" s="4">
        <f t="shared" ca="1" si="178"/>
        <v>0.25256572748962425</v>
      </c>
      <c r="P1885" s="4">
        <f t="shared" ca="1" si="179"/>
        <v>-0.66643757037231799</v>
      </c>
      <c r="Q1885" s="4">
        <f t="shared" ca="1" si="180"/>
        <v>1943.4539807691876</v>
      </c>
      <c r="R1885" s="4">
        <f t="shared" ca="1" si="181"/>
        <v>19.783936769187676</v>
      </c>
      <c r="S1885" s="4">
        <f t="shared" ca="1" si="182"/>
        <v>10.174151160305252</v>
      </c>
    </row>
    <row r="1886" spans="15:19" x14ac:dyDescent="0.2">
      <c r="O1886" s="4">
        <f t="shared" ca="1" si="178"/>
        <v>0.37198742224306691</v>
      </c>
      <c r="P1886" s="4">
        <f t="shared" ca="1" si="179"/>
        <v>-0.32659418207258506</v>
      </c>
      <c r="Q1886" s="4">
        <f t="shared" ca="1" si="180"/>
        <v>1933.1584404093526</v>
      </c>
      <c r="R1886" s="4">
        <f t="shared" ca="1" si="181"/>
        <v>9.4883964093526174</v>
      </c>
      <c r="S1886" s="4">
        <f t="shared" ca="1" si="182"/>
        <v>4.8397675069628701</v>
      </c>
    </row>
    <row r="1887" spans="15:19" x14ac:dyDescent="0.2">
      <c r="O1887" s="4">
        <f t="shared" ca="1" si="178"/>
        <v>0.36968956755053173</v>
      </c>
      <c r="P1887" s="4">
        <f t="shared" ca="1" si="179"/>
        <v>-0.33267564597441163</v>
      </c>
      <c r="Q1887" s="4">
        <f t="shared" ca="1" si="180"/>
        <v>1933.3426780882471</v>
      </c>
      <c r="R1887" s="4">
        <f t="shared" ca="1" si="181"/>
        <v>9.6726340882471504</v>
      </c>
      <c r="S1887" s="4">
        <f t="shared" ca="1" si="182"/>
        <v>4.9344674537896118</v>
      </c>
    </row>
    <row r="1888" spans="15:19" x14ac:dyDescent="0.2">
      <c r="O1888" s="4">
        <f t="shared" ca="1" si="178"/>
        <v>0.86185971689879337</v>
      </c>
      <c r="P1888" s="4">
        <f t="shared" ca="1" si="179"/>
        <v>1.088712775603875</v>
      </c>
      <c r="Q1888" s="4">
        <f t="shared" ca="1" si="180"/>
        <v>1890.281778964752</v>
      </c>
      <c r="R1888" s="4">
        <f t="shared" ca="1" si="181"/>
        <v>-33.388265035247969</v>
      </c>
      <c r="S1888" s="4">
        <f t="shared" ca="1" si="182"/>
        <v>-16.447675694020983</v>
      </c>
    </row>
    <row r="1889" spans="15:19" x14ac:dyDescent="0.2">
      <c r="O1889" s="4">
        <f t="shared" ca="1" si="178"/>
        <v>0.40005023516806837</v>
      </c>
      <c r="P1889" s="4">
        <f t="shared" ca="1" si="179"/>
        <v>-0.2532170777400779</v>
      </c>
      <c r="Q1889" s="4">
        <f t="shared" ca="1" si="180"/>
        <v>1930.9354842914686</v>
      </c>
      <c r="R1889" s="4">
        <f t="shared" ca="1" si="181"/>
        <v>7.2654402914686216</v>
      </c>
      <c r="S1889" s="4">
        <f t="shared" ca="1" si="182"/>
        <v>3.6993248494446545</v>
      </c>
    </row>
    <row r="1890" spans="15:19" x14ac:dyDescent="0.2">
      <c r="O1890" s="4">
        <f t="shared" ca="1" si="178"/>
        <v>9.0463047137572916E-2</v>
      </c>
      <c r="P1890" s="4">
        <f t="shared" ca="1" si="179"/>
        <v>-1.3379090266091844</v>
      </c>
      <c r="Q1890" s="4">
        <f t="shared" ca="1" si="180"/>
        <v>1963.796178723225</v>
      </c>
      <c r="R1890" s="4">
        <f t="shared" ca="1" si="181"/>
        <v>40.12613472322505</v>
      </c>
      <c r="S1890" s="4">
        <f t="shared" ca="1" si="182"/>
        <v>20.967667311350716</v>
      </c>
    </row>
    <row r="1891" spans="15:19" x14ac:dyDescent="0.2">
      <c r="O1891" s="4">
        <f t="shared" ca="1" si="178"/>
        <v>0.4787894181155401</v>
      </c>
      <c r="P1891" s="4">
        <f t="shared" ca="1" si="179"/>
        <v>-5.319211727210843E-2</v>
      </c>
      <c r="Q1891" s="4">
        <f t="shared" ca="1" si="180"/>
        <v>1924.8757369949992</v>
      </c>
      <c r="R1891" s="4">
        <f t="shared" ca="1" si="181"/>
        <v>1.2056929949992536</v>
      </c>
      <c r="S1891" s="4">
        <f t="shared" ca="1" si="182"/>
        <v>0.610925358459116</v>
      </c>
    </row>
    <row r="1892" spans="15:19" x14ac:dyDescent="0.2">
      <c r="O1892" s="4">
        <f t="shared" ca="1" si="178"/>
        <v>0.29100624803196484</v>
      </c>
      <c r="P1892" s="4">
        <f t="shared" ca="1" si="179"/>
        <v>-0.55044747162367968</v>
      </c>
      <c r="Q1892" s="4">
        <f t="shared" ca="1" si="180"/>
        <v>1939.9400658774414</v>
      </c>
      <c r="R1892" s="4">
        <f t="shared" ca="1" si="181"/>
        <v>16.270021877441422</v>
      </c>
      <c r="S1892" s="4">
        <f t="shared" ca="1" si="182"/>
        <v>8.3438012027204405</v>
      </c>
    </row>
    <row r="1893" spans="15:19" x14ac:dyDescent="0.2">
      <c r="O1893" s="4">
        <f t="shared" ca="1" si="178"/>
        <v>0.61852799047426132</v>
      </c>
      <c r="P1893" s="4">
        <f t="shared" ca="1" si="179"/>
        <v>0.30161703676198198</v>
      </c>
      <c r="Q1893" s="4">
        <f t="shared" ca="1" si="180"/>
        <v>1914.1268094267064</v>
      </c>
      <c r="R1893" s="4">
        <f t="shared" ca="1" si="181"/>
        <v>-9.5432345732936028</v>
      </c>
      <c r="S1893" s="4">
        <f t="shared" ca="1" si="182"/>
        <v>-4.7938056677327454</v>
      </c>
    </row>
    <row r="1894" spans="15:19" x14ac:dyDescent="0.2">
      <c r="O1894" s="4">
        <f t="shared" ca="1" si="178"/>
        <v>9.4254103798206756E-2</v>
      </c>
      <c r="P1894" s="4">
        <f t="shared" ca="1" si="179"/>
        <v>-1.3150050430899312</v>
      </c>
      <c r="Q1894" s="4">
        <f t="shared" ca="1" si="180"/>
        <v>1963.102303559423</v>
      </c>
      <c r="R1894" s="4">
        <f t="shared" ca="1" si="181"/>
        <v>39.432259559423073</v>
      </c>
      <c r="S1894" s="4">
        <f t="shared" ca="1" si="182"/>
        <v>20.593949222780441</v>
      </c>
    </row>
    <row r="1895" spans="15:19" x14ac:dyDescent="0.2">
      <c r="O1895" s="4">
        <f t="shared" ca="1" si="178"/>
        <v>0.30025424418255919</v>
      </c>
      <c r="P1895" s="4">
        <f t="shared" ca="1" si="179"/>
        <v>-0.52366942018206297</v>
      </c>
      <c r="Q1895" s="4">
        <f t="shared" ca="1" si="180"/>
        <v>1939.1288259979362</v>
      </c>
      <c r="R1895" s="4">
        <f t="shared" ca="1" si="181"/>
        <v>15.458781997936285</v>
      </c>
      <c r="S1895" s="4">
        <f t="shared" ca="1" si="182"/>
        <v>7.9226658017391589</v>
      </c>
    </row>
    <row r="1896" spans="15:19" x14ac:dyDescent="0.2">
      <c r="O1896" s="4">
        <f t="shared" ca="1" si="178"/>
        <v>0.91431357326507023</v>
      </c>
      <c r="P1896" s="4">
        <f t="shared" ca="1" si="179"/>
        <v>1.367805858368478</v>
      </c>
      <c r="Q1896" s="4">
        <f t="shared" ca="1" si="180"/>
        <v>1881.8266664138509</v>
      </c>
      <c r="R1896" s="4">
        <f t="shared" ca="1" si="181"/>
        <v>-41.843377586149018</v>
      </c>
      <c r="S1896" s="4">
        <f t="shared" ca="1" si="182"/>
        <v>-20.46880300403927</v>
      </c>
    </row>
    <row r="1897" spans="15:19" x14ac:dyDescent="0.2">
      <c r="O1897" s="4">
        <f t="shared" ca="1" si="178"/>
        <v>0.52764151373169665</v>
      </c>
      <c r="P1897" s="4">
        <f t="shared" ca="1" si="179"/>
        <v>6.9342530764389246E-2</v>
      </c>
      <c r="Q1897" s="4">
        <f t="shared" ca="1" si="180"/>
        <v>1921.1635552731486</v>
      </c>
      <c r="R1897" s="4">
        <f t="shared" ca="1" si="181"/>
        <v>-2.5064887268513303</v>
      </c>
      <c r="S1897" s="4">
        <f t="shared" ca="1" si="182"/>
        <v>-1.2662517377472695</v>
      </c>
    </row>
    <row r="1898" spans="15:19" x14ac:dyDescent="0.2">
      <c r="O1898" s="4">
        <f t="shared" ca="1" si="178"/>
        <v>9.9156597936688518E-2</v>
      </c>
      <c r="P1898" s="4">
        <f t="shared" ca="1" si="179"/>
        <v>-1.2863721996277999</v>
      </c>
      <c r="Q1898" s="4">
        <f t="shared" ca="1" si="180"/>
        <v>1962.2348728380073</v>
      </c>
      <c r="R1898" s="4">
        <f t="shared" ca="1" si="181"/>
        <v>38.564828838007315</v>
      </c>
      <c r="S1898" s="4">
        <f t="shared" ca="1" si="182"/>
        <v>20.127306183830317</v>
      </c>
    </row>
    <row r="1899" spans="15:19" x14ac:dyDescent="0.2">
      <c r="O1899" s="4">
        <f t="shared" ca="1" si="178"/>
        <v>0.35935135875666191</v>
      </c>
      <c r="P1899" s="4">
        <f t="shared" ca="1" si="179"/>
        <v>-0.3601931224599827</v>
      </c>
      <c r="Q1899" s="4">
        <f t="shared" ca="1" si="180"/>
        <v>1934.1763188166294</v>
      </c>
      <c r="R1899" s="4">
        <f t="shared" ca="1" si="181"/>
        <v>10.506274816629457</v>
      </c>
      <c r="S1899" s="4">
        <f t="shared" ca="1" si="182"/>
        <v>5.3633122582905477</v>
      </c>
    </row>
    <row r="1900" spans="15:19" x14ac:dyDescent="0.2">
      <c r="O1900" s="4">
        <f t="shared" ca="1" si="178"/>
        <v>0.10376316764904048</v>
      </c>
      <c r="P1900" s="4">
        <f t="shared" ca="1" si="179"/>
        <v>-1.2603965785971092</v>
      </c>
      <c r="Q1900" s="4">
        <f t="shared" ca="1" si="180"/>
        <v>1961.4479425521738</v>
      </c>
      <c r="R1900" s="4">
        <f t="shared" ca="1" si="181"/>
        <v>37.777898552173838</v>
      </c>
      <c r="S1900" s="4">
        <f t="shared" ca="1" si="182"/>
        <v>19.704499109856048</v>
      </c>
    </row>
    <row r="1901" spans="15:19" x14ac:dyDescent="0.2">
      <c r="O1901" s="4">
        <f t="shared" ca="1" si="178"/>
        <v>0.62796829399797416</v>
      </c>
      <c r="P1901" s="4">
        <f t="shared" ca="1" si="179"/>
        <v>0.32647710068759711</v>
      </c>
      <c r="Q1901" s="4">
        <f t="shared" ca="1" si="180"/>
        <v>1913.3736748938418</v>
      </c>
      <c r="R1901" s="4">
        <f t="shared" ca="1" si="181"/>
        <v>-10.296369106158181</v>
      </c>
      <c r="S1901" s="4">
        <f t="shared" ca="1" si="182"/>
        <v>-5.1689673612927471</v>
      </c>
    </row>
    <row r="1902" spans="15:19" x14ac:dyDescent="0.2">
      <c r="O1902" s="4">
        <f t="shared" ca="1" si="178"/>
        <v>0.4324850119685445</v>
      </c>
      <c r="P1902" s="4">
        <f t="shared" ca="1" si="179"/>
        <v>-0.17005100578210575</v>
      </c>
      <c r="Q1902" s="4">
        <f t="shared" ca="1" si="180"/>
        <v>1928.4159718339922</v>
      </c>
      <c r="R1902" s="4">
        <f t="shared" ca="1" si="181"/>
        <v>4.7459278339922548</v>
      </c>
      <c r="S1902" s="4">
        <f t="shared" ca="1" si="182"/>
        <v>2.4116039139291909</v>
      </c>
    </row>
    <row r="1903" spans="15:19" x14ac:dyDescent="0.2">
      <c r="O1903" s="4">
        <f t="shared" ca="1" si="178"/>
        <v>0.52041637818288999</v>
      </c>
      <c r="P1903" s="4">
        <f t="shared" ca="1" si="179"/>
        <v>5.1198629852120411E-2</v>
      </c>
      <c r="Q1903" s="4">
        <f t="shared" ca="1" si="180"/>
        <v>1921.7132239457148</v>
      </c>
      <c r="R1903" s="4">
        <f t="shared" ca="1" si="181"/>
        <v>-1.9568200542851173</v>
      </c>
      <c r="S1903" s="4">
        <f t="shared" ca="1" si="182"/>
        <v>-0.98900275136818427</v>
      </c>
    </row>
    <row r="1904" spans="15:19" x14ac:dyDescent="0.2">
      <c r="O1904" s="4">
        <f t="shared" ca="1" si="178"/>
        <v>0.66049640861522907</v>
      </c>
      <c r="P1904" s="4">
        <f t="shared" ca="1" si="179"/>
        <v>0.41381829733152969</v>
      </c>
      <c r="Q1904" s="4">
        <f t="shared" ca="1" si="180"/>
        <v>1910.7276772193754</v>
      </c>
      <c r="R1904" s="4">
        <f t="shared" ca="1" si="181"/>
        <v>-12.942366780624525</v>
      </c>
      <c r="S1904" s="4">
        <f t="shared" ca="1" si="182"/>
        <v>-6.4833667608058914</v>
      </c>
    </row>
    <row r="1905" spans="15:19" x14ac:dyDescent="0.2">
      <c r="O1905" s="4">
        <f t="shared" ca="1" si="178"/>
        <v>0.10057509903353989</v>
      </c>
      <c r="P1905" s="4">
        <f t="shared" ca="1" si="179"/>
        <v>-1.2782814727042688</v>
      </c>
      <c r="Q1905" s="4">
        <f t="shared" ca="1" si="180"/>
        <v>1961.989764625079</v>
      </c>
      <c r="R1905" s="4">
        <f t="shared" ca="1" si="181"/>
        <v>38.319720625079071</v>
      </c>
      <c r="S1905" s="4">
        <f t="shared" ca="1" si="182"/>
        <v>19.995558772023053</v>
      </c>
    </row>
    <row r="1906" spans="15:19" x14ac:dyDescent="0.2">
      <c r="O1906" s="4">
        <f t="shared" ca="1" si="178"/>
        <v>0.13364845940050651</v>
      </c>
      <c r="P1906" s="4">
        <f t="shared" ca="1" si="179"/>
        <v>-1.1093089653637096</v>
      </c>
      <c r="Q1906" s="4">
        <f t="shared" ca="1" si="180"/>
        <v>1956.8707500174064</v>
      </c>
      <c r="R1906" s="4">
        <f t="shared" ca="1" si="181"/>
        <v>33.200706017406446</v>
      </c>
      <c r="S1906" s="4">
        <f t="shared" ca="1" si="182"/>
        <v>17.255229650585072</v>
      </c>
    </row>
    <row r="1907" spans="15:19" x14ac:dyDescent="0.2">
      <c r="O1907" s="4">
        <f t="shared" ca="1" si="178"/>
        <v>0.33907386232600478</v>
      </c>
      <c r="P1907" s="4">
        <f t="shared" ca="1" si="179"/>
        <v>-0.41499204766948367</v>
      </c>
      <c r="Q1907" s="4">
        <f t="shared" ca="1" si="180"/>
        <v>1935.8364498228341</v>
      </c>
      <c r="R1907" s="4">
        <f t="shared" ca="1" si="181"/>
        <v>12.166405822834122</v>
      </c>
      <c r="S1907" s="4">
        <f t="shared" ca="1" si="182"/>
        <v>6.2190087654780282</v>
      </c>
    </row>
    <row r="1908" spans="15:19" x14ac:dyDescent="0.2">
      <c r="O1908" s="4">
        <f t="shared" ca="1" si="178"/>
        <v>0.51295727573390437</v>
      </c>
      <c r="P1908" s="4">
        <f t="shared" ca="1" si="179"/>
        <v>3.2484786135656328E-2</v>
      </c>
      <c r="Q1908" s="4">
        <f t="shared" ca="1" si="180"/>
        <v>1922.2801590102292</v>
      </c>
      <c r="R1908" s="4">
        <f t="shared" ca="1" si="181"/>
        <v>-1.389884989770735</v>
      </c>
      <c r="S1908" s="4">
        <f t="shared" ca="1" si="182"/>
        <v>-0.7027870273091964</v>
      </c>
    </row>
    <row r="1909" spans="15:19" x14ac:dyDescent="0.2">
      <c r="O1909" s="4">
        <f t="shared" ca="1" si="178"/>
        <v>4.4226834597136833E-2</v>
      </c>
      <c r="P1909" s="4">
        <f t="shared" ca="1" si="179"/>
        <v>-1.7036116197912723</v>
      </c>
      <c r="Q1909" s="4">
        <f t="shared" ca="1" si="180"/>
        <v>1974.8751225468484</v>
      </c>
      <c r="R1909" s="4">
        <f t="shared" ca="1" si="181"/>
        <v>51.205078546848426</v>
      </c>
      <c r="S1909" s="4">
        <f t="shared" ca="1" si="182"/>
        <v>26.98783156449965</v>
      </c>
    </row>
    <row r="1910" spans="15:19" x14ac:dyDescent="0.2">
      <c r="O1910" s="4">
        <f t="shared" ca="1" si="178"/>
        <v>5.3248281851981161E-2</v>
      </c>
      <c r="P1910" s="4">
        <f t="shared" ca="1" si="179"/>
        <v>-1.6141423015977576</v>
      </c>
      <c r="Q1910" s="4">
        <f t="shared" ca="1" si="180"/>
        <v>1972.1646535245234</v>
      </c>
      <c r="R1910" s="4">
        <f t="shared" ca="1" si="181"/>
        <v>48.494609524523412</v>
      </c>
      <c r="S1910" s="4">
        <f t="shared" ca="1" si="182"/>
        <v>25.505762092706128</v>
      </c>
    </row>
    <row r="1911" spans="15:19" x14ac:dyDescent="0.2">
      <c r="O1911" s="4">
        <f t="shared" ca="1" si="178"/>
        <v>0.56868563317858045</v>
      </c>
      <c r="P1911" s="4">
        <f t="shared" ca="1" si="179"/>
        <v>0.17302887158894067</v>
      </c>
      <c r="Q1911" s="4">
        <f t="shared" ca="1" si="180"/>
        <v>1918.0223821814384</v>
      </c>
      <c r="R1911" s="4">
        <f t="shared" ca="1" si="181"/>
        <v>-5.6476618185615735</v>
      </c>
      <c r="S1911" s="4">
        <f t="shared" ca="1" si="182"/>
        <v>-2.8459178166448043</v>
      </c>
    </row>
    <row r="1912" spans="15:19" x14ac:dyDescent="0.2">
      <c r="O1912" s="4">
        <f t="shared" ca="1" si="178"/>
        <v>0.11138536865059145</v>
      </c>
      <c r="P1912" s="4">
        <f t="shared" ca="1" si="179"/>
        <v>-1.2191935556967548</v>
      </c>
      <c r="Q1912" s="4">
        <f t="shared" ca="1" si="180"/>
        <v>1960.1996988027806</v>
      </c>
      <c r="R1912" s="4">
        <f t="shared" ca="1" si="181"/>
        <v>36.529654802780669</v>
      </c>
      <c r="S1912" s="4">
        <f t="shared" ca="1" si="182"/>
        <v>19.034868623348189</v>
      </c>
    </row>
    <row r="1913" spans="15:19" x14ac:dyDescent="0.2">
      <c r="O1913" s="4">
        <f t="shared" ca="1" si="178"/>
        <v>0.89538552490254586</v>
      </c>
      <c r="P1913" s="4">
        <f t="shared" ca="1" si="179"/>
        <v>1.2556884451243502</v>
      </c>
      <c r="Q1913" s="4">
        <f t="shared" ca="1" si="180"/>
        <v>1885.2232584701812</v>
      </c>
      <c r="R1913" s="4">
        <f t="shared" ca="1" si="181"/>
        <v>-38.446785529818726</v>
      </c>
      <c r="S1913" s="4">
        <f t="shared" ca="1" si="182"/>
        <v>-18.860427877187039</v>
      </c>
    </row>
    <row r="1914" spans="15:19" x14ac:dyDescent="0.2">
      <c r="O1914" s="4">
        <f t="shared" ca="1" si="178"/>
        <v>0.14539365429750328</v>
      </c>
      <c r="P1914" s="4">
        <f t="shared" ca="1" si="179"/>
        <v>-1.0563960527960661</v>
      </c>
      <c r="Q1914" s="4">
        <f t="shared" ca="1" si="180"/>
        <v>1955.2677556804499</v>
      </c>
      <c r="R1914" s="4">
        <f t="shared" ca="1" si="181"/>
        <v>31.597711680449947</v>
      </c>
      <c r="S1914" s="4">
        <f t="shared" ca="1" si="182"/>
        <v>16.401495326337741</v>
      </c>
    </row>
    <row r="1915" spans="15:19" x14ac:dyDescent="0.2">
      <c r="O1915" s="4">
        <f t="shared" ca="1" si="178"/>
        <v>0.62302677984343979</v>
      </c>
      <c r="P1915" s="4">
        <f t="shared" ca="1" si="179"/>
        <v>0.31343994498712274</v>
      </c>
      <c r="Q1915" s="4">
        <f t="shared" ca="1" si="180"/>
        <v>1913.7686349469511</v>
      </c>
      <c r="R1915" s="4">
        <f t="shared" ca="1" si="181"/>
        <v>-9.9014090530488374</v>
      </c>
      <c r="S1915" s="4">
        <f t="shared" ca="1" si="182"/>
        <v>-4.9722820334704432</v>
      </c>
    </row>
    <row r="1916" spans="15:19" x14ac:dyDescent="0.2">
      <c r="O1916" s="4">
        <f t="shared" ca="1" si="178"/>
        <v>0.19163301011637346</v>
      </c>
      <c r="P1916" s="4">
        <f t="shared" ca="1" si="179"/>
        <v>-0.87189434272677424</v>
      </c>
      <c r="Q1916" s="4">
        <f t="shared" ca="1" si="180"/>
        <v>1949.6782845655914</v>
      </c>
      <c r="R1916" s="4">
        <f t="shared" ca="1" si="181"/>
        <v>26.00824056559145</v>
      </c>
      <c r="S1916" s="4">
        <f t="shared" ca="1" si="182"/>
        <v>13.440979379790992</v>
      </c>
    </row>
    <row r="1917" spans="15:19" x14ac:dyDescent="0.2">
      <c r="O1917" s="4">
        <f t="shared" ca="1" si="178"/>
        <v>0.79700095686518158</v>
      </c>
      <c r="P1917" s="4">
        <f t="shared" ca="1" si="179"/>
        <v>0.83095670804862942</v>
      </c>
      <c r="Q1917" s="4">
        <f t="shared" ca="1" si="180"/>
        <v>1898.0904875872275</v>
      </c>
      <c r="R1917" s="4">
        <f t="shared" ca="1" si="181"/>
        <v>-25.57955641277249</v>
      </c>
      <c r="S1917" s="4">
        <f t="shared" ca="1" si="182"/>
        <v>-12.682271031683495</v>
      </c>
    </row>
    <row r="1918" spans="15:19" x14ac:dyDescent="0.2">
      <c r="O1918" s="4">
        <f t="shared" ca="1" si="178"/>
        <v>0.19457821644859064</v>
      </c>
      <c r="P1918" s="4">
        <f t="shared" ca="1" si="179"/>
        <v>-0.86114818618770717</v>
      </c>
      <c r="Q1918" s="4">
        <f t="shared" ca="1" si="180"/>
        <v>1949.3527302303587</v>
      </c>
      <c r="R1918" s="4">
        <f t="shared" ca="1" si="181"/>
        <v>25.68268623035874</v>
      </c>
      <c r="S1918" s="4">
        <f t="shared" ca="1" si="182"/>
        <v>13.269330342016019</v>
      </c>
    </row>
    <row r="1919" spans="15:19" x14ac:dyDescent="0.2">
      <c r="O1919" s="4">
        <f t="shared" ca="1" si="178"/>
        <v>0.58738260542781384</v>
      </c>
      <c r="P1919" s="4">
        <f t="shared" ca="1" si="179"/>
        <v>0.22081717602847681</v>
      </c>
      <c r="Q1919" s="4">
        <f t="shared" ca="1" si="180"/>
        <v>1916.5746376201953</v>
      </c>
      <c r="R1919" s="4">
        <f t="shared" ca="1" si="181"/>
        <v>-7.0954063798046718</v>
      </c>
      <c r="S1919" s="4">
        <f t="shared" ca="1" si="182"/>
        <v>-3.5712703929170355</v>
      </c>
    </row>
    <row r="1920" spans="15:19" x14ac:dyDescent="0.2">
      <c r="O1920" s="4">
        <f t="shared" ca="1" si="178"/>
        <v>0.63866648712323515</v>
      </c>
      <c r="P1920" s="4">
        <f t="shared" ca="1" si="179"/>
        <v>0.35489663998391641</v>
      </c>
      <c r="Q1920" s="4">
        <f t="shared" ca="1" si="180"/>
        <v>1912.5127062126589</v>
      </c>
      <c r="R1920" s="4">
        <f t="shared" ca="1" si="181"/>
        <v>-11.157337787341021</v>
      </c>
      <c r="S1920" s="4">
        <f t="shared" ca="1" si="182"/>
        <v>-5.597279177467593</v>
      </c>
    </row>
    <row r="1921" spans="15:19" x14ac:dyDescent="0.2">
      <c r="O1921" s="4">
        <f t="shared" ca="1" si="178"/>
        <v>0.13185953291994523</v>
      </c>
      <c r="P1921" s="4">
        <f t="shared" ca="1" si="179"/>
        <v>-1.1176440068198028</v>
      </c>
      <c r="Q1921" s="4">
        <f t="shared" ca="1" si="180"/>
        <v>1957.1232597282512</v>
      </c>
      <c r="R1921" s="4">
        <f t="shared" ca="1" si="181"/>
        <v>33.45321572825128</v>
      </c>
      <c r="S1921" s="4">
        <f t="shared" ca="1" si="182"/>
        <v>17.389903824985531</v>
      </c>
    </row>
    <row r="1922" spans="15:19" x14ac:dyDescent="0.2">
      <c r="O1922" s="4">
        <f t="shared" ca="1" si="178"/>
        <v>0.32012461600617781</v>
      </c>
      <c r="P1922" s="4">
        <f t="shared" ca="1" si="179"/>
        <v>-0.46735035940618308</v>
      </c>
      <c r="Q1922" s="4">
        <f t="shared" ca="1" si="180"/>
        <v>1937.4226425522406</v>
      </c>
      <c r="R1922" s="4">
        <f t="shared" ca="1" si="181"/>
        <v>13.75259855224067</v>
      </c>
      <c r="S1922" s="4">
        <f t="shared" ca="1" si="182"/>
        <v>7.0386907100281633</v>
      </c>
    </row>
    <row r="1923" spans="15:19" x14ac:dyDescent="0.2">
      <c r="O1923" s="4">
        <f t="shared" ref="O1923:O1986" ca="1" si="183">RAND()</f>
        <v>0.99391007094784367</v>
      </c>
      <c r="P1923" s="4">
        <f t="shared" ref="P1923:P1986" ca="1" si="184">NORMSINV(O1923)</f>
        <v>2.5068900819320015</v>
      </c>
      <c r="Q1923" s="4">
        <f t="shared" ref="Q1923:Q1986" ca="1" si="185">$B$4*(1+$B$17-$B$6/SQRT(252)*P1923)</f>
        <v>1847.3181604351898</v>
      </c>
      <c r="R1923" s="4">
        <f t="shared" ref="R1923:R1986" ca="1" si="186">Q1923-$B$4</f>
        <v>-76.351883564810123</v>
      </c>
      <c r="S1923" s="4">
        <f t="shared" ref="S1923:S1986" ca="1" si="187">R1923*$B$12+0.5*$B$13*R1923^2</f>
        <v>-36.277016440537807</v>
      </c>
    </row>
    <row r="1924" spans="15:19" x14ac:dyDescent="0.2">
      <c r="O1924" s="4">
        <f t="shared" ca="1" si="183"/>
        <v>0.30175180928309286</v>
      </c>
      <c r="P1924" s="4">
        <f t="shared" ca="1" si="184"/>
        <v>-0.51936875073743649</v>
      </c>
      <c r="Q1924" s="4">
        <f t="shared" ca="1" si="185"/>
        <v>1938.9985374080568</v>
      </c>
      <c r="R1924" s="4">
        <f t="shared" ca="1" si="186"/>
        <v>15.328493408056829</v>
      </c>
      <c r="S1924" s="4">
        <f t="shared" ca="1" si="187"/>
        <v>7.8550795928029373</v>
      </c>
    </row>
    <row r="1925" spans="15:19" x14ac:dyDescent="0.2">
      <c r="O1925" s="4">
        <f t="shared" ca="1" si="183"/>
        <v>1.8306211095507452E-2</v>
      </c>
      <c r="P1925" s="4">
        <f t="shared" ca="1" si="184"/>
        <v>-2.0900598672603494</v>
      </c>
      <c r="Q1925" s="4">
        <f t="shared" ca="1" si="185"/>
        <v>1986.5825550460097</v>
      </c>
      <c r="R1925" s="4">
        <f t="shared" ca="1" si="186"/>
        <v>62.91251104600974</v>
      </c>
      <c r="S1925" s="4">
        <f t="shared" ca="1" si="187"/>
        <v>33.458102814696538</v>
      </c>
    </row>
    <row r="1926" spans="15:19" x14ac:dyDescent="0.2">
      <c r="O1926" s="4">
        <f t="shared" ca="1" si="183"/>
        <v>4.3365938099822698E-2</v>
      </c>
      <c r="P1926" s="4">
        <f t="shared" ca="1" si="184"/>
        <v>-1.712894902774722</v>
      </c>
      <c r="Q1926" s="4">
        <f t="shared" ca="1" si="185"/>
        <v>1975.1563591926633</v>
      </c>
      <c r="R1926" s="4">
        <f t="shared" ca="1" si="186"/>
        <v>51.486315192663369</v>
      </c>
      <c r="S1926" s="4">
        <f t="shared" ca="1" si="187"/>
        <v>27.141952705910672</v>
      </c>
    </row>
    <row r="1927" spans="15:19" x14ac:dyDescent="0.2">
      <c r="O1927" s="4">
        <f t="shared" ca="1" si="183"/>
        <v>0.34322250477652727</v>
      </c>
      <c r="P1927" s="4">
        <f t="shared" ca="1" si="184"/>
        <v>-0.40368413219850985</v>
      </c>
      <c r="Q1927" s="4">
        <f t="shared" ca="1" si="185"/>
        <v>1935.4938770257011</v>
      </c>
      <c r="R1927" s="4">
        <f t="shared" ca="1" si="186"/>
        <v>11.823833025701106</v>
      </c>
      <c r="S1927" s="4">
        <f t="shared" ca="1" si="187"/>
        <v>6.0422496010630864</v>
      </c>
    </row>
    <row r="1928" spans="15:19" x14ac:dyDescent="0.2">
      <c r="O1928" s="4">
        <f t="shared" ca="1" si="183"/>
        <v>0.37568139326688232</v>
      </c>
      <c r="P1928" s="4">
        <f t="shared" ca="1" si="184"/>
        <v>-0.31684293152964027</v>
      </c>
      <c r="Q1928" s="4">
        <f t="shared" ca="1" si="185"/>
        <v>1932.8630267070996</v>
      </c>
      <c r="R1928" s="4">
        <f t="shared" ca="1" si="186"/>
        <v>9.1929827070996453</v>
      </c>
      <c r="S1928" s="4">
        <f t="shared" ca="1" si="187"/>
        <v>4.6879796899998718</v>
      </c>
    </row>
    <row r="1929" spans="15:19" x14ac:dyDescent="0.2">
      <c r="O1929" s="4">
        <f t="shared" ca="1" si="183"/>
        <v>0.14815916939800089</v>
      </c>
      <c r="P1929" s="4">
        <f t="shared" ca="1" si="184"/>
        <v>-1.0443611329064852</v>
      </c>
      <c r="Q1929" s="4">
        <f t="shared" ca="1" si="185"/>
        <v>1954.9031583167337</v>
      </c>
      <c r="R1929" s="4">
        <f t="shared" ca="1" si="186"/>
        <v>31.23311431673369</v>
      </c>
      <c r="S1929" s="4">
        <f t="shared" ca="1" si="187"/>
        <v>16.207607446725923</v>
      </c>
    </row>
    <row r="1930" spans="15:19" x14ac:dyDescent="0.2">
      <c r="O1930" s="4">
        <f t="shared" ca="1" si="183"/>
        <v>0.56579945668080234</v>
      </c>
      <c r="P1930" s="4">
        <f t="shared" ca="1" si="184"/>
        <v>0.16568978333363424</v>
      </c>
      <c r="Q1930" s="4">
        <f t="shared" ca="1" si="185"/>
        <v>1918.2447195342847</v>
      </c>
      <c r="R1930" s="4">
        <f t="shared" ca="1" si="186"/>
        <v>-5.4253244657152209</v>
      </c>
      <c r="S1930" s="4">
        <f t="shared" ca="1" si="187"/>
        <v>-2.7343706502427514</v>
      </c>
    </row>
    <row r="1931" spans="15:19" x14ac:dyDescent="0.2">
      <c r="O1931" s="4">
        <f t="shared" ca="1" si="183"/>
        <v>0.69895539963205033</v>
      </c>
      <c r="P1931" s="4">
        <f t="shared" ca="1" si="184"/>
        <v>0.52139849347340761</v>
      </c>
      <c r="Q1931" s="4">
        <f t="shared" ca="1" si="185"/>
        <v>1907.46853995371</v>
      </c>
      <c r="R1931" s="4">
        <f t="shared" ca="1" si="186"/>
        <v>-16.201504046289983</v>
      </c>
      <c r="S1931" s="4">
        <f t="shared" ca="1" si="187"/>
        <v>-8.0945089549794265</v>
      </c>
    </row>
    <row r="1932" spans="15:19" x14ac:dyDescent="0.2">
      <c r="O1932" s="4">
        <f t="shared" ca="1" si="183"/>
        <v>0.30081118632089976</v>
      </c>
      <c r="P1932" s="4">
        <f t="shared" ca="1" si="184"/>
        <v>-0.52206888068247848</v>
      </c>
      <c r="Q1932" s="4">
        <f t="shared" ca="1" si="185"/>
        <v>1939.0803377248585</v>
      </c>
      <c r="R1932" s="4">
        <f t="shared" ca="1" si="186"/>
        <v>15.410293724858548</v>
      </c>
      <c r="S1932" s="4">
        <f t="shared" ca="1" si="187"/>
        <v>7.8975112665663669</v>
      </c>
    </row>
    <row r="1933" spans="15:19" x14ac:dyDescent="0.2">
      <c r="O1933" s="4">
        <f t="shared" ca="1" si="183"/>
        <v>0.63454939836114477</v>
      </c>
      <c r="P1933" s="4">
        <f t="shared" ca="1" si="184"/>
        <v>0.34392697709680681</v>
      </c>
      <c r="Q1933" s="4">
        <f t="shared" ca="1" si="185"/>
        <v>1912.8450316627818</v>
      </c>
      <c r="R1933" s="4">
        <f t="shared" ca="1" si="186"/>
        <v>-10.825012337218141</v>
      </c>
      <c r="S1933" s="4">
        <f t="shared" ca="1" si="187"/>
        <v>-5.432026540054137</v>
      </c>
    </row>
    <row r="1934" spans="15:19" x14ac:dyDescent="0.2">
      <c r="O1934" s="4">
        <f t="shared" ca="1" si="183"/>
        <v>0.73146447115996782</v>
      </c>
      <c r="P1934" s="4">
        <f t="shared" ca="1" si="184"/>
        <v>0.61724815477833306</v>
      </c>
      <c r="Q1934" s="4">
        <f t="shared" ca="1" si="185"/>
        <v>1904.5647787201058</v>
      </c>
      <c r="R1934" s="4">
        <f t="shared" ca="1" si="186"/>
        <v>-19.105265279894184</v>
      </c>
      <c r="S1934" s="4">
        <f t="shared" ca="1" si="187"/>
        <v>-9.5226876080888978</v>
      </c>
    </row>
    <row r="1935" spans="15:19" x14ac:dyDescent="0.2">
      <c r="O1935" s="4">
        <f t="shared" ca="1" si="183"/>
        <v>0.75371360159633749</v>
      </c>
      <c r="P1935" s="4">
        <f t="shared" ca="1" si="184"/>
        <v>0.68622252319162114</v>
      </c>
      <c r="Q1935" s="4">
        <f t="shared" ca="1" si="185"/>
        <v>1902.475203291418</v>
      </c>
      <c r="R1935" s="4">
        <f t="shared" ca="1" si="186"/>
        <v>-21.194840708581978</v>
      </c>
      <c r="S1935" s="4">
        <f t="shared" ca="1" si="187"/>
        <v>-10.546171812500331</v>
      </c>
    </row>
    <row r="1936" spans="15:19" x14ac:dyDescent="0.2">
      <c r="O1936" s="4">
        <f t="shared" ca="1" si="183"/>
        <v>0.63991154398929517</v>
      </c>
      <c r="P1936" s="4">
        <f t="shared" ca="1" si="184"/>
        <v>0.35822236426461285</v>
      </c>
      <c r="Q1936" s="4">
        <f t="shared" ca="1" si="185"/>
        <v>1912.4119535432339</v>
      </c>
      <c r="R1936" s="4">
        <f t="shared" ca="1" si="186"/>
        <v>-11.258090456766013</v>
      </c>
      <c r="S1936" s="4">
        <f t="shared" ca="1" si="187"/>
        <v>-5.6473618346606358</v>
      </c>
    </row>
    <row r="1937" spans="15:19" x14ac:dyDescent="0.2">
      <c r="O1937" s="4">
        <f t="shared" ca="1" si="183"/>
        <v>0.40082377624242771</v>
      </c>
      <c r="P1937" s="4">
        <f t="shared" ca="1" si="184"/>
        <v>-0.25121543402418955</v>
      </c>
      <c r="Q1937" s="4">
        <f t="shared" ca="1" si="185"/>
        <v>1930.8748445839667</v>
      </c>
      <c r="R1937" s="4">
        <f t="shared" ca="1" si="186"/>
        <v>7.2048005839667439</v>
      </c>
      <c r="S1937" s="4">
        <f t="shared" ca="1" si="187"/>
        <v>3.6682712440355321</v>
      </c>
    </row>
    <row r="1938" spans="15:19" x14ac:dyDescent="0.2">
      <c r="O1938" s="4">
        <f t="shared" ca="1" si="183"/>
        <v>0.28621585337738376</v>
      </c>
      <c r="P1938" s="4">
        <f t="shared" ca="1" si="184"/>
        <v>-0.56447382817676184</v>
      </c>
      <c r="Q1938" s="4">
        <f t="shared" ca="1" si="185"/>
        <v>1940.3649937264609</v>
      </c>
      <c r="R1938" s="4">
        <f t="shared" ca="1" si="186"/>
        <v>16.694949726460891</v>
      </c>
      <c r="S1938" s="4">
        <f t="shared" ca="1" si="187"/>
        <v>8.5646059596498549</v>
      </c>
    </row>
    <row r="1939" spans="15:19" x14ac:dyDescent="0.2">
      <c r="O1939" s="4">
        <f t="shared" ca="1" si="183"/>
        <v>0.38979519103859628</v>
      </c>
      <c r="P1939" s="4">
        <f t="shared" ca="1" si="184"/>
        <v>-0.27985287667778452</v>
      </c>
      <c r="Q1939" s="4">
        <f t="shared" ca="1" si="185"/>
        <v>1931.7424146376839</v>
      </c>
      <c r="R1939" s="4">
        <f t="shared" ca="1" si="186"/>
        <v>8.0723706376838891</v>
      </c>
      <c r="S1939" s="4">
        <f t="shared" ca="1" si="187"/>
        <v>4.112839005129536</v>
      </c>
    </row>
    <row r="1940" spans="15:19" x14ac:dyDescent="0.2">
      <c r="O1940" s="4">
        <f t="shared" ca="1" si="183"/>
        <v>0.29939149646415153</v>
      </c>
      <c r="P1940" s="4">
        <f t="shared" ca="1" si="184"/>
        <v>-0.52615143643844808</v>
      </c>
      <c r="Q1940" s="4">
        <f t="shared" ca="1" si="185"/>
        <v>1939.2040185702244</v>
      </c>
      <c r="R1940" s="4">
        <f t="shared" ca="1" si="186"/>
        <v>15.533974570224473</v>
      </c>
      <c r="S1940" s="4">
        <f t="shared" ca="1" si="187"/>
        <v>7.9616776626720425</v>
      </c>
    </row>
    <row r="1941" spans="15:19" x14ac:dyDescent="0.2">
      <c r="O1941" s="4">
        <f t="shared" ca="1" si="183"/>
        <v>0.81616528118046783</v>
      </c>
      <c r="P1941" s="4">
        <f t="shared" ca="1" si="184"/>
        <v>0.90084744465927946</v>
      </c>
      <c r="Q1941" s="4">
        <f t="shared" ca="1" si="185"/>
        <v>1895.9731508246864</v>
      </c>
      <c r="R1941" s="4">
        <f t="shared" ca="1" si="186"/>
        <v>-27.696893175313562</v>
      </c>
      <c r="S1941" s="4">
        <f t="shared" ca="1" si="187"/>
        <v>-13.708168527629709</v>
      </c>
    </row>
    <row r="1942" spans="15:19" x14ac:dyDescent="0.2">
      <c r="O1942" s="4">
        <f t="shared" ca="1" si="183"/>
        <v>0.93275958133371739</v>
      </c>
      <c r="P1942" s="4">
        <f t="shared" ca="1" si="184"/>
        <v>1.4966635032799598</v>
      </c>
      <c r="Q1942" s="4">
        <f t="shared" ca="1" si="185"/>
        <v>1877.9229297824074</v>
      </c>
      <c r="R1942" s="4">
        <f t="shared" ca="1" si="186"/>
        <v>-45.747114217592525</v>
      </c>
      <c r="S1942" s="4">
        <f t="shared" ca="1" si="187"/>
        <v>-22.305723457190101</v>
      </c>
    </row>
    <row r="1943" spans="15:19" x14ac:dyDescent="0.2">
      <c r="O1943" s="4">
        <f t="shared" ca="1" si="183"/>
        <v>0.82077177069666563</v>
      </c>
      <c r="P1943" s="4">
        <f t="shared" ca="1" si="184"/>
        <v>0.91831025758173113</v>
      </c>
      <c r="Q1943" s="4">
        <f t="shared" ca="1" si="185"/>
        <v>1895.4441156825321</v>
      </c>
      <c r="R1943" s="4">
        <f t="shared" ca="1" si="186"/>
        <v>-28.225928317467833</v>
      </c>
      <c r="S1943" s="4">
        <f t="shared" ca="1" si="187"/>
        <v>-13.963928099292628</v>
      </c>
    </row>
    <row r="1944" spans="15:19" x14ac:dyDescent="0.2">
      <c r="O1944" s="4">
        <f t="shared" ca="1" si="183"/>
        <v>0.49168116766388559</v>
      </c>
      <c r="P1944" s="4">
        <f t="shared" ca="1" si="184"/>
        <v>-2.0853731718992026E-2</v>
      </c>
      <c r="Q1944" s="4">
        <f t="shared" ca="1" si="185"/>
        <v>1923.8960470404593</v>
      </c>
      <c r="R1944" s="4">
        <f t="shared" ca="1" si="186"/>
        <v>0.22600304045931807</v>
      </c>
      <c r="S1944" s="4">
        <f t="shared" ca="1" si="187"/>
        <v>0.11442574478612724</v>
      </c>
    </row>
    <row r="1945" spans="15:19" x14ac:dyDescent="0.2">
      <c r="O1945" s="4">
        <f t="shared" ca="1" si="183"/>
        <v>8.8310970229757424E-2</v>
      </c>
      <c r="P1945" s="4">
        <f t="shared" ca="1" si="184"/>
        <v>-1.3512294595128875</v>
      </c>
      <c r="Q1945" s="4">
        <f t="shared" ca="1" si="185"/>
        <v>1964.1997206466287</v>
      </c>
      <c r="R1945" s="4">
        <f t="shared" ca="1" si="186"/>
        <v>40.529676646628786</v>
      </c>
      <c r="S1945" s="4">
        <f t="shared" ca="1" si="187"/>
        <v>21.185193475302196</v>
      </c>
    </row>
    <row r="1946" spans="15:19" x14ac:dyDescent="0.2">
      <c r="O1946" s="4">
        <f t="shared" ca="1" si="183"/>
        <v>0.36182774832287323</v>
      </c>
      <c r="P1946" s="4">
        <f t="shared" ca="1" si="184"/>
        <v>-0.35357755633035676</v>
      </c>
      <c r="Q1946" s="4">
        <f t="shared" ca="1" si="185"/>
        <v>1933.9759005344567</v>
      </c>
      <c r="R1946" s="4">
        <f t="shared" ca="1" si="186"/>
        <v>10.30585653445678</v>
      </c>
      <c r="S1946" s="4">
        <f t="shared" ca="1" si="187"/>
        <v>5.2601606214601864</v>
      </c>
    </row>
    <row r="1947" spans="15:19" x14ac:dyDescent="0.2">
      <c r="O1947" s="4">
        <f t="shared" ca="1" si="183"/>
        <v>0.81645689750666905</v>
      </c>
      <c r="P1947" s="4">
        <f t="shared" ca="1" si="184"/>
        <v>0.90194477440382737</v>
      </c>
      <c r="Q1947" s="4">
        <f t="shared" ca="1" si="185"/>
        <v>1895.9399072687954</v>
      </c>
      <c r="R1947" s="4">
        <f t="shared" ca="1" si="186"/>
        <v>-27.730136731204539</v>
      </c>
      <c r="S1947" s="4">
        <f t="shared" ca="1" si="187"/>
        <v>-13.724246678916867</v>
      </c>
    </row>
    <row r="1948" spans="15:19" x14ac:dyDescent="0.2">
      <c r="O1948" s="4">
        <f t="shared" ca="1" si="183"/>
        <v>7.4076684042069352E-2</v>
      </c>
      <c r="P1948" s="4">
        <f t="shared" ca="1" si="184"/>
        <v>-1.4460849797213742</v>
      </c>
      <c r="Q1948" s="4">
        <f t="shared" ca="1" si="185"/>
        <v>1967.0733644198551</v>
      </c>
      <c r="R1948" s="4">
        <f t="shared" ca="1" si="186"/>
        <v>43.403320419855163</v>
      </c>
      <c r="S1948" s="4">
        <f t="shared" ca="1" si="187"/>
        <v>22.738042565673325</v>
      </c>
    </row>
    <row r="1949" spans="15:19" x14ac:dyDescent="0.2">
      <c r="O1949" s="4">
        <f t="shared" ca="1" si="183"/>
        <v>0.36693885320815411</v>
      </c>
      <c r="P1949" s="4">
        <f t="shared" ca="1" si="184"/>
        <v>-0.33997187742769763</v>
      </c>
      <c r="Q1949" s="4">
        <f t="shared" ca="1" si="185"/>
        <v>1933.5637170961791</v>
      </c>
      <c r="R1949" s="4">
        <f t="shared" ca="1" si="186"/>
        <v>9.8936730961791</v>
      </c>
      <c r="S1949" s="4">
        <f t="shared" ca="1" si="187"/>
        <v>5.0481201053279783</v>
      </c>
    </row>
    <row r="1950" spans="15:19" x14ac:dyDescent="0.2">
      <c r="O1950" s="4">
        <f t="shared" ca="1" si="183"/>
        <v>0.40922258075898432</v>
      </c>
      <c r="P1950" s="4">
        <f t="shared" ca="1" si="184"/>
        <v>-0.22954524152607059</v>
      </c>
      <c r="Q1950" s="4">
        <f t="shared" ca="1" si="185"/>
        <v>1930.2183470643711</v>
      </c>
      <c r="R1950" s="4">
        <f t="shared" ca="1" si="186"/>
        <v>6.5483030643711118</v>
      </c>
      <c r="S1950" s="4">
        <f t="shared" ca="1" si="187"/>
        <v>3.332270390732603</v>
      </c>
    </row>
    <row r="1951" spans="15:19" x14ac:dyDescent="0.2">
      <c r="O1951" s="4">
        <f t="shared" ca="1" si="183"/>
        <v>0.17762326115313187</v>
      </c>
      <c r="P1951" s="4">
        <f t="shared" ca="1" si="184"/>
        <v>-0.92446066463731014</v>
      </c>
      <c r="Q1951" s="4">
        <f t="shared" ca="1" si="185"/>
        <v>1951.2707789539788</v>
      </c>
      <c r="R1951" s="4">
        <f t="shared" ca="1" si="186"/>
        <v>27.600734953978872</v>
      </c>
      <c r="S1951" s="4">
        <f t="shared" ca="1" si="187"/>
        <v>14.281867948484928</v>
      </c>
    </row>
    <row r="1952" spans="15:19" x14ac:dyDescent="0.2">
      <c r="O1952" s="4">
        <f t="shared" ca="1" si="183"/>
        <v>3.9016679297592893E-2</v>
      </c>
      <c r="P1952" s="4">
        <f t="shared" ca="1" si="184"/>
        <v>-1.7622127506177061</v>
      </c>
      <c r="Q1952" s="4">
        <f t="shared" ca="1" si="185"/>
        <v>1976.6504412034037</v>
      </c>
      <c r="R1952" s="4">
        <f t="shared" ca="1" si="186"/>
        <v>52.980397203403754</v>
      </c>
      <c r="S1952" s="4">
        <f t="shared" ca="1" si="187"/>
        <v>27.961807766153569</v>
      </c>
    </row>
    <row r="1953" spans="15:19" x14ac:dyDescent="0.2">
      <c r="O1953" s="4">
        <f t="shared" ca="1" si="183"/>
        <v>0.79781663290215166</v>
      </c>
      <c r="P1953" s="4">
        <f t="shared" ca="1" si="184"/>
        <v>0.83384783795230544</v>
      </c>
      <c r="Q1953" s="4">
        <f t="shared" ca="1" si="185"/>
        <v>1898.0029009351588</v>
      </c>
      <c r="R1953" s="4">
        <f t="shared" ca="1" si="186"/>
        <v>-25.667143064841184</v>
      </c>
      <c r="S1953" s="4">
        <f t="shared" ca="1" si="187"/>
        <v>-12.724781111719508</v>
      </c>
    </row>
    <row r="1954" spans="15:19" x14ac:dyDescent="0.2">
      <c r="O1954" s="4">
        <f t="shared" ca="1" si="183"/>
        <v>0.14643863863332629</v>
      </c>
      <c r="P1954" s="4">
        <f t="shared" ca="1" si="184"/>
        <v>-1.0518305996036454</v>
      </c>
      <c r="Q1954" s="4">
        <f t="shared" ca="1" si="185"/>
        <v>1955.1294454786871</v>
      </c>
      <c r="R1954" s="4">
        <f t="shared" ca="1" si="186"/>
        <v>31.459401478687141</v>
      </c>
      <c r="S1954" s="4">
        <f t="shared" ca="1" si="187"/>
        <v>16.327931116810102</v>
      </c>
    </row>
    <row r="1955" spans="15:19" x14ac:dyDescent="0.2">
      <c r="O1955" s="4">
        <f t="shared" ca="1" si="183"/>
        <v>0.5467091204381519</v>
      </c>
      <c r="P1955" s="4">
        <f t="shared" ca="1" si="184"/>
        <v>0.11735119295923307</v>
      </c>
      <c r="Q1955" s="4">
        <f t="shared" ca="1" si="185"/>
        <v>1919.7091349834923</v>
      </c>
      <c r="R1955" s="4">
        <f t="shared" ca="1" si="186"/>
        <v>-3.960909016507685</v>
      </c>
      <c r="S1955" s="4">
        <f t="shared" ca="1" si="187"/>
        <v>-1.9986645131203571</v>
      </c>
    </row>
    <row r="1956" spans="15:19" x14ac:dyDescent="0.2">
      <c r="O1956" s="4">
        <f t="shared" ca="1" si="183"/>
        <v>0.73068561185567327</v>
      </c>
      <c r="P1956" s="4">
        <f t="shared" ca="1" si="184"/>
        <v>0.61488786661652384</v>
      </c>
      <c r="Q1956" s="4">
        <f t="shared" ca="1" si="185"/>
        <v>1904.6362835451735</v>
      </c>
      <c r="R1956" s="4">
        <f t="shared" ca="1" si="186"/>
        <v>-19.033760454826506</v>
      </c>
      <c r="S1956" s="4">
        <f t="shared" ca="1" si="187"/>
        <v>-9.4876012936597256</v>
      </c>
    </row>
    <row r="1957" spans="15:19" x14ac:dyDescent="0.2">
      <c r="O1957" s="4">
        <f t="shared" ca="1" si="183"/>
        <v>0.96181414636793605</v>
      </c>
      <c r="P1957" s="4">
        <f t="shared" ca="1" si="184"/>
        <v>1.7721376693327038</v>
      </c>
      <c r="Q1957" s="4">
        <f t="shared" ca="1" si="185"/>
        <v>1869.5774521526162</v>
      </c>
      <c r="R1957" s="4">
        <f t="shared" ca="1" si="186"/>
        <v>-54.092591847383801</v>
      </c>
      <c r="S1957" s="4">
        <f t="shared" ca="1" si="187"/>
        <v>-26.191111813333997</v>
      </c>
    </row>
    <row r="1958" spans="15:19" x14ac:dyDescent="0.2">
      <c r="O1958" s="4">
        <f t="shared" ca="1" si="183"/>
        <v>0.14650518293718995</v>
      </c>
      <c r="P1958" s="4">
        <f t="shared" ca="1" si="184"/>
        <v>-1.0515406150116557</v>
      </c>
      <c r="Q1958" s="4">
        <f t="shared" ca="1" si="185"/>
        <v>1955.1206604083477</v>
      </c>
      <c r="R1958" s="4">
        <f t="shared" ca="1" si="186"/>
        <v>31.450616408347742</v>
      </c>
      <c r="S1958" s="4">
        <f t="shared" ca="1" si="187"/>
        <v>16.323259053641053</v>
      </c>
    </row>
    <row r="1959" spans="15:19" x14ac:dyDescent="0.2">
      <c r="O1959" s="4">
        <f t="shared" ca="1" si="183"/>
        <v>0.79099823562822713</v>
      </c>
      <c r="P1959" s="4">
        <f t="shared" ca="1" si="184"/>
        <v>0.80988977552365693</v>
      </c>
      <c r="Q1959" s="4">
        <f t="shared" ca="1" si="185"/>
        <v>1898.7287093727207</v>
      </c>
      <c r="R1959" s="4">
        <f t="shared" ca="1" si="186"/>
        <v>-24.941334627279275</v>
      </c>
      <c r="S1959" s="4">
        <f t="shared" ca="1" si="187"/>
        <v>-12.372322262673665</v>
      </c>
    </row>
    <row r="1960" spans="15:19" x14ac:dyDescent="0.2">
      <c r="O1960" s="4">
        <f t="shared" ca="1" si="183"/>
        <v>9.7386407696422039E-2</v>
      </c>
      <c r="P1960" s="4">
        <f t="shared" ca="1" si="184"/>
        <v>-1.2965884884434107</v>
      </c>
      <c r="Q1960" s="4">
        <f t="shared" ca="1" si="185"/>
        <v>1962.5443748540833</v>
      </c>
      <c r="R1960" s="4">
        <f t="shared" ca="1" si="186"/>
        <v>38.874330854083382</v>
      </c>
      <c r="S1960" s="4">
        <f t="shared" ca="1" si="187"/>
        <v>20.293735598535498</v>
      </c>
    </row>
    <row r="1961" spans="15:19" x14ac:dyDescent="0.2">
      <c r="O1961" s="4">
        <f t="shared" ca="1" si="183"/>
        <v>0.18839041551022218</v>
      </c>
      <c r="P1961" s="4">
        <f t="shared" ca="1" si="184"/>
        <v>-0.88384325829412536</v>
      </c>
      <c r="Q1961" s="4">
        <f t="shared" ca="1" si="185"/>
        <v>1950.0402764321846</v>
      </c>
      <c r="R1961" s="4">
        <f t="shared" ca="1" si="186"/>
        <v>26.370232432184594</v>
      </c>
      <c r="S1961" s="4">
        <f t="shared" ca="1" si="187"/>
        <v>13.631941477449024</v>
      </c>
    </row>
    <row r="1962" spans="15:19" x14ac:dyDescent="0.2">
      <c r="O1962" s="4">
        <f t="shared" ca="1" si="183"/>
        <v>0.67674417967912126</v>
      </c>
      <c r="P1962" s="4">
        <f t="shared" ca="1" si="184"/>
        <v>0.45861363888106632</v>
      </c>
      <c r="Q1962" s="4">
        <f t="shared" ca="1" si="185"/>
        <v>1909.3706043360003</v>
      </c>
      <c r="R1962" s="4">
        <f t="shared" ca="1" si="186"/>
        <v>-14.299439663999692</v>
      </c>
      <c r="S1962" s="4">
        <f t="shared" ca="1" si="187"/>
        <v>-7.1552813570110301</v>
      </c>
    </row>
    <row r="1963" spans="15:19" x14ac:dyDescent="0.2">
      <c r="O1963" s="4">
        <f t="shared" ca="1" si="183"/>
        <v>0.42845471132629542</v>
      </c>
      <c r="P1963" s="4">
        <f t="shared" ca="1" si="184"/>
        <v>-0.1803097233441403</v>
      </c>
      <c r="Q1963" s="4">
        <f t="shared" ca="1" si="185"/>
        <v>1928.7267592270573</v>
      </c>
      <c r="R1963" s="4">
        <f t="shared" ca="1" si="186"/>
        <v>5.0567152270573388</v>
      </c>
      <c r="S1963" s="4">
        <f t="shared" ca="1" si="187"/>
        <v>2.570167688248691</v>
      </c>
    </row>
    <row r="1964" spans="15:19" x14ac:dyDescent="0.2">
      <c r="O1964" s="4">
        <f t="shared" ca="1" si="183"/>
        <v>0.56796588237195456</v>
      </c>
      <c r="P1964" s="4">
        <f t="shared" ca="1" si="184"/>
        <v>0.17119780260528336</v>
      </c>
      <c r="Q1964" s="4">
        <f t="shared" ca="1" si="185"/>
        <v>1918.0778543350007</v>
      </c>
      <c r="R1964" s="4">
        <f t="shared" ca="1" si="186"/>
        <v>-5.5921896649992959</v>
      </c>
      <c r="S1964" s="4">
        <f t="shared" ca="1" si="187"/>
        <v>-2.8180910763276166</v>
      </c>
    </row>
    <row r="1965" spans="15:19" x14ac:dyDescent="0.2">
      <c r="O1965" s="4">
        <f t="shared" ca="1" si="183"/>
        <v>0.4984333542368663</v>
      </c>
      <c r="P1965" s="4">
        <f t="shared" ca="1" si="184"/>
        <v>-3.9270086595050487E-3</v>
      </c>
      <c r="Q1965" s="4">
        <f t="shared" ca="1" si="185"/>
        <v>1923.3832527169016</v>
      </c>
      <c r="R1965" s="4">
        <f t="shared" ca="1" si="186"/>
        <v>-0.28679128309840962</v>
      </c>
      <c r="S1965" s="4">
        <f t="shared" ca="1" si="187"/>
        <v>-0.14514307546344846</v>
      </c>
    </row>
    <row r="1966" spans="15:19" x14ac:dyDescent="0.2">
      <c r="O1966" s="4">
        <f t="shared" ca="1" si="183"/>
        <v>0.55935963523149335</v>
      </c>
      <c r="P1966" s="4">
        <f t="shared" ca="1" si="184"/>
        <v>0.14934586053884305</v>
      </c>
      <c r="Q1966" s="4">
        <f t="shared" ca="1" si="185"/>
        <v>1918.7398579496992</v>
      </c>
      <c r="R1966" s="4">
        <f t="shared" ca="1" si="186"/>
        <v>-4.9301860503007902</v>
      </c>
      <c r="S1966" s="4">
        <f t="shared" ca="1" si="187"/>
        <v>-2.4858139457793409</v>
      </c>
    </row>
    <row r="1967" spans="15:19" x14ac:dyDescent="0.2">
      <c r="O1967" s="4">
        <f t="shared" ca="1" si="183"/>
        <v>0.53233777921342007</v>
      </c>
      <c r="P1967" s="4">
        <f t="shared" ca="1" si="184"/>
        <v>8.1147762937571019E-2</v>
      </c>
      <c r="Q1967" s="4">
        <f t="shared" ca="1" si="185"/>
        <v>1920.8059162886025</v>
      </c>
      <c r="R1967" s="4">
        <f t="shared" ca="1" si="186"/>
        <v>-2.8641277113974866</v>
      </c>
      <c r="S1967" s="4">
        <f t="shared" ca="1" si="187"/>
        <v>-1.4465102198834061</v>
      </c>
    </row>
    <row r="1968" spans="15:19" x14ac:dyDescent="0.2">
      <c r="O1968" s="4">
        <f t="shared" ca="1" si="183"/>
        <v>0.46448110644460761</v>
      </c>
      <c r="P1968" s="4">
        <f t="shared" ca="1" si="184"/>
        <v>-8.9150614568304684E-2</v>
      </c>
      <c r="Q1968" s="4">
        <f t="shared" ca="1" si="185"/>
        <v>1925.9650980740662</v>
      </c>
      <c r="R1968" s="4">
        <f t="shared" ca="1" si="186"/>
        <v>2.2950540740662291</v>
      </c>
      <c r="S1968" s="4">
        <f t="shared" ca="1" si="187"/>
        <v>1.1639229969544018</v>
      </c>
    </row>
    <row r="1969" spans="15:19" x14ac:dyDescent="0.2">
      <c r="O1969" s="4">
        <f t="shared" ca="1" si="183"/>
        <v>0.34418550021613237</v>
      </c>
      <c r="P1969" s="4">
        <f t="shared" ca="1" si="184"/>
        <v>-0.4010667225055764</v>
      </c>
      <c r="Q1969" s="4">
        <f t="shared" ca="1" si="185"/>
        <v>1935.4145827152638</v>
      </c>
      <c r="R1969" s="4">
        <f t="shared" ca="1" si="186"/>
        <v>11.744538715263843</v>
      </c>
      <c r="S1969" s="4">
        <f t="shared" ca="1" si="187"/>
        <v>6.0013492980891794</v>
      </c>
    </row>
    <row r="1970" spans="15:19" x14ac:dyDescent="0.2">
      <c r="O1970" s="4">
        <f t="shared" ca="1" si="183"/>
        <v>3.6533590513170955E-2</v>
      </c>
      <c r="P1970" s="4">
        <f t="shared" ca="1" si="184"/>
        <v>-1.7924108314650757</v>
      </c>
      <c r="Q1970" s="4">
        <f t="shared" ca="1" si="185"/>
        <v>1977.5652907219103</v>
      </c>
      <c r="R1970" s="4">
        <f t="shared" ca="1" si="186"/>
        <v>53.895246721910326</v>
      </c>
      <c r="S1970" s="4">
        <f t="shared" ca="1" si="187"/>
        <v>28.464714800314873</v>
      </c>
    </row>
    <row r="1971" spans="15:19" x14ac:dyDescent="0.2">
      <c r="O1971" s="4">
        <f t="shared" ca="1" si="183"/>
        <v>0.9744255063679933</v>
      </c>
      <c r="P1971" s="4">
        <f t="shared" ca="1" si="184"/>
        <v>1.9502276863569912</v>
      </c>
      <c r="Q1971" s="4">
        <f t="shared" ca="1" si="185"/>
        <v>1864.1822229938832</v>
      </c>
      <c r="R1971" s="4">
        <f t="shared" ca="1" si="186"/>
        <v>-59.487821006116747</v>
      </c>
      <c r="S1971" s="4">
        <f t="shared" ca="1" si="187"/>
        <v>-28.672780749642847</v>
      </c>
    </row>
    <row r="1972" spans="15:19" x14ac:dyDescent="0.2">
      <c r="O1972" s="4">
        <f t="shared" ca="1" si="183"/>
        <v>0.23093721296100456</v>
      </c>
      <c r="P1972" s="4">
        <f t="shared" ca="1" si="184"/>
        <v>-0.73576384791933569</v>
      </c>
      <c r="Q1972" s="4">
        <f t="shared" ca="1" si="185"/>
        <v>1945.554217269457</v>
      </c>
      <c r="R1972" s="4">
        <f t="shared" ca="1" si="186"/>
        <v>21.884173269457051</v>
      </c>
      <c r="S1972" s="4">
        <f t="shared" ca="1" si="187"/>
        <v>11.27293525094243</v>
      </c>
    </row>
    <row r="1973" spans="15:19" x14ac:dyDescent="0.2">
      <c r="O1973" s="4">
        <f t="shared" ca="1" si="183"/>
        <v>0.53522470807413836</v>
      </c>
      <c r="P1973" s="4">
        <f t="shared" ca="1" si="184"/>
        <v>8.8410289036579548E-2</v>
      </c>
      <c r="Q1973" s="4">
        <f t="shared" ca="1" si="185"/>
        <v>1920.5858983828821</v>
      </c>
      <c r="R1973" s="4">
        <f t="shared" ca="1" si="186"/>
        <v>-3.0841456171178834</v>
      </c>
      <c r="S1973" s="4">
        <f t="shared" ca="1" si="187"/>
        <v>-1.5573526964734565</v>
      </c>
    </row>
    <row r="1974" spans="15:19" x14ac:dyDescent="0.2">
      <c r="O1974" s="4">
        <f t="shared" ca="1" si="183"/>
        <v>0.20701371828824777</v>
      </c>
      <c r="P1974" s="4">
        <f t="shared" ca="1" si="184"/>
        <v>-0.81682676118196884</v>
      </c>
      <c r="Q1974" s="4">
        <f t="shared" ca="1" si="185"/>
        <v>1948.010014627637</v>
      </c>
      <c r="R1974" s="4">
        <f t="shared" ca="1" si="186"/>
        <v>24.339970627637058</v>
      </c>
      <c r="S1974" s="4">
        <f t="shared" ca="1" si="187"/>
        <v>12.562293258362379</v>
      </c>
    </row>
    <row r="1975" spans="15:19" x14ac:dyDescent="0.2">
      <c r="O1975" s="4">
        <f t="shared" ca="1" si="183"/>
        <v>0.6718914175865468</v>
      </c>
      <c r="P1975" s="4">
        <f t="shared" ca="1" si="184"/>
        <v>0.44514196336971312</v>
      </c>
      <c r="Q1975" s="4">
        <f t="shared" ca="1" si="185"/>
        <v>1909.7787281474878</v>
      </c>
      <c r="R1975" s="4">
        <f t="shared" ca="1" si="186"/>
        <v>-13.891315852512207</v>
      </c>
      <c r="S1975" s="4">
        <f t="shared" ca="1" si="187"/>
        <v>-6.9533685472321896</v>
      </c>
    </row>
    <row r="1976" spans="15:19" x14ac:dyDescent="0.2">
      <c r="O1976" s="4">
        <f t="shared" ca="1" si="183"/>
        <v>0.93692586590440896</v>
      </c>
      <c r="P1976" s="4">
        <f t="shared" ca="1" si="184"/>
        <v>1.5294687990480988</v>
      </c>
      <c r="Q1976" s="4">
        <f t="shared" ca="1" si="185"/>
        <v>1876.9290948036339</v>
      </c>
      <c r="R1976" s="4">
        <f t="shared" ca="1" si="186"/>
        <v>-46.740949196366046</v>
      </c>
      <c r="S1976" s="4">
        <f t="shared" ca="1" si="187"/>
        <v>-22.771395520759246</v>
      </c>
    </row>
    <row r="1977" spans="15:19" x14ac:dyDescent="0.2">
      <c r="O1977" s="4">
        <f t="shared" ca="1" si="183"/>
        <v>0.48623550756510314</v>
      </c>
      <c r="P1977" s="4">
        <f t="shared" ca="1" si="184"/>
        <v>-3.4509314181979812E-2</v>
      </c>
      <c r="Q1977" s="4">
        <f t="shared" ca="1" si="185"/>
        <v>1924.3097423048812</v>
      </c>
      <c r="R1977" s="4">
        <f t="shared" ca="1" si="186"/>
        <v>0.6396983048812217</v>
      </c>
      <c r="S1977" s="4">
        <f t="shared" ca="1" si="187"/>
        <v>0.32398812610937722</v>
      </c>
    </row>
    <row r="1978" spans="15:19" x14ac:dyDescent="0.2">
      <c r="O1978" s="4">
        <f t="shared" ca="1" si="183"/>
        <v>0.1732972571564978</v>
      </c>
      <c r="P1978" s="4">
        <f t="shared" ca="1" si="184"/>
        <v>-0.94121534551974229</v>
      </c>
      <c r="Q1978" s="4">
        <f t="shared" ca="1" si="185"/>
        <v>1951.7783612674216</v>
      </c>
      <c r="R1978" s="4">
        <f t="shared" ca="1" si="186"/>
        <v>28.108317267421626</v>
      </c>
      <c r="S1978" s="4">
        <f t="shared" ca="1" si="187"/>
        <v>14.550321755111291</v>
      </c>
    </row>
    <row r="1979" spans="15:19" x14ac:dyDescent="0.2">
      <c r="O1979" s="4">
        <f t="shared" ca="1" si="183"/>
        <v>5.8484374578611886E-2</v>
      </c>
      <c r="P1979" s="4">
        <f t="shared" ca="1" si="184"/>
        <v>-1.5676246788832979</v>
      </c>
      <c r="Q1979" s="4">
        <f t="shared" ca="1" si="185"/>
        <v>1970.7554042097247</v>
      </c>
      <c r="R1979" s="4">
        <f t="shared" ca="1" si="186"/>
        <v>47.08536020972474</v>
      </c>
      <c r="S1979" s="4">
        <f t="shared" ca="1" si="187"/>
        <v>24.737555686871069</v>
      </c>
    </row>
    <row r="1980" spans="15:19" x14ac:dyDescent="0.2">
      <c r="O1980" s="4">
        <f t="shared" ca="1" si="183"/>
        <v>0.75674090289806506</v>
      </c>
      <c r="P1980" s="4">
        <f t="shared" ca="1" si="184"/>
        <v>0.6958573102466814</v>
      </c>
      <c r="Q1980" s="4">
        <f t="shared" ca="1" si="185"/>
        <v>1902.1833178453599</v>
      </c>
      <c r="R1980" s="4">
        <f t="shared" ca="1" si="186"/>
        <v>-21.48672615464011</v>
      </c>
      <c r="S1980" s="4">
        <f t="shared" ca="1" si="187"/>
        <v>-10.688855763692059</v>
      </c>
    </row>
    <row r="1981" spans="15:19" x14ac:dyDescent="0.2">
      <c r="O1981" s="4">
        <f t="shared" ca="1" si="183"/>
        <v>0.60008677417439416</v>
      </c>
      <c r="P1981" s="4">
        <f t="shared" ca="1" si="184"/>
        <v>0.25357171377672599</v>
      </c>
      <c r="Q1981" s="4">
        <f t="shared" ca="1" si="185"/>
        <v>1915.5823403533807</v>
      </c>
      <c r="R1981" s="4">
        <f t="shared" ca="1" si="186"/>
        <v>-8.0877036466192749</v>
      </c>
      <c r="S1981" s="4">
        <f t="shared" ca="1" si="187"/>
        <v>-4.0674480193281948</v>
      </c>
    </row>
    <row r="1982" spans="15:19" x14ac:dyDescent="0.2">
      <c r="O1982" s="4">
        <f t="shared" ca="1" si="183"/>
        <v>0.57126176908589354</v>
      </c>
      <c r="P1982" s="4">
        <f t="shared" ca="1" si="184"/>
        <v>0.17958744504947305</v>
      </c>
      <c r="Q1982" s="4">
        <f t="shared" ca="1" si="185"/>
        <v>1917.8236904896455</v>
      </c>
      <c r="R1982" s="4">
        <f t="shared" ca="1" si="186"/>
        <v>-5.8463535103544473</v>
      </c>
      <c r="S1982" s="4">
        <f t="shared" ca="1" si="187"/>
        <v>-2.9455678466034292</v>
      </c>
    </row>
    <row r="1983" spans="15:19" x14ac:dyDescent="0.2">
      <c r="O1983" s="4">
        <f t="shared" ca="1" si="183"/>
        <v>0.56406671383653617</v>
      </c>
      <c r="P1983" s="4">
        <f t="shared" ca="1" si="184"/>
        <v>0.16128800229692666</v>
      </c>
      <c r="Q1983" s="4">
        <f t="shared" ca="1" si="185"/>
        <v>1918.3780712953571</v>
      </c>
      <c r="R1983" s="4">
        <f t="shared" ca="1" si="186"/>
        <v>-5.2919727046428306</v>
      </c>
      <c r="S1983" s="4">
        <f t="shared" ca="1" si="187"/>
        <v>-2.6674484539291887</v>
      </c>
    </row>
    <row r="1984" spans="15:19" x14ac:dyDescent="0.2">
      <c r="O1984" s="4">
        <f t="shared" ca="1" si="183"/>
        <v>0.57627336956885811</v>
      </c>
      <c r="P1984" s="4">
        <f t="shared" ca="1" si="184"/>
        <v>0.19236888820610762</v>
      </c>
      <c r="Q1984" s="4">
        <f t="shared" ca="1" si="185"/>
        <v>1917.4364772366987</v>
      </c>
      <c r="R1984" s="4">
        <f t="shared" ca="1" si="186"/>
        <v>-6.233566763301269</v>
      </c>
      <c r="S1984" s="4">
        <f t="shared" ca="1" si="187"/>
        <v>-3.13967491953222</v>
      </c>
    </row>
    <row r="1985" spans="15:19" x14ac:dyDescent="0.2">
      <c r="O1985" s="4">
        <f t="shared" ca="1" si="183"/>
        <v>0.14532171084779655</v>
      </c>
      <c r="P1985" s="4">
        <f t="shared" ca="1" si="184"/>
        <v>-1.05671117852346</v>
      </c>
      <c r="Q1985" s="4">
        <f t="shared" ca="1" si="185"/>
        <v>1955.2773024003702</v>
      </c>
      <c r="R1985" s="4">
        <f t="shared" ca="1" si="186"/>
        <v>31.607258400370256</v>
      </c>
      <c r="S1985" s="4">
        <f t="shared" ca="1" si="187"/>
        <v>16.406573595101239</v>
      </c>
    </row>
    <row r="1986" spans="15:19" x14ac:dyDescent="0.2">
      <c r="O1986" s="4">
        <f t="shared" ca="1" si="183"/>
        <v>0.97254144402586884</v>
      </c>
      <c r="P1986" s="4">
        <f t="shared" ca="1" si="184"/>
        <v>1.919531434974648</v>
      </c>
      <c r="Q1986" s="4">
        <f t="shared" ca="1" si="185"/>
        <v>1865.1121645666285</v>
      </c>
      <c r="R1986" s="4">
        <f t="shared" ca="1" si="186"/>
        <v>-58.557879433371454</v>
      </c>
      <c r="S1986" s="4">
        <f t="shared" ca="1" si="187"/>
        <v>-28.246721487085164</v>
      </c>
    </row>
    <row r="1987" spans="15:19" x14ac:dyDescent="0.2">
      <c r="O1987" s="4">
        <f t="shared" ref="O1987:O2050" ca="1" si="188">RAND()</f>
        <v>0.85829207049783518</v>
      </c>
      <c r="P1987" s="4">
        <f t="shared" ref="P1987:P2050" ca="1" si="189">NORMSINV(O1987)</f>
        <v>1.0726774553094944</v>
      </c>
      <c r="Q1987" s="4">
        <f t="shared" ref="Q1987:Q2050" ca="1" si="190">$B$4*(1+$B$17-$B$6/SQRT(252)*P1987)</f>
        <v>1890.767568281118</v>
      </c>
      <c r="R1987" s="4">
        <f t="shared" ref="R1987:R2050" ca="1" si="191">Q1987-$B$4</f>
        <v>-32.902475718881988</v>
      </c>
      <c r="S1987" s="4">
        <f t="shared" ref="S1987:S2050" ca="1" si="192">R1987*$B$12+0.5*$B$13*R1987^2</f>
        <v>-16.214873369903788</v>
      </c>
    </row>
    <row r="1988" spans="15:19" x14ac:dyDescent="0.2">
      <c r="O1988" s="4">
        <f t="shared" ca="1" si="188"/>
        <v>0.31791582155169462</v>
      </c>
      <c r="P1988" s="4">
        <f t="shared" ca="1" si="189"/>
        <v>-0.47353485078288848</v>
      </c>
      <c r="Q1988" s="4">
        <f t="shared" ca="1" si="190"/>
        <v>1937.6100014439128</v>
      </c>
      <c r="R1988" s="4">
        <f t="shared" ca="1" si="191"/>
        <v>13.939957443912817</v>
      </c>
      <c r="S1988" s="4">
        <f t="shared" ca="1" si="192"/>
        <v>7.1356456730950404</v>
      </c>
    </row>
    <row r="1989" spans="15:19" x14ac:dyDescent="0.2">
      <c r="O1989" s="4">
        <f t="shared" ca="1" si="188"/>
        <v>0.59895841919696757</v>
      </c>
      <c r="P1989" s="4">
        <f t="shared" ca="1" si="189"/>
        <v>0.25065201672353449</v>
      </c>
      <c r="Q1989" s="4">
        <f t="shared" ca="1" si="190"/>
        <v>1915.6707924459754</v>
      </c>
      <c r="R1989" s="4">
        <f t="shared" ca="1" si="191"/>
        <v>-7.9992515540245677</v>
      </c>
      <c r="S1989" s="4">
        <f t="shared" ca="1" si="192"/>
        <v>-4.0232519325942313</v>
      </c>
    </row>
    <row r="1990" spans="15:19" x14ac:dyDescent="0.2">
      <c r="O1990" s="4">
        <f t="shared" ca="1" si="188"/>
        <v>0.43224595770429286</v>
      </c>
      <c r="P1990" s="4">
        <f t="shared" ca="1" si="189"/>
        <v>-0.17065898429065732</v>
      </c>
      <c r="Q1990" s="4">
        <f t="shared" ca="1" si="190"/>
        <v>1928.4343905159149</v>
      </c>
      <c r="R1990" s="4">
        <f t="shared" ca="1" si="191"/>
        <v>4.7643465159148946</v>
      </c>
      <c r="S1990" s="4">
        <f t="shared" ca="1" si="192"/>
        <v>2.4209989361080506</v>
      </c>
    </row>
    <row r="1991" spans="15:19" x14ac:dyDescent="0.2">
      <c r="O1991" s="4">
        <f t="shared" ca="1" si="188"/>
        <v>0.87459177478525185</v>
      </c>
      <c r="P1991" s="4">
        <f t="shared" ca="1" si="189"/>
        <v>1.1483685517854743</v>
      </c>
      <c r="Q1991" s="4">
        <f t="shared" ca="1" si="190"/>
        <v>1888.4745098739868</v>
      </c>
      <c r="R1991" s="4">
        <f t="shared" ca="1" si="191"/>
        <v>-35.195534126013172</v>
      </c>
      <c r="S1991" s="4">
        <f t="shared" ca="1" si="192"/>
        <v>-17.312077031506668</v>
      </c>
    </row>
    <row r="1992" spans="15:19" x14ac:dyDescent="0.2">
      <c r="O1992" s="4">
        <f t="shared" ca="1" si="188"/>
        <v>0.94624156603607745</v>
      </c>
      <c r="P1992" s="4">
        <f t="shared" ca="1" si="189"/>
        <v>1.6094550881987517</v>
      </c>
      <c r="Q1992" s="4">
        <f t="shared" ca="1" si="190"/>
        <v>1874.505913725126</v>
      </c>
      <c r="R1992" s="4">
        <f t="shared" ca="1" si="191"/>
        <v>-49.164130274873969</v>
      </c>
      <c r="S1992" s="4">
        <f t="shared" ca="1" si="192"/>
        <v>-23.90343251260942</v>
      </c>
    </row>
    <row r="1993" spans="15:19" x14ac:dyDescent="0.2">
      <c r="O1993" s="4">
        <f t="shared" ca="1" si="188"/>
        <v>0.29497563725894227</v>
      </c>
      <c r="P1993" s="4">
        <f t="shared" ca="1" si="189"/>
        <v>-0.53890664118745168</v>
      </c>
      <c r="Q1993" s="4">
        <f t="shared" ca="1" si="190"/>
        <v>1939.5904369317773</v>
      </c>
      <c r="R1993" s="4">
        <f t="shared" ca="1" si="191"/>
        <v>15.920392931777315</v>
      </c>
      <c r="S1993" s="4">
        <f t="shared" ca="1" si="192"/>
        <v>8.1622341635062838</v>
      </c>
    </row>
    <row r="1994" spans="15:19" x14ac:dyDescent="0.2">
      <c r="O1994" s="4">
        <f t="shared" ca="1" si="188"/>
        <v>0.84934695210454902</v>
      </c>
      <c r="P1994" s="4">
        <f t="shared" ca="1" si="189"/>
        <v>1.0336365713055704</v>
      </c>
      <c r="Q1994" s="4">
        <f t="shared" ca="1" si="190"/>
        <v>1891.9503101286409</v>
      </c>
      <c r="R1994" s="4">
        <f t="shared" ca="1" si="191"/>
        <v>-31.71973387135904</v>
      </c>
      <c r="S1994" s="4">
        <f t="shared" ca="1" si="192"/>
        <v>-15.64727072922773</v>
      </c>
    </row>
    <row r="1995" spans="15:19" x14ac:dyDescent="0.2">
      <c r="O1995" s="4">
        <f t="shared" ca="1" si="188"/>
        <v>0.4423637461315354</v>
      </c>
      <c r="P1995" s="4">
        <f t="shared" ca="1" si="189"/>
        <v>-0.14497894922092147</v>
      </c>
      <c r="Q1995" s="4">
        <f t="shared" ca="1" si="190"/>
        <v>1927.6564149936451</v>
      </c>
      <c r="R1995" s="4">
        <f t="shared" ca="1" si="191"/>
        <v>3.986370993645096</v>
      </c>
      <c r="S1995" s="4">
        <f t="shared" ca="1" si="192"/>
        <v>2.0244088427423446</v>
      </c>
    </row>
    <row r="1996" spans="15:19" x14ac:dyDescent="0.2">
      <c r="O1996" s="4">
        <f t="shared" ca="1" si="188"/>
        <v>0.4035451366050401</v>
      </c>
      <c r="P1996" s="4">
        <f t="shared" ca="1" si="189"/>
        <v>-0.24418147562982825</v>
      </c>
      <c r="Q1996" s="4">
        <f t="shared" ca="1" si="190"/>
        <v>1930.6617511267104</v>
      </c>
      <c r="R1996" s="4">
        <f t="shared" ca="1" si="191"/>
        <v>6.9917071267104802</v>
      </c>
      <c r="S1996" s="4">
        <f t="shared" ca="1" si="192"/>
        <v>3.5591697898776693</v>
      </c>
    </row>
    <row r="1997" spans="15:19" x14ac:dyDescent="0.2">
      <c r="O1997" s="4">
        <f t="shared" ca="1" si="188"/>
        <v>0.70927635699421465</v>
      </c>
      <c r="P1997" s="4">
        <f t="shared" ca="1" si="189"/>
        <v>0.55127191792424102</v>
      </c>
      <c r="Q1997" s="4">
        <f t="shared" ca="1" si="190"/>
        <v>1906.5635258863219</v>
      </c>
      <c r="R1997" s="4">
        <f t="shared" ca="1" si="191"/>
        <v>-17.106518113678021</v>
      </c>
      <c r="S1997" s="4">
        <f t="shared" ca="1" si="192"/>
        <v>-8.5403651526172606</v>
      </c>
    </row>
    <row r="1998" spans="15:19" x14ac:dyDescent="0.2">
      <c r="O1998" s="4">
        <f t="shared" ca="1" si="188"/>
        <v>0.64342338929829679</v>
      </c>
      <c r="P1998" s="4">
        <f t="shared" ca="1" si="189"/>
        <v>0.36762453013115587</v>
      </c>
      <c r="Q1998" s="4">
        <f t="shared" ca="1" si="190"/>
        <v>1912.1271153457537</v>
      </c>
      <c r="R1998" s="4">
        <f t="shared" ca="1" si="191"/>
        <v>-11.542928654246225</v>
      </c>
      <c r="S1998" s="4">
        <f t="shared" ca="1" si="192"/>
        <v>-5.7889059679128083</v>
      </c>
    </row>
    <row r="1999" spans="15:19" x14ac:dyDescent="0.2">
      <c r="O1999" s="4">
        <f t="shared" ca="1" si="188"/>
        <v>0.48122750078798382</v>
      </c>
      <c r="P1999" s="4">
        <f t="shared" ca="1" si="189"/>
        <v>-4.7073056182903299E-2</v>
      </c>
      <c r="Q1999" s="4">
        <f t="shared" ca="1" si="190"/>
        <v>1924.6903603109818</v>
      </c>
      <c r="R1999" s="4">
        <f t="shared" ca="1" si="191"/>
        <v>1.0203163109817979</v>
      </c>
      <c r="S1999" s="4">
        <f t="shared" ca="1" si="192"/>
        <v>0.51691788805531347</v>
      </c>
    </row>
    <row r="2000" spans="15:19" x14ac:dyDescent="0.2">
      <c r="O2000" s="4">
        <f t="shared" ca="1" si="188"/>
        <v>0.96210207405284076</v>
      </c>
      <c r="P2000" s="4">
        <f t="shared" ca="1" si="189"/>
        <v>1.7756182985119686</v>
      </c>
      <c r="Q2000" s="4">
        <f t="shared" ca="1" si="190"/>
        <v>1869.4720066461668</v>
      </c>
      <c r="R2000" s="4">
        <f t="shared" ca="1" si="191"/>
        <v>-54.198037353833115</v>
      </c>
      <c r="S2000" s="4">
        <f t="shared" ca="1" si="192"/>
        <v>-26.239841135637761</v>
      </c>
    </row>
    <row r="2001" spans="15:19" x14ac:dyDescent="0.2">
      <c r="O2001" s="4">
        <f t="shared" ca="1" si="188"/>
        <v>5.4861392870277914E-3</v>
      </c>
      <c r="P2001" s="4">
        <f t="shared" ca="1" si="189"/>
        <v>-2.5435804528613337</v>
      </c>
      <c r="Q2001" s="4">
        <f t="shared" ca="1" si="190"/>
        <v>2000.3219410509328</v>
      </c>
      <c r="R2001" s="4">
        <f t="shared" ca="1" si="191"/>
        <v>76.651897050932803</v>
      </c>
      <c r="S2001" s="4">
        <f t="shared" ca="1" si="192"/>
        <v>41.193681743826801</v>
      </c>
    </row>
    <row r="2002" spans="15:19" x14ac:dyDescent="0.2">
      <c r="O2002" s="4">
        <f t="shared" ca="1" si="188"/>
        <v>0.45836920407929638</v>
      </c>
      <c r="P2002" s="4">
        <f t="shared" ca="1" si="189"/>
        <v>-0.10454304786601443</v>
      </c>
      <c r="Q2002" s="4">
        <f t="shared" ca="1" si="190"/>
        <v>1926.4314111574117</v>
      </c>
      <c r="R2002" s="4">
        <f t="shared" ca="1" si="191"/>
        <v>2.7613671574117689</v>
      </c>
      <c r="S2002" s="4">
        <f t="shared" ca="1" si="192"/>
        <v>1.4009350657398072</v>
      </c>
    </row>
    <row r="2003" spans="15:19" x14ac:dyDescent="0.2">
      <c r="O2003" s="4">
        <f t="shared" ca="1" si="188"/>
        <v>0.55168014278273392</v>
      </c>
      <c r="P2003" s="4">
        <f t="shared" ca="1" si="189"/>
        <v>0.12990736854971022</v>
      </c>
      <c r="Q2003" s="4">
        <f t="shared" ca="1" si="190"/>
        <v>1919.3287462014603</v>
      </c>
      <c r="R2003" s="4">
        <f t="shared" ca="1" si="191"/>
        <v>-4.3412977985396992</v>
      </c>
      <c r="S2003" s="4">
        <f t="shared" ca="1" si="192"/>
        <v>-2.1899354888378735</v>
      </c>
    </row>
    <row r="2004" spans="15:19" x14ac:dyDescent="0.2">
      <c r="O2004" s="4">
        <f t="shared" ca="1" si="188"/>
        <v>6.3725769649162212E-3</v>
      </c>
      <c r="P2004" s="4">
        <f t="shared" ca="1" si="189"/>
        <v>-2.4908119991042357</v>
      </c>
      <c r="Q2004" s="4">
        <f t="shared" ca="1" si="190"/>
        <v>1998.7233230872282</v>
      </c>
      <c r="R2004" s="4">
        <f t="shared" ca="1" si="191"/>
        <v>75.053279087228248</v>
      </c>
      <c r="S2004" s="4">
        <f t="shared" ca="1" si="192"/>
        <v>40.285723805516021</v>
      </c>
    </row>
    <row r="2005" spans="15:19" x14ac:dyDescent="0.2">
      <c r="O2005" s="4">
        <f t="shared" ca="1" si="188"/>
        <v>0.81197154048438269</v>
      </c>
      <c r="P2005" s="4">
        <f t="shared" ca="1" si="189"/>
        <v>0.88518489258104804</v>
      </c>
      <c r="Q2005" s="4">
        <f t="shared" ca="1" si="190"/>
        <v>1896.4476471444948</v>
      </c>
      <c r="R2005" s="4">
        <f t="shared" ca="1" si="191"/>
        <v>-27.222396855505167</v>
      </c>
      <c r="S2005" s="4">
        <f t="shared" ca="1" si="192"/>
        <v>-13.478581660259005</v>
      </c>
    </row>
    <row r="2006" spans="15:19" x14ac:dyDescent="0.2">
      <c r="O2006" s="4">
        <f t="shared" ca="1" si="188"/>
        <v>0.29966872987813864</v>
      </c>
      <c r="P2006" s="4">
        <f t="shared" ca="1" si="189"/>
        <v>-0.52535351815762454</v>
      </c>
      <c r="Q2006" s="4">
        <f t="shared" ca="1" si="190"/>
        <v>1939.1798456713339</v>
      </c>
      <c r="R2006" s="4">
        <f t="shared" ca="1" si="191"/>
        <v>15.509801671333889</v>
      </c>
      <c r="S2006" s="4">
        <f t="shared" ca="1" si="192"/>
        <v>7.9491356323819726</v>
      </c>
    </row>
    <row r="2007" spans="15:19" x14ac:dyDescent="0.2">
      <c r="O2007" s="4">
        <f t="shared" ca="1" si="188"/>
        <v>0.63351813095576315</v>
      </c>
      <c r="P2007" s="4">
        <f t="shared" ca="1" si="189"/>
        <v>0.3411857661342716</v>
      </c>
      <c r="Q2007" s="4">
        <f t="shared" ca="1" si="190"/>
        <v>1912.9280765271847</v>
      </c>
      <c r="R2007" s="4">
        <f t="shared" ca="1" si="191"/>
        <v>-10.741967472815304</v>
      </c>
      <c r="S2007" s="4">
        <f t="shared" ca="1" si="192"/>
        <v>-5.3907174882159321</v>
      </c>
    </row>
    <row r="2008" spans="15:19" x14ac:dyDescent="0.2">
      <c r="O2008" s="4">
        <f t="shared" ca="1" si="188"/>
        <v>0.36827370444864349</v>
      </c>
      <c r="P2008" s="4">
        <f t="shared" ca="1" si="189"/>
        <v>-0.3364289667507116</v>
      </c>
      <c r="Q2008" s="4">
        <f t="shared" ca="1" si="190"/>
        <v>1933.4563847745217</v>
      </c>
      <c r="R2008" s="4">
        <f t="shared" ca="1" si="191"/>
        <v>9.7863407745217046</v>
      </c>
      <c r="S2008" s="4">
        <f t="shared" ca="1" si="192"/>
        <v>4.9929275798267909</v>
      </c>
    </row>
    <row r="2009" spans="15:19" x14ac:dyDescent="0.2">
      <c r="O2009" s="4">
        <f t="shared" ca="1" si="188"/>
        <v>0.67746942631582829</v>
      </c>
      <c r="P2009" s="4">
        <f t="shared" ca="1" si="189"/>
        <v>0.46063409284944407</v>
      </c>
      <c r="Q2009" s="4">
        <f t="shared" ca="1" si="190"/>
        <v>1909.3093947727345</v>
      </c>
      <c r="R2009" s="4">
        <f t="shared" ca="1" si="191"/>
        <v>-14.360649227265412</v>
      </c>
      <c r="S2009" s="4">
        <f t="shared" ca="1" si="192"/>
        <v>-7.1855521275269476</v>
      </c>
    </row>
    <row r="2010" spans="15:19" x14ac:dyDescent="0.2">
      <c r="O2010" s="4">
        <f t="shared" ca="1" si="188"/>
        <v>0.97865278782865006</v>
      </c>
      <c r="P2010" s="4">
        <f t="shared" ca="1" si="189"/>
        <v>2.0266870826329573</v>
      </c>
      <c r="Q2010" s="4">
        <f t="shared" ca="1" si="190"/>
        <v>1861.8658889784233</v>
      </c>
      <c r="R2010" s="4">
        <f t="shared" ca="1" si="191"/>
        <v>-61.804155021576662</v>
      </c>
      <c r="S2010" s="4">
        <f t="shared" ca="1" si="192"/>
        <v>-29.730964506323872</v>
      </c>
    </row>
    <row r="2011" spans="15:19" x14ac:dyDescent="0.2">
      <c r="O2011" s="4">
        <f t="shared" ca="1" si="188"/>
        <v>0.81099797477340563</v>
      </c>
      <c r="P2011" s="4">
        <f t="shared" ca="1" si="189"/>
        <v>0.88157985964601837</v>
      </c>
      <c r="Q2011" s="4">
        <f t="shared" ca="1" si="190"/>
        <v>1896.5568614572014</v>
      </c>
      <c r="R2011" s="4">
        <f t="shared" ca="1" si="191"/>
        <v>-27.11318254279854</v>
      </c>
      <c r="S2011" s="4">
        <f t="shared" ca="1" si="192"/>
        <v>-13.425711944968485</v>
      </c>
    </row>
    <row r="2012" spans="15:19" x14ac:dyDescent="0.2">
      <c r="O2012" s="4">
        <f t="shared" ca="1" si="188"/>
        <v>0.90395611392890407</v>
      </c>
      <c r="P2012" s="4">
        <f t="shared" ca="1" si="189"/>
        <v>1.3044277693984319</v>
      </c>
      <c r="Q2012" s="4">
        <f t="shared" ca="1" si="190"/>
        <v>1883.7467028052749</v>
      </c>
      <c r="R2012" s="4">
        <f t="shared" ca="1" si="191"/>
        <v>-39.923341194725026</v>
      </c>
      <c r="S2012" s="4">
        <f t="shared" ca="1" si="192"/>
        <v>-19.560769640020776</v>
      </c>
    </row>
    <row r="2013" spans="15:19" x14ac:dyDescent="0.2">
      <c r="O2013" s="4">
        <f t="shared" ca="1" si="188"/>
        <v>0.28672995429098236</v>
      </c>
      <c r="P2013" s="4">
        <f t="shared" ca="1" si="189"/>
        <v>-0.56296325043059192</v>
      </c>
      <c r="Q2013" s="4">
        <f t="shared" ca="1" si="190"/>
        <v>1940.319230840709</v>
      </c>
      <c r="R2013" s="4">
        <f t="shared" ca="1" si="191"/>
        <v>16.649186840709035</v>
      </c>
      <c r="S2013" s="4">
        <f t="shared" ca="1" si="192"/>
        <v>8.5408191819736565</v>
      </c>
    </row>
    <row r="2014" spans="15:19" x14ac:dyDescent="0.2">
      <c r="O2014" s="4">
        <f t="shared" ca="1" si="188"/>
        <v>0.69027128261250248</v>
      </c>
      <c r="P2014" s="4">
        <f t="shared" ca="1" si="189"/>
        <v>0.49661944982169604</v>
      </c>
      <c r="Q2014" s="4">
        <f t="shared" ca="1" si="190"/>
        <v>1908.2192199809738</v>
      </c>
      <c r="R2014" s="4">
        <f t="shared" ca="1" si="191"/>
        <v>-15.450824019026186</v>
      </c>
      <c r="S2014" s="4">
        <f t="shared" ca="1" si="192"/>
        <v>-7.7241796507867955</v>
      </c>
    </row>
    <row r="2015" spans="15:19" x14ac:dyDescent="0.2">
      <c r="O2015" s="4">
        <f t="shared" ca="1" si="188"/>
        <v>0.37037541103681226</v>
      </c>
      <c r="P2015" s="4">
        <f t="shared" ca="1" si="189"/>
        <v>-0.33085922577654564</v>
      </c>
      <c r="Q2015" s="4">
        <f t="shared" ca="1" si="190"/>
        <v>1933.2876497190002</v>
      </c>
      <c r="R2015" s="4">
        <f t="shared" ca="1" si="191"/>
        <v>9.6176057190002666</v>
      </c>
      <c r="S2015" s="4">
        <f t="shared" ca="1" si="192"/>
        <v>4.906179446046667</v>
      </c>
    </row>
    <row r="2016" spans="15:19" x14ac:dyDescent="0.2">
      <c r="O2016" s="4">
        <f t="shared" ca="1" si="188"/>
        <v>0.58608109643553752</v>
      </c>
      <c r="P2016" s="4">
        <f t="shared" ca="1" si="189"/>
        <v>0.21747548863104829</v>
      </c>
      <c r="Q2016" s="4">
        <f t="shared" ca="1" si="190"/>
        <v>1916.675873891533</v>
      </c>
      <c r="R2016" s="4">
        <f t="shared" ca="1" si="191"/>
        <v>-6.9941701084669603</v>
      </c>
      <c r="S2016" s="4">
        <f t="shared" ca="1" si="192"/>
        <v>-3.5206042346167936</v>
      </c>
    </row>
    <row r="2017" spans="15:19" x14ac:dyDescent="0.2">
      <c r="O2017" s="4">
        <f t="shared" ca="1" si="188"/>
        <v>0.47921201891368215</v>
      </c>
      <c r="P2017" s="4">
        <f t="shared" ca="1" si="189"/>
        <v>-5.2131344233803556E-2</v>
      </c>
      <c r="Q2017" s="4">
        <f t="shared" ca="1" si="190"/>
        <v>1924.8436009229006</v>
      </c>
      <c r="R2017" s="4">
        <f t="shared" ca="1" si="191"/>
        <v>1.173556922900616</v>
      </c>
      <c r="S2017" s="4">
        <f t="shared" ca="1" si="192"/>
        <v>0.59462663958302675</v>
      </c>
    </row>
    <row r="2018" spans="15:19" x14ac:dyDescent="0.2">
      <c r="O2018" s="4">
        <f t="shared" ca="1" si="188"/>
        <v>9.8820393060981004E-3</v>
      </c>
      <c r="P2018" s="4">
        <f t="shared" ca="1" si="189"/>
        <v>-2.3307967683756723</v>
      </c>
      <c r="Q2018" s="4">
        <f t="shared" ca="1" si="190"/>
        <v>1993.8756687768221</v>
      </c>
      <c r="R2018" s="4">
        <f t="shared" ca="1" si="191"/>
        <v>70.205624776822106</v>
      </c>
      <c r="S2018" s="4">
        <f t="shared" ca="1" si="192"/>
        <v>37.545149829702332</v>
      </c>
    </row>
    <row r="2019" spans="15:19" x14ac:dyDescent="0.2">
      <c r="O2019" s="4">
        <f t="shared" ca="1" si="188"/>
        <v>0.74907832952919651</v>
      </c>
      <c r="P2019" s="4">
        <f t="shared" ca="1" si="189"/>
        <v>0.67159220678701126</v>
      </c>
      <c r="Q2019" s="4">
        <f t="shared" ca="1" si="190"/>
        <v>1902.9184280773243</v>
      </c>
      <c r="R2019" s="4">
        <f t="shared" ca="1" si="191"/>
        <v>-20.751615922675683</v>
      </c>
      <c r="S2019" s="4">
        <f t="shared" ca="1" si="192"/>
        <v>-10.32937519722315</v>
      </c>
    </row>
    <row r="2020" spans="15:19" x14ac:dyDescent="0.2">
      <c r="O2020" s="4">
        <f t="shared" ca="1" si="188"/>
        <v>3.9925843208019618E-2</v>
      </c>
      <c r="P2020" s="4">
        <f t="shared" ca="1" si="189"/>
        <v>-1.7515472696700412</v>
      </c>
      <c r="Q2020" s="4">
        <f t="shared" ca="1" si="190"/>
        <v>1976.327330931631</v>
      </c>
      <c r="R2020" s="4">
        <f t="shared" ca="1" si="191"/>
        <v>52.657286931631006</v>
      </c>
      <c r="S2020" s="4">
        <f t="shared" ca="1" si="192"/>
        <v>27.784351842214065</v>
      </c>
    </row>
    <row r="2021" spans="15:19" x14ac:dyDescent="0.2">
      <c r="O2021" s="4">
        <f t="shared" ca="1" si="188"/>
        <v>0.10552617864119063</v>
      </c>
      <c r="P2021" s="4">
        <f t="shared" ca="1" si="189"/>
        <v>-1.2506769666313211</v>
      </c>
      <c r="Q2021" s="4">
        <f t="shared" ca="1" si="190"/>
        <v>1961.1534873392113</v>
      </c>
      <c r="R2021" s="4">
        <f t="shared" ca="1" si="191"/>
        <v>37.483443339211362</v>
      </c>
      <c r="S2021" s="4">
        <f t="shared" ca="1" si="192"/>
        <v>19.546421897332529</v>
      </c>
    </row>
    <row r="2022" spans="15:19" x14ac:dyDescent="0.2">
      <c r="O2022" s="4">
        <f t="shared" ca="1" si="188"/>
        <v>0.80398763478195023</v>
      </c>
      <c r="P2022" s="4">
        <f t="shared" ca="1" si="189"/>
        <v>0.85595127664141168</v>
      </c>
      <c r="Q2022" s="4">
        <f t="shared" ca="1" si="190"/>
        <v>1897.3332782414429</v>
      </c>
      <c r="R2022" s="4">
        <f t="shared" ca="1" si="191"/>
        <v>-26.336765758557021</v>
      </c>
      <c r="S2022" s="4">
        <f t="shared" ca="1" si="192"/>
        <v>-13.049575307535365</v>
      </c>
    </row>
    <row r="2023" spans="15:19" x14ac:dyDescent="0.2">
      <c r="O2023" s="4">
        <f t="shared" ca="1" si="188"/>
        <v>0.77425496514190939</v>
      </c>
      <c r="P2023" s="4">
        <f t="shared" ca="1" si="189"/>
        <v>0.75293317782507319</v>
      </c>
      <c r="Q2023" s="4">
        <f t="shared" ca="1" si="190"/>
        <v>1900.4542069711836</v>
      </c>
      <c r="R2023" s="4">
        <f t="shared" ca="1" si="191"/>
        <v>-23.215837028816395</v>
      </c>
      <c r="S2023" s="4">
        <f t="shared" ca="1" si="192"/>
        <v>-11.532683928768723</v>
      </c>
    </row>
    <row r="2024" spans="15:19" x14ac:dyDescent="0.2">
      <c r="O2024" s="4">
        <f t="shared" ca="1" si="188"/>
        <v>1.6432455076154873E-2</v>
      </c>
      <c r="P2024" s="4">
        <f t="shared" ca="1" si="189"/>
        <v>-2.1337297398431851</v>
      </c>
      <c r="Q2024" s="4">
        <f t="shared" ca="1" si="190"/>
        <v>1987.9055318970084</v>
      </c>
      <c r="R2024" s="4">
        <f t="shared" ca="1" si="191"/>
        <v>64.235487897008397</v>
      </c>
      <c r="S2024" s="4">
        <f t="shared" ca="1" si="192"/>
        <v>34.196281340548403</v>
      </c>
    </row>
    <row r="2025" spans="15:19" x14ac:dyDescent="0.2">
      <c r="O2025" s="4">
        <f t="shared" ca="1" si="188"/>
        <v>0.15113406156722553</v>
      </c>
      <c r="P2025" s="4">
        <f t="shared" ca="1" si="189"/>
        <v>-1.0315816865990168</v>
      </c>
      <c r="Q2025" s="4">
        <f t="shared" ca="1" si="190"/>
        <v>1954.516005558243</v>
      </c>
      <c r="R2025" s="4">
        <f t="shared" ca="1" si="191"/>
        <v>30.845961558243062</v>
      </c>
      <c r="S2025" s="4">
        <f t="shared" ca="1" si="192"/>
        <v>16.001843391690052</v>
      </c>
    </row>
    <row r="2026" spans="15:19" x14ac:dyDescent="0.2">
      <c r="O2026" s="4">
        <f t="shared" ca="1" si="188"/>
        <v>0.27211720408340656</v>
      </c>
      <c r="P2026" s="4">
        <f t="shared" ca="1" si="189"/>
        <v>-0.60642223349856483</v>
      </c>
      <c r="Q2026" s="4">
        <f t="shared" ca="1" si="190"/>
        <v>1941.6358188032177</v>
      </c>
      <c r="R2026" s="4">
        <f t="shared" ca="1" si="191"/>
        <v>17.965774803217755</v>
      </c>
      <c r="S2026" s="4">
        <f t="shared" ca="1" si="192"/>
        <v>9.2258405315408698</v>
      </c>
    </row>
    <row r="2027" spans="15:19" x14ac:dyDescent="0.2">
      <c r="O2027" s="4">
        <f t="shared" ca="1" si="188"/>
        <v>0.28668114019740532</v>
      </c>
      <c r="P2027" s="4">
        <f t="shared" ca="1" si="189"/>
        <v>-0.56310662517293353</v>
      </c>
      <c r="Q2027" s="4">
        <f t="shared" ca="1" si="190"/>
        <v>1940.3235743721625</v>
      </c>
      <c r="R2027" s="4">
        <f t="shared" ca="1" si="191"/>
        <v>16.65353037216255</v>
      </c>
      <c r="S2027" s="4">
        <f t="shared" ca="1" si="192"/>
        <v>8.5430768032731823</v>
      </c>
    </row>
    <row r="2028" spans="15:19" x14ac:dyDescent="0.2">
      <c r="O2028" s="4">
        <f t="shared" ca="1" si="188"/>
        <v>0.47379254115704517</v>
      </c>
      <c r="P2028" s="4">
        <f t="shared" ca="1" si="189"/>
        <v>-6.5739677913928429E-2</v>
      </c>
      <c r="Q2028" s="4">
        <f t="shared" ca="1" si="190"/>
        <v>1925.2558647875437</v>
      </c>
      <c r="R2028" s="4">
        <f t="shared" ca="1" si="191"/>
        <v>1.5858207875437529</v>
      </c>
      <c r="S2028" s="4">
        <f t="shared" ca="1" si="192"/>
        <v>0.80378172453117613</v>
      </c>
    </row>
    <row r="2029" spans="15:19" x14ac:dyDescent="0.2">
      <c r="O2029" s="4">
        <f t="shared" ca="1" si="188"/>
        <v>0.25435406806811067</v>
      </c>
      <c r="P2029" s="4">
        <f t="shared" ca="1" si="189"/>
        <v>-0.66085058902436655</v>
      </c>
      <c r="Q2029" s="4">
        <f t="shared" ca="1" si="190"/>
        <v>1943.2847234173075</v>
      </c>
      <c r="R2029" s="4">
        <f t="shared" ca="1" si="191"/>
        <v>19.61467941730757</v>
      </c>
      <c r="S2029" s="4">
        <f t="shared" ca="1" si="192"/>
        <v>10.085756887576126</v>
      </c>
    </row>
    <row r="2030" spans="15:19" x14ac:dyDescent="0.2">
      <c r="O2030" s="4">
        <f t="shared" ca="1" si="188"/>
        <v>0.32577010842763787</v>
      </c>
      <c r="P2030" s="4">
        <f t="shared" ca="1" si="189"/>
        <v>-0.45162352872926131</v>
      </c>
      <c r="Q2030" s="4">
        <f t="shared" ca="1" si="190"/>
        <v>1936.9461989151387</v>
      </c>
      <c r="R2030" s="4">
        <f t="shared" ca="1" si="191"/>
        <v>13.276154915138704</v>
      </c>
      <c r="S2030" s="4">
        <f t="shared" ca="1" si="192"/>
        <v>6.7922681679535275</v>
      </c>
    </row>
    <row r="2031" spans="15:19" x14ac:dyDescent="0.2">
      <c r="O2031" s="4">
        <f t="shared" ca="1" si="188"/>
        <v>0.42594119558752019</v>
      </c>
      <c r="P2031" s="4">
        <f t="shared" ca="1" si="189"/>
        <v>-0.18671717250462347</v>
      </c>
      <c r="Q2031" s="4">
        <f t="shared" ca="1" si="190"/>
        <v>1928.92087261489</v>
      </c>
      <c r="R2031" s="4">
        <f t="shared" ca="1" si="191"/>
        <v>5.250828614889997</v>
      </c>
      <c r="S2031" s="4">
        <f t="shared" ca="1" si="192"/>
        <v>2.6692442637288853</v>
      </c>
    </row>
    <row r="2032" spans="15:19" x14ac:dyDescent="0.2">
      <c r="O2032" s="4">
        <f t="shared" ca="1" si="188"/>
        <v>0.42875277704751602</v>
      </c>
      <c r="P2032" s="4">
        <f t="shared" ca="1" si="189"/>
        <v>-0.17955039068128351</v>
      </c>
      <c r="Q2032" s="4">
        <f t="shared" ca="1" si="190"/>
        <v>1928.7037552777495</v>
      </c>
      <c r="R2032" s="4">
        <f t="shared" ca="1" si="191"/>
        <v>5.0337112777494895</v>
      </c>
      <c r="S2032" s="4">
        <f t="shared" ca="1" si="192"/>
        <v>2.5584283750173533</v>
      </c>
    </row>
    <row r="2033" spans="15:19" x14ac:dyDescent="0.2">
      <c r="O2033" s="4">
        <f t="shared" ca="1" si="188"/>
        <v>0.95933888186908711</v>
      </c>
      <c r="P2033" s="4">
        <f t="shared" ca="1" si="189"/>
        <v>1.7430651441951419</v>
      </c>
      <c r="Q2033" s="4">
        <f t="shared" ca="1" si="190"/>
        <v>1870.4582030108675</v>
      </c>
      <c r="R2033" s="4">
        <f t="shared" ca="1" si="191"/>
        <v>-53.211840989132497</v>
      </c>
      <c r="S2033" s="4">
        <f t="shared" ca="1" si="192"/>
        <v>-25.783738592259031</v>
      </c>
    </row>
    <row r="2034" spans="15:19" x14ac:dyDescent="0.2">
      <c r="O2034" s="4">
        <f t="shared" ca="1" si="188"/>
        <v>0.47180524436966575</v>
      </c>
      <c r="P2034" s="4">
        <f t="shared" ca="1" si="189"/>
        <v>-7.073270807975976E-2</v>
      </c>
      <c r="Q2034" s="4">
        <f t="shared" ca="1" si="190"/>
        <v>1925.4071284147321</v>
      </c>
      <c r="R2034" s="4">
        <f t="shared" ca="1" si="191"/>
        <v>1.7370844147321804</v>
      </c>
      <c r="S2034" s="4">
        <f t="shared" ca="1" si="192"/>
        <v>0.88055746134247492</v>
      </c>
    </row>
    <row r="2035" spans="15:19" x14ac:dyDescent="0.2">
      <c r="O2035" s="4">
        <f t="shared" ca="1" si="188"/>
        <v>3.9587357907721499E-2</v>
      </c>
      <c r="P2035" s="4">
        <f t="shared" ca="1" si="189"/>
        <v>-1.7554947620983863</v>
      </c>
      <c r="Q2035" s="4">
        <f t="shared" ca="1" si="190"/>
        <v>1976.4469200394831</v>
      </c>
      <c r="R2035" s="4">
        <f t="shared" ca="1" si="191"/>
        <v>52.776876039483113</v>
      </c>
      <c r="S2035" s="4">
        <f t="shared" ca="1" si="192"/>
        <v>27.850021665261792</v>
      </c>
    </row>
    <row r="2036" spans="15:19" x14ac:dyDescent="0.2">
      <c r="O2036" s="4">
        <f t="shared" ca="1" si="188"/>
        <v>0.96896305158417728</v>
      </c>
      <c r="P2036" s="4">
        <f t="shared" ca="1" si="189"/>
        <v>1.8657675311439701</v>
      </c>
      <c r="Q2036" s="4">
        <f t="shared" ca="1" si="190"/>
        <v>1866.7409396461157</v>
      </c>
      <c r="R2036" s="4">
        <f t="shared" ca="1" si="191"/>
        <v>-56.929104353884213</v>
      </c>
      <c r="S2036" s="4">
        <f t="shared" ca="1" si="192"/>
        <v>-27.498790254399097</v>
      </c>
    </row>
    <row r="2037" spans="15:19" x14ac:dyDescent="0.2">
      <c r="O2037" s="4">
        <f t="shared" ca="1" si="188"/>
        <v>0.84484091320447674</v>
      </c>
      <c r="P2037" s="4">
        <f t="shared" ca="1" si="189"/>
        <v>1.0145546345061032</v>
      </c>
      <c r="Q2037" s="4">
        <f t="shared" ca="1" si="190"/>
        <v>1892.5283965567619</v>
      </c>
      <c r="R2037" s="4">
        <f t="shared" ca="1" si="191"/>
        <v>-31.141647443238071</v>
      </c>
      <c r="S2037" s="4">
        <f t="shared" ca="1" si="192"/>
        <v>-15.369430332362498</v>
      </c>
    </row>
    <row r="2038" spans="15:19" x14ac:dyDescent="0.2">
      <c r="O2038" s="4">
        <f t="shared" ca="1" si="188"/>
        <v>0.54850491557991776</v>
      </c>
      <c r="P2038" s="4">
        <f t="shared" ca="1" si="189"/>
        <v>0.12188490716312846</v>
      </c>
      <c r="Q2038" s="4">
        <f t="shared" ca="1" si="190"/>
        <v>1919.5717863129778</v>
      </c>
      <c r="R2038" s="4">
        <f t="shared" ca="1" si="191"/>
        <v>-4.0982576870221692</v>
      </c>
      <c r="S2038" s="4">
        <f t="shared" ca="1" si="192"/>
        <v>-2.0677411640812733</v>
      </c>
    </row>
    <row r="2039" spans="15:19" x14ac:dyDescent="0.2">
      <c r="O2039" s="4">
        <f t="shared" ca="1" si="188"/>
        <v>0.45504561681034883</v>
      </c>
      <c r="P2039" s="4">
        <f t="shared" ca="1" si="189"/>
        <v>-0.1129234641377536</v>
      </c>
      <c r="Q2039" s="4">
        <f t="shared" ca="1" si="190"/>
        <v>1926.6852954962819</v>
      </c>
      <c r="R2039" s="4">
        <f t="shared" ca="1" si="191"/>
        <v>3.0152514962819623</v>
      </c>
      <c r="S2039" s="4">
        <f t="shared" ca="1" si="192"/>
        <v>1.5300508097291416</v>
      </c>
    </row>
    <row r="2040" spans="15:19" x14ac:dyDescent="0.2">
      <c r="O2040" s="4">
        <f t="shared" ca="1" si="188"/>
        <v>0.74700664251841487</v>
      </c>
      <c r="P2040" s="4">
        <f t="shared" ca="1" si="189"/>
        <v>0.66509971808635482</v>
      </c>
      <c r="Q2040" s="4">
        <f t="shared" ca="1" si="190"/>
        <v>1903.1151177342506</v>
      </c>
      <c r="R2040" s="4">
        <f t="shared" ca="1" si="191"/>
        <v>-20.554926265749373</v>
      </c>
      <c r="S2040" s="4">
        <f t="shared" ca="1" si="192"/>
        <v>-10.233116228591758</v>
      </c>
    </row>
    <row r="2041" spans="15:19" x14ac:dyDescent="0.2">
      <c r="O2041" s="4">
        <f t="shared" ca="1" si="188"/>
        <v>0.24299640587202576</v>
      </c>
      <c r="P2041" s="4">
        <f t="shared" ca="1" si="189"/>
        <v>-0.69669640076565942</v>
      </c>
      <c r="Q2041" s="4">
        <f t="shared" ca="1" si="190"/>
        <v>1944.3706706924922</v>
      </c>
      <c r="R2041" s="4">
        <f t="shared" ca="1" si="191"/>
        <v>20.700626692492278</v>
      </c>
      <c r="S2041" s="4">
        <f t="shared" ca="1" si="192"/>
        <v>10.653295646553575</v>
      </c>
    </row>
    <row r="2042" spans="15:19" x14ac:dyDescent="0.2">
      <c r="O2042" s="4">
        <f t="shared" ca="1" si="188"/>
        <v>0.52287794697667278</v>
      </c>
      <c r="P2042" s="4">
        <f t="shared" ca="1" si="189"/>
        <v>5.7377976819666297E-2</v>
      </c>
      <c r="Q2042" s="4">
        <f t="shared" ca="1" si="190"/>
        <v>1921.5260209036899</v>
      </c>
      <c r="R2042" s="4">
        <f t="shared" ca="1" si="191"/>
        <v>-2.144023096310093</v>
      </c>
      <c r="S2042" s="4">
        <f t="shared" ca="1" si="192"/>
        <v>-1.0834542617761482</v>
      </c>
    </row>
    <row r="2043" spans="15:19" x14ac:dyDescent="0.2">
      <c r="O2043" s="4">
        <f t="shared" ca="1" si="188"/>
        <v>0.37200968275773583</v>
      </c>
      <c r="P2043" s="4">
        <f t="shared" ca="1" si="189"/>
        <v>-0.32653532716220213</v>
      </c>
      <c r="Q2043" s="4">
        <f t="shared" ca="1" si="190"/>
        <v>1933.1566574024555</v>
      </c>
      <c r="R2043" s="4">
        <f t="shared" ca="1" si="191"/>
        <v>9.4866134024555322</v>
      </c>
      <c r="S2043" s="4">
        <f t="shared" ca="1" si="192"/>
        <v>4.8388511592077359</v>
      </c>
    </row>
    <row r="2044" spans="15:19" x14ac:dyDescent="0.2">
      <c r="O2044" s="4">
        <f t="shared" ca="1" si="188"/>
        <v>0.29660999657766007</v>
      </c>
      <c r="P2044" s="4">
        <f t="shared" ca="1" si="189"/>
        <v>-0.53417568053559106</v>
      </c>
      <c r="Q2044" s="4">
        <f t="shared" ca="1" si="190"/>
        <v>1939.4471126888789</v>
      </c>
      <c r="R2044" s="4">
        <f t="shared" ca="1" si="191"/>
        <v>15.777068688878899</v>
      </c>
      <c r="S2044" s="4">
        <f t="shared" ca="1" si="192"/>
        <v>8.0878327064319304</v>
      </c>
    </row>
    <row r="2045" spans="15:19" x14ac:dyDescent="0.2">
      <c r="O2045" s="4">
        <f t="shared" ca="1" si="188"/>
        <v>0.14368078557932984</v>
      </c>
      <c r="P2045" s="4">
        <f t="shared" ca="1" si="189"/>
        <v>-1.0639274402565642</v>
      </c>
      <c r="Q2045" s="4">
        <f t="shared" ca="1" si="190"/>
        <v>1955.4959187291795</v>
      </c>
      <c r="R2045" s="4">
        <f t="shared" ca="1" si="191"/>
        <v>31.825874729179532</v>
      </c>
      <c r="S2045" s="4">
        <f t="shared" ca="1" si="192"/>
        <v>16.522884362166579</v>
      </c>
    </row>
    <row r="2046" spans="15:19" x14ac:dyDescent="0.2">
      <c r="O2046" s="4">
        <f t="shared" ca="1" si="188"/>
        <v>0.83933070602045701</v>
      </c>
      <c r="P2046" s="4">
        <f t="shared" ca="1" si="189"/>
        <v>0.99171086800536068</v>
      </c>
      <c r="Q2046" s="4">
        <f t="shared" ca="1" si="190"/>
        <v>1893.2204474486614</v>
      </c>
      <c r="R2046" s="4">
        <f t="shared" ca="1" si="191"/>
        <v>-30.449596551338573</v>
      </c>
      <c r="S2046" s="4">
        <f t="shared" ca="1" si="192"/>
        <v>-15.03645842306979</v>
      </c>
    </row>
    <row r="2047" spans="15:19" x14ac:dyDescent="0.2">
      <c r="O2047" s="4">
        <f t="shared" ca="1" si="188"/>
        <v>0.11779722614429444</v>
      </c>
      <c r="P2047" s="4">
        <f t="shared" ca="1" si="189"/>
        <v>-1.1860705177790805</v>
      </c>
      <c r="Q2047" s="4">
        <f t="shared" ca="1" si="190"/>
        <v>1959.1962378396943</v>
      </c>
      <c r="R2047" s="4">
        <f t="shared" ca="1" si="191"/>
        <v>35.526193839694315</v>
      </c>
      <c r="S2047" s="4">
        <f t="shared" ca="1" si="192"/>
        <v>18.497473620517262</v>
      </c>
    </row>
    <row r="2048" spans="15:19" x14ac:dyDescent="0.2">
      <c r="O2048" s="4">
        <f t="shared" ca="1" si="188"/>
        <v>0.21097094663286242</v>
      </c>
      <c r="P2048" s="4">
        <f t="shared" ca="1" si="189"/>
        <v>-0.80305682097259568</v>
      </c>
      <c r="Q2048" s="4">
        <f t="shared" ca="1" si="190"/>
        <v>1947.5928549003652</v>
      </c>
      <c r="R2048" s="4">
        <f t="shared" ca="1" si="191"/>
        <v>23.922810900365221</v>
      </c>
      <c r="S2048" s="4">
        <f t="shared" ca="1" si="192"/>
        <v>12.342927276102348</v>
      </c>
    </row>
    <row r="2049" spans="15:19" x14ac:dyDescent="0.2">
      <c r="O2049" s="4">
        <f t="shared" ca="1" si="188"/>
        <v>0.6859667558520457</v>
      </c>
      <c r="P2049" s="4">
        <f t="shared" ca="1" si="189"/>
        <v>0.48445007422029956</v>
      </c>
      <c r="Q2049" s="4">
        <f t="shared" ca="1" si="190"/>
        <v>1908.5878906745102</v>
      </c>
      <c r="R2049" s="4">
        <f t="shared" ca="1" si="191"/>
        <v>-15.082153325489799</v>
      </c>
      <c r="S2049" s="4">
        <f t="shared" ca="1" si="192"/>
        <v>-7.5421371557422905</v>
      </c>
    </row>
    <row r="2050" spans="15:19" x14ac:dyDescent="0.2">
      <c r="O2050" s="4">
        <f t="shared" ca="1" si="188"/>
        <v>0.99584706723946059</v>
      </c>
      <c r="P2050" s="4">
        <f t="shared" ca="1" si="189"/>
        <v>2.6393766009471378</v>
      </c>
      <c r="Q2050" s="4">
        <f t="shared" ca="1" si="190"/>
        <v>1843.3044872238945</v>
      </c>
      <c r="R2050" s="4">
        <f t="shared" ca="1" si="191"/>
        <v>-80.36555677610545</v>
      </c>
      <c r="S2050" s="4">
        <f t="shared" ca="1" si="192"/>
        <v>-38.052725464828455</v>
      </c>
    </row>
    <row r="2051" spans="15:19" x14ac:dyDescent="0.2">
      <c r="O2051" s="4">
        <f t="shared" ref="O2051:O2114" ca="1" si="193">RAND()</f>
        <v>0.42252527072020662</v>
      </c>
      <c r="P2051" s="4">
        <f t="shared" ref="P2051:P2114" ca="1" si="194">NORMSINV(O2051)</f>
        <v>-0.1954373983020635</v>
      </c>
      <c r="Q2051" s="4">
        <f t="shared" ref="Q2051:Q2114" ca="1" si="195">$B$4*(1+$B$17-$B$6/SQRT(252)*P2051)</f>
        <v>1929.185051468254</v>
      </c>
      <c r="R2051" s="4">
        <f t="shared" ref="R2051:R2114" ca="1" si="196">Q2051-$B$4</f>
        <v>5.515007468253998</v>
      </c>
      <c r="S2051" s="4">
        <f t="shared" ref="S2051:S2114" ca="1" si="197">R2051*$B$12+0.5*$B$13*R2051^2</f>
        <v>2.8041319350303713</v>
      </c>
    </row>
    <row r="2052" spans="15:19" x14ac:dyDescent="0.2">
      <c r="O2052" s="4">
        <f t="shared" ca="1" si="193"/>
        <v>0.6444249877049848</v>
      </c>
      <c r="P2052" s="4">
        <f t="shared" ca="1" si="194"/>
        <v>0.37031201218645105</v>
      </c>
      <c r="Q2052" s="4">
        <f t="shared" ca="1" si="195"/>
        <v>1912.0456981962102</v>
      </c>
      <c r="R2052" s="4">
        <f t="shared" ca="1" si="196"/>
        <v>-11.624345803789765</v>
      </c>
      <c r="S2052" s="4">
        <f t="shared" ca="1" si="197"/>
        <v>-5.8293523070367552</v>
      </c>
    </row>
    <row r="2053" spans="15:19" x14ac:dyDescent="0.2">
      <c r="O2053" s="4">
        <f t="shared" ca="1" si="193"/>
        <v>8.4867044277812664E-2</v>
      </c>
      <c r="P2053" s="4">
        <f t="shared" ca="1" si="194"/>
        <v>-1.3730587333324735</v>
      </c>
      <c r="Q2053" s="4">
        <f t="shared" ca="1" si="195"/>
        <v>1964.8610375277954</v>
      </c>
      <c r="R2053" s="4">
        <f t="shared" ca="1" si="196"/>
        <v>41.190993527795399</v>
      </c>
      <c r="S2053" s="4">
        <f t="shared" ca="1" si="197"/>
        <v>21.541957905570897</v>
      </c>
    </row>
    <row r="2054" spans="15:19" x14ac:dyDescent="0.2">
      <c r="O2054" s="4">
        <f t="shared" ca="1" si="193"/>
        <v>0.28639617035984155</v>
      </c>
      <c r="P2054" s="4">
        <f t="shared" ca="1" si="194"/>
        <v>-0.56394385803626179</v>
      </c>
      <c r="Q2054" s="4">
        <f t="shared" ca="1" si="195"/>
        <v>1940.3489383045844</v>
      </c>
      <c r="R2054" s="4">
        <f t="shared" ca="1" si="196"/>
        <v>16.678894304584446</v>
      </c>
      <c r="S2054" s="4">
        <f t="shared" ca="1" si="197"/>
        <v>8.5562604274651157</v>
      </c>
    </row>
    <row r="2055" spans="15:19" x14ac:dyDescent="0.2">
      <c r="O2055" s="4">
        <f t="shared" ca="1" si="193"/>
        <v>0.98261971965122663</v>
      </c>
      <c r="P2055" s="4">
        <f t="shared" ca="1" si="194"/>
        <v>2.111136735518107</v>
      </c>
      <c r="Q2055" s="4">
        <f t="shared" ca="1" si="195"/>
        <v>1859.3074904937475</v>
      </c>
      <c r="R2055" s="4">
        <f t="shared" ca="1" si="196"/>
        <v>-64.362553506252425</v>
      </c>
      <c r="S2055" s="4">
        <f t="shared" ca="1" si="197"/>
        <v>-30.894655154152911</v>
      </c>
    </row>
    <row r="2056" spans="15:19" x14ac:dyDescent="0.2">
      <c r="O2056" s="4">
        <f t="shared" ca="1" si="193"/>
        <v>0.54615822418173132</v>
      </c>
      <c r="P2056" s="4">
        <f t="shared" ca="1" si="194"/>
        <v>0.11596087265161691</v>
      </c>
      <c r="Q2056" s="4">
        <f t="shared" ca="1" si="195"/>
        <v>1919.7512546754829</v>
      </c>
      <c r="R2056" s="4">
        <f t="shared" ca="1" si="196"/>
        <v>-3.9187893245170926</v>
      </c>
      <c r="S2056" s="4">
        <f t="shared" ca="1" si="197"/>
        <v>-1.9774782148717895</v>
      </c>
    </row>
    <row r="2057" spans="15:19" x14ac:dyDescent="0.2">
      <c r="O2057" s="4">
        <f t="shared" ca="1" si="193"/>
        <v>2.4883747162826708E-2</v>
      </c>
      <c r="P2057" s="4">
        <f t="shared" ca="1" si="194"/>
        <v>-1.9619569689702903</v>
      </c>
      <c r="Q2057" s="4">
        <f t="shared" ca="1" si="195"/>
        <v>1982.7016834299525</v>
      </c>
      <c r="R2057" s="4">
        <f t="shared" ca="1" si="196"/>
        <v>59.03163942995252</v>
      </c>
      <c r="S2057" s="4">
        <f t="shared" ca="1" si="197"/>
        <v>31.300922244751828</v>
      </c>
    </row>
    <row r="2058" spans="15:19" x14ac:dyDescent="0.2">
      <c r="O2058" s="4">
        <f t="shared" ca="1" si="193"/>
        <v>8.934894764027379E-2</v>
      </c>
      <c r="P2058" s="4">
        <f t="shared" ca="1" si="194"/>
        <v>-1.3447750330750714</v>
      </c>
      <c r="Q2058" s="4">
        <f t="shared" ca="1" si="195"/>
        <v>1964.0041840842653</v>
      </c>
      <c r="R2058" s="4">
        <f t="shared" ca="1" si="196"/>
        <v>40.3341400842653</v>
      </c>
      <c r="S2058" s="4">
        <f t="shared" ca="1" si="197"/>
        <v>21.079774441659509</v>
      </c>
    </row>
    <row r="2059" spans="15:19" x14ac:dyDescent="0.2">
      <c r="O2059" s="4">
        <f t="shared" ca="1" si="193"/>
        <v>0.75760922691917643</v>
      </c>
      <c r="P2059" s="4">
        <f t="shared" ca="1" si="194"/>
        <v>0.69863279020556535</v>
      </c>
      <c r="Q2059" s="4">
        <f t="shared" ca="1" si="195"/>
        <v>1902.0992348032339</v>
      </c>
      <c r="R2059" s="4">
        <f t="shared" ca="1" si="196"/>
        <v>-21.570809196766049</v>
      </c>
      <c r="S2059" s="4">
        <f t="shared" ca="1" si="197"/>
        <v>-10.729945666292799</v>
      </c>
    </row>
    <row r="2060" spans="15:19" x14ac:dyDescent="0.2">
      <c r="O2060" s="4">
        <f t="shared" ca="1" si="193"/>
        <v>0.41407560527487985</v>
      </c>
      <c r="P2060" s="4">
        <f t="shared" ca="1" si="194"/>
        <v>-0.21707331388457604</v>
      </c>
      <c r="Q2060" s="4">
        <f t="shared" ca="1" si="195"/>
        <v>1929.8405105702132</v>
      </c>
      <c r="R2060" s="4">
        <f t="shared" ca="1" si="196"/>
        <v>6.1704665702131933</v>
      </c>
      <c r="S2060" s="4">
        <f t="shared" ca="1" si="197"/>
        <v>3.1390496384060977</v>
      </c>
    </row>
    <row r="2061" spans="15:19" x14ac:dyDescent="0.2">
      <c r="O2061" s="4">
        <f t="shared" ca="1" si="193"/>
        <v>1.457539539288899E-2</v>
      </c>
      <c r="P2061" s="4">
        <f t="shared" ca="1" si="194"/>
        <v>-2.1814413125311978</v>
      </c>
      <c r="Q2061" s="4">
        <f t="shared" ca="1" si="195"/>
        <v>1989.3509518732458</v>
      </c>
      <c r="R2061" s="4">
        <f t="shared" ca="1" si="196"/>
        <v>65.680907873245815</v>
      </c>
      <c r="S2061" s="4">
        <f t="shared" ca="1" si="197"/>
        <v>35.004408077490126</v>
      </c>
    </row>
    <row r="2062" spans="15:19" x14ac:dyDescent="0.2">
      <c r="O2062" s="4">
        <f t="shared" ca="1" si="193"/>
        <v>0.75628538014946822</v>
      </c>
      <c r="P2062" s="4">
        <f t="shared" ca="1" si="194"/>
        <v>0.69440343572751606</v>
      </c>
      <c r="Q2062" s="4">
        <f t="shared" ca="1" si="195"/>
        <v>1902.2273629093675</v>
      </c>
      <c r="R2062" s="4">
        <f t="shared" ca="1" si="196"/>
        <v>-21.442681090632504</v>
      </c>
      <c r="S2062" s="4">
        <f t="shared" ca="1" si="197"/>
        <v>-10.667329418963556</v>
      </c>
    </row>
    <row r="2063" spans="15:19" x14ac:dyDescent="0.2">
      <c r="O2063" s="4">
        <f t="shared" ca="1" si="193"/>
        <v>0.4391617274567623</v>
      </c>
      <c r="P2063" s="4">
        <f t="shared" ca="1" si="194"/>
        <v>-0.15309487814445943</v>
      </c>
      <c r="Q2063" s="4">
        <f t="shared" ca="1" si="195"/>
        <v>1927.9022867000447</v>
      </c>
      <c r="R2063" s="4">
        <f t="shared" ca="1" si="196"/>
        <v>4.2322427000447078</v>
      </c>
      <c r="S2063" s="4">
        <f t="shared" ca="1" si="197"/>
        <v>2.149694083599337</v>
      </c>
    </row>
    <row r="2064" spans="15:19" x14ac:dyDescent="0.2">
      <c r="O2064" s="4">
        <f t="shared" ca="1" si="193"/>
        <v>0.50050679854781943</v>
      </c>
      <c r="P2064" s="4">
        <f t="shared" ca="1" si="194"/>
        <v>1.2703559111903072E-3</v>
      </c>
      <c r="Q2064" s="4">
        <f t="shared" ca="1" si="195"/>
        <v>1923.2257987879902</v>
      </c>
      <c r="R2064" s="4">
        <f t="shared" ca="1" si="196"/>
        <v>-0.44424521200971867</v>
      </c>
      <c r="S2064" s="4">
        <f t="shared" ca="1" si="197"/>
        <v>-0.22480094099719056</v>
      </c>
    </row>
    <row r="2065" spans="15:19" x14ac:dyDescent="0.2">
      <c r="O2065" s="4">
        <f t="shared" ca="1" si="193"/>
        <v>0.76083075420370405</v>
      </c>
      <c r="P2065" s="4">
        <f t="shared" ca="1" si="194"/>
        <v>0.7089774161669955</v>
      </c>
      <c r="Q2065" s="4">
        <f t="shared" ca="1" si="195"/>
        <v>1901.7858448190234</v>
      </c>
      <c r="R2065" s="4">
        <f t="shared" ca="1" si="196"/>
        <v>-21.884199180976566</v>
      </c>
      <c r="S2065" s="4">
        <f t="shared" ca="1" si="197"/>
        <v>-10.883043128877718</v>
      </c>
    </row>
    <row r="2066" spans="15:19" x14ac:dyDescent="0.2">
      <c r="O2066" s="4">
        <f t="shared" ca="1" si="193"/>
        <v>0.94398119981754058</v>
      </c>
      <c r="P2066" s="4">
        <f t="shared" ca="1" si="194"/>
        <v>1.5891009632682622</v>
      </c>
      <c r="Q2066" s="4">
        <f t="shared" ca="1" si="195"/>
        <v>1875.1225410361924</v>
      </c>
      <c r="R2066" s="4">
        <f t="shared" ca="1" si="196"/>
        <v>-48.547502963807574</v>
      </c>
      <c r="S2066" s="4">
        <f t="shared" ca="1" si="197"/>
        <v>-23.615816325203944</v>
      </c>
    </row>
    <row r="2067" spans="15:19" x14ac:dyDescent="0.2">
      <c r="O2067" s="4">
        <f t="shared" ca="1" si="193"/>
        <v>0.10578363025121174</v>
      </c>
      <c r="P2067" s="4">
        <f t="shared" ca="1" si="194"/>
        <v>-1.2492674733522735</v>
      </c>
      <c r="Q2067" s="4">
        <f t="shared" ca="1" si="195"/>
        <v>1961.1107868029028</v>
      </c>
      <c r="R2067" s="4">
        <f t="shared" ca="1" si="196"/>
        <v>37.440742802902832</v>
      </c>
      <c r="S2067" s="4">
        <f t="shared" ca="1" si="197"/>
        <v>19.523504129838539</v>
      </c>
    </row>
    <row r="2068" spans="15:19" x14ac:dyDescent="0.2">
      <c r="O2068" s="4">
        <f t="shared" ca="1" si="193"/>
        <v>0.71578486121862073</v>
      </c>
      <c r="P2068" s="4">
        <f t="shared" ca="1" si="194"/>
        <v>0.57036483120297454</v>
      </c>
      <c r="Q2068" s="4">
        <f t="shared" ca="1" si="195"/>
        <v>1905.9851069262488</v>
      </c>
      <c r="R2068" s="4">
        <f t="shared" ca="1" si="196"/>
        <v>-17.684937073751144</v>
      </c>
      <c r="S2068" s="4">
        <f t="shared" ca="1" si="197"/>
        <v>-8.8249746194712184</v>
      </c>
    </row>
    <row r="2069" spans="15:19" x14ac:dyDescent="0.2">
      <c r="O2069" s="4">
        <f t="shared" ca="1" si="193"/>
        <v>0.7638643170725582</v>
      </c>
      <c r="P2069" s="4">
        <f t="shared" ca="1" si="194"/>
        <v>0.71878830291244622</v>
      </c>
      <c r="Q2069" s="4">
        <f t="shared" ca="1" si="195"/>
        <v>1901.4886244406637</v>
      </c>
      <c r="R2069" s="4">
        <f t="shared" ca="1" si="196"/>
        <v>-22.181419559336291</v>
      </c>
      <c r="S2069" s="4">
        <f t="shared" ca="1" si="197"/>
        <v>-11.028167528636693</v>
      </c>
    </row>
    <row r="2070" spans="15:19" x14ac:dyDescent="0.2">
      <c r="O2070" s="4">
        <f t="shared" ca="1" si="193"/>
        <v>0.54302215994990588</v>
      </c>
      <c r="P2070" s="4">
        <f t="shared" ca="1" si="194"/>
        <v>0.10805044119713444</v>
      </c>
      <c r="Q2070" s="4">
        <f t="shared" ca="1" si="195"/>
        <v>1919.9909008451809</v>
      </c>
      <c r="R2070" s="4">
        <f t="shared" ca="1" si="196"/>
        <v>-3.6791431548190303</v>
      </c>
      <c r="S2070" s="4">
        <f t="shared" ca="1" si="197"/>
        <v>-1.8569081743807683</v>
      </c>
    </row>
    <row r="2071" spans="15:19" x14ac:dyDescent="0.2">
      <c r="O2071" s="4">
        <f t="shared" ca="1" si="193"/>
        <v>0.95992228046802897</v>
      </c>
      <c r="P2071" s="4">
        <f t="shared" ca="1" si="194"/>
        <v>1.7497848892980363</v>
      </c>
      <c r="Q2071" s="4">
        <f t="shared" ca="1" si="195"/>
        <v>1870.2546286313254</v>
      </c>
      <c r="R2071" s="4">
        <f t="shared" ca="1" si="196"/>
        <v>-53.41541536867453</v>
      </c>
      <c r="S2071" s="4">
        <f t="shared" ca="1" si="197"/>
        <v>-25.877953857456291</v>
      </c>
    </row>
    <row r="2072" spans="15:19" x14ac:dyDescent="0.2">
      <c r="O2072" s="4">
        <f t="shared" ca="1" si="193"/>
        <v>4.5103489058577528E-2</v>
      </c>
      <c r="P2072" s="4">
        <f t="shared" ca="1" si="194"/>
        <v>-1.6943069104256798</v>
      </c>
      <c r="Q2072" s="4">
        <f t="shared" ca="1" si="195"/>
        <v>1974.5932367897376</v>
      </c>
      <c r="R2072" s="4">
        <f t="shared" ca="1" si="196"/>
        <v>50.923192789737641</v>
      </c>
      <c r="S2072" s="4">
        <f t="shared" ca="1" si="197"/>
        <v>26.833419318729646</v>
      </c>
    </row>
    <row r="2073" spans="15:19" x14ac:dyDescent="0.2">
      <c r="O2073" s="4">
        <f t="shared" ca="1" si="193"/>
        <v>0.5660545570418114</v>
      </c>
      <c r="P2073" s="4">
        <f t="shared" ca="1" si="194"/>
        <v>0.1663380978249874</v>
      </c>
      <c r="Q2073" s="4">
        <f t="shared" ca="1" si="195"/>
        <v>1918.2250788755537</v>
      </c>
      <c r="R2073" s="4">
        <f t="shared" ca="1" si="196"/>
        <v>-5.4449651244462984</v>
      </c>
      <c r="S2073" s="4">
        <f t="shared" ca="1" si="197"/>
        <v>-2.7442260349343526</v>
      </c>
    </row>
    <row r="2074" spans="15:19" x14ac:dyDescent="0.2">
      <c r="O2074" s="4">
        <f t="shared" ca="1" si="193"/>
        <v>0.1979068147467774</v>
      </c>
      <c r="P2074" s="4">
        <f t="shared" ca="1" si="194"/>
        <v>-0.84912160520920488</v>
      </c>
      <c r="Q2074" s="4">
        <f t="shared" ca="1" si="195"/>
        <v>1948.9883854935831</v>
      </c>
      <c r="R2074" s="4">
        <f t="shared" ca="1" si="196"/>
        <v>25.318341493583148</v>
      </c>
      <c r="S2074" s="4">
        <f t="shared" ca="1" si="197"/>
        <v>13.077331325087773</v>
      </c>
    </row>
    <row r="2075" spans="15:19" x14ac:dyDescent="0.2">
      <c r="O2075" s="4">
        <f t="shared" ca="1" si="193"/>
        <v>6.1507165464651736E-2</v>
      </c>
      <c r="P2075" s="4">
        <f t="shared" ca="1" si="194"/>
        <v>-1.5422439201570275</v>
      </c>
      <c r="Q2075" s="4">
        <f t="shared" ca="1" si="195"/>
        <v>1969.9864952509924</v>
      </c>
      <c r="R2075" s="4">
        <f t="shared" ca="1" si="196"/>
        <v>46.316451250992486</v>
      </c>
      <c r="S2075" s="4">
        <f t="shared" ca="1" si="197"/>
        <v>24.31909175068726</v>
      </c>
    </row>
    <row r="2076" spans="15:19" x14ac:dyDescent="0.2">
      <c r="O2076" s="4">
        <f t="shared" ca="1" si="193"/>
        <v>0.39841702067389406</v>
      </c>
      <c r="P2076" s="4">
        <f t="shared" ca="1" si="194"/>
        <v>-0.2574465894768464</v>
      </c>
      <c r="Q2076" s="4">
        <f t="shared" ca="1" si="195"/>
        <v>1931.0636171617482</v>
      </c>
      <c r="R2076" s="4">
        <f t="shared" ca="1" si="196"/>
        <v>7.3935731617482361</v>
      </c>
      <c r="S2076" s="4">
        <f t="shared" ca="1" si="197"/>
        <v>3.7649515621543137</v>
      </c>
    </row>
    <row r="2077" spans="15:19" x14ac:dyDescent="0.2">
      <c r="O2077" s="4">
        <f t="shared" ca="1" si="193"/>
        <v>0.86230158497855081</v>
      </c>
      <c r="P2077" s="4">
        <f t="shared" ca="1" si="194"/>
        <v>1.0907183582329938</v>
      </c>
      <c r="Q2077" s="4">
        <f t="shared" ca="1" si="195"/>
        <v>1890.2210199280487</v>
      </c>
      <c r="R2077" s="4">
        <f t="shared" ca="1" si="196"/>
        <v>-33.449024071951271</v>
      </c>
      <c r="S2077" s="4">
        <f t="shared" ca="1" si="197"/>
        <v>-16.476779417899728</v>
      </c>
    </row>
    <row r="2078" spans="15:19" x14ac:dyDescent="0.2">
      <c r="O2078" s="4">
        <f t="shared" ca="1" si="193"/>
        <v>0.55151465052200932</v>
      </c>
      <c r="P2078" s="4">
        <f t="shared" ca="1" si="194"/>
        <v>0.12948903721595451</v>
      </c>
      <c r="Q2078" s="4">
        <f t="shared" ca="1" si="195"/>
        <v>1919.3414195306432</v>
      </c>
      <c r="R2078" s="4">
        <f t="shared" ca="1" si="196"/>
        <v>-4.3286244693567824</v>
      </c>
      <c r="S2078" s="4">
        <f t="shared" ca="1" si="197"/>
        <v>-2.1835648529267293</v>
      </c>
    </row>
    <row r="2079" spans="15:19" x14ac:dyDescent="0.2">
      <c r="O2079" s="4">
        <f t="shared" ca="1" si="193"/>
        <v>0.55631616283755747</v>
      </c>
      <c r="P2079" s="4">
        <f t="shared" ca="1" si="194"/>
        <v>0.14163581689587693</v>
      </c>
      <c r="Q2079" s="4">
        <f t="shared" ca="1" si="195"/>
        <v>1918.9734333795448</v>
      </c>
      <c r="R2079" s="4">
        <f t="shared" ca="1" si="196"/>
        <v>-4.6966106204552034</v>
      </c>
      <c r="S2079" s="4">
        <f t="shared" ca="1" si="197"/>
        <v>-2.3684911043524242</v>
      </c>
    </row>
    <row r="2080" spans="15:19" x14ac:dyDescent="0.2">
      <c r="O2080" s="4">
        <f t="shared" ca="1" si="193"/>
        <v>0.95876859960689365</v>
      </c>
      <c r="P2080" s="4">
        <f t="shared" ca="1" si="194"/>
        <v>1.7365716863334477</v>
      </c>
      <c r="Q2080" s="4">
        <f t="shared" ca="1" si="195"/>
        <v>1870.6549220284846</v>
      </c>
      <c r="R2080" s="4">
        <f t="shared" ca="1" si="196"/>
        <v>-53.015121971515327</v>
      </c>
      <c r="S2080" s="4">
        <f t="shared" ca="1" si="197"/>
        <v>-25.692663968863542</v>
      </c>
    </row>
    <row r="2081" spans="15:19" x14ac:dyDescent="0.2">
      <c r="O2081" s="4">
        <f t="shared" ca="1" si="193"/>
        <v>0.10315589130631431</v>
      </c>
      <c r="P2081" s="4">
        <f t="shared" ca="1" si="194"/>
        <v>-1.2637722541126286</v>
      </c>
      <c r="Q2081" s="4">
        <f t="shared" ca="1" si="195"/>
        <v>1961.5502084920399</v>
      </c>
      <c r="R2081" s="4">
        <f t="shared" ca="1" si="196"/>
        <v>37.880164492039967</v>
      </c>
      <c r="S2081" s="4">
        <f t="shared" ca="1" si="197"/>
        <v>19.759416723788544</v>
      </c>
    </row>
    <row r="2082" spans="15:19" x14ac:dyDescent="0.2">
      <c r="O2082" s="4">
        <f t="shared" ca="1" si="193"/>
        <v>0.44572073706101978</v>
      </c>
      <c r="P2082" s="4">
        <f t="shared" ca="1" si="194"/>
        <v>-0.13648045562698932</v>
      </c>
      <c r="Q2082" s="4">
        <f t="shared" ca="1" si="195"/>
        <v>1927.3989535075418</v>
      </c>
      <c r="R2082" s="4">
        <f t="shared" ca="1" si="196"/>
        <v>3.7289095075418572</v>
      </c>
      <c r="S2082" s="4">
        <f t="shared" ca="1" si="197"/>
        <v>1.893270719410338</v>
      </c>
    </row>
    <row r="2083" spans="15:19" x14ac:dyDescent="0.2">
      <c r="O2083" s="4">
        <f t="shared" ca="1" si="193"/>
        <v>0.24013956703929151</v>
      </c>
      <c r="P2083" s="4">
        <f t="shared" ca="1" si="194"/>
        <v>-0.70585368232037904</v>
      </c>
      <c r="Q2083" s="4">
        <f t="shared" ca="1" si="195"/>
        <v>1944.6480901306184</v>
      </c>
      <c r="R2083" s="4">
        <f t="shared" ca="1" si="196"/>
        <v>20.978046130618395</v>
      </c>
      <c r="S2083" s="4">
        <f t="shared" ca="1" si="197"/>
        <v>10.798434810767448</v>
      </c>
    </row>
    <row r="2084" spans="15:19" x14ac:dyDescent="0.2">
      <c r="O2084" s="4">
        <f t="shared" ca="1" si="193"/>
        <v>0.7941583854278913</v>
      </c>
      <c r="P2084" s="4">
        <f t="shared" ca="1" si="194"/>
        <v>0.82093511304577216</v>
      </c>
      <c r="Q2084" s="4">
        <f t="shared" ca="1" si="195"/>
        <v>1898.3940913628901</v>
      </c>
      <c r="R2084" s="4">
        <f t="shared" ca="1" si="196"/>
        <v>-25.275952637109867</v>
      </c>
      <c r="S2084" s="4">
        <f t="shared" ca="1" si="197"/>
        <v>-12.53486894480911</v>
      </c>
    </row>
    <row r="2085" spans="15:19" x14ac:dyDescent="0.2">
      <c r="O2085" s="4">
        <f t="shared" ca="1" si="193"/>
        <v>0.48541316031858195</v>
      </c>
      <c r="P2085" s="4">
        <f t="shared" ca="1" si="194"/>
        <v>-3.6571935681092377E-2</v>
      </c>
      <c r="Q2085" s="4">
        <f t="shared" ca="1" si="195"/>
        <v>1924.3722293316187</v>
      </c>
      <c r="R2085" s="4">
        <f t="shared" ca="1" si="196"/>
        <v>0.70218533161869345</v>
      </c>
      <c r="S2085" s="4">
        <f t="shared" ca="1" si="197"/>
        <v>0.35565380398270358</v>
      </c>
    </row>
    <row r="2086" spans="15:19" x14ac:dyDescent="0.2">
      <c r="O2086" s="4">
        <f t="shared" ca="1" si="193"/>
        <v>9.5431006363221327E-2</v>
      </c>
      <c r="P2086" s="4">
        <f t="shared" ca="1" si="194"/>
        <v>-1.3080333061920442</v>
      </c>
      <c r="Q2086" s="4">
        <f t="shared" ca="1" si="195"/>
        <v>1962.8910950996394</v>
      </c>
      <c r="R2086" s="4">
        <f t="shared" ca="1" si="196"/>
        <v>39.221051099639453</v>
      </c>
      <c r="S2086" s="4">
        <f t="shared" ca="1" si="197"/>
        <v>20.480271098123612</v>
      </c>
    </row>
    <row r="2087" spans="15:19" x14ac:dyDescent="0.2">
      <c r="O2087" s="4">
        <f t="shared" ca="1" si="193"/>
        <v>0.49716937077395662</v>
      </c>
      <c r="P2087" s="4">
        <f t="shared" ca="1" si="194"/>
        <v>-7.0953947883818543E-3</v>
      </c>
      <c r="Q2087" s="4">
        <f t="shared" ca="1" si="195"/>
        <v>1923.4792388340029</v>
      </c>
      <c r="R2087" s="4">
        <f t="shared" ca="1" si="196"/>
        <v>-0.19080516599706243</v>
      </c>
      <c r="S2087" s="4">
        <f t="shared" ca="1" si="197"/>
        <v>-9.6572623935171215E-2</v>
      </c>
    </row>
    <row r="2088" spans="15:19" x14ac:dyDescent="0.2">
      <c r="O2088" s="4">
        <f t="shared" ca="1" si="193"/>
        <v>0.88743083429643443</v>
      </c>
      <c r="P2088" s="4">
        <f t="shared" ca="1" si="194"/>
        <v>1.2129777395989962</v>
      </c>
      <c r="Q2088" s="4">
        <f t="shared" ca="1" si="195"/>
        <v>1886.5171773977593</v>
      </c>
      <c r="R2088" s="4">
        <f t="shared" ca="1" si="196"/>
        <v>-37.152866602240692</v>
      </c>
      <c r="S2088" s="4">
        <f t="shared" ca="1" si="197"/>
        <v>-18.245252880952602</v>
      </c>
    </row>
    <row r="2089" spans="15:19" x14ac:dyDescent="0.2">
      <c r="O2089" s="4">
        <f t="shared" ca="1" si="193"/>
        <v>0.840757831884271</v>
      </c>
      <c r="P2089" s="4">
        <f t="shared" ca="1" si="194"/>
        <v>0.99757737589937445</v>
      </c>
      <c r="Q2089" s="4">
        <f t="shared" ca="1" si="195"/>
        <v>1893.0427218524794</v>
      </c>
      <c r="R2089" s="4">
        <f t="shared" ca="1" si="196"/>
        <v>-30.627322147520545</v>
      </c>
      <c r="S2089" s="4">
        <f t="shared" ca="1" si="197"/>
        <v>-15.122006151983918</v>
      </c>
    </row>
    <row r="2090" spans="15:19" x14ac:dyDescent="0.2">
      <c r="O2090" s="4">
        <f t="shared" ca="1" si="193"/>
        <v>0.19691010705692469</v>
      </c>
      <c r="P2090" s="4">
        <f t="shared" ca="1" si="194"/>
        <v>-0.85270987357686656</v>
      </c>
      <c r="Q2090" s="4">
        <f t="shared" ca="1" si="195"/>
        <v>1949.0970919244662</v>
      </c>
      <c r="R2090" s="4">
        <f t="shared" ca="1" si="196"/>
        <v>25.427047924466251</v>
      </c>
      <c r="S2090" s="4">
        <f t="shared" ca="1" si="197"/>
        <v>13.134605121561524</v>
      </c>
    </row>
    <row r="2091" spans="15:19" x14ac:dyDescent="0.2">
      <c r="O2091" s="4">
        <f t="shared" ca="1" si="193"/>
        <v>0.74625554577535436</v>
      </c>
      <c r="P2091" s="4">
        <f t="shared" ca="1" si="194"/>
        <v>0.66275276747592082</v>
      </c>
      <c r="Q2091" s="4">
        <f t="shared" ca="1" si="195"/>
        <v>1903.1862184987915</v>
      </c>
      <c r="R2091" s="4">
        <f t="shared" ca="1" si="196"/>
        <v>-20.483825501208457</v>
      </c>
      <c r="S2091" s="4">
        <f t="shared" ca="1" si="197"/>
        <v>-10.198312107005675</v>
      </c>
    </row>
    <row r="2092" spans="15:19" x14ac:dyDescent="0.2">
      <c r="O2092" s="4">
        <f t="shared" ca="1" si="193"/>
        <v>0.46675217159231774</v>
      </c>
      <c r="P2092" s="4">
        <f t="shared" ca="1" si="194"/>
        <v>-8.3436655566754891E-2</v>
      </c>
      <c r="Q2092" s="4">
        <f t="shared" ca="1" si="195"/>
        <v>1925.7919939398082</v>
      </c>
      <c r="R2092" s="4">
        <f t="shared" ca="1" si="196"/>
        <v>2.1219499398082462</v>
      </c>
      <c r="S2092" s="4">
        <f t="shared" ca="1" si="197"/>
        <v>1.0759847428503484</v>
      </c>
    </row>
    <row r="2093" spans="15:19" x14ac:dyDescent="0.2">
      <c r="O2093" s="4">
        <f t="shared" ca="1" si="193"/>
        <v>0.90632948641233546</v>
      </c>
      <c r="P2093" s="4">
        <f t="shared" ca="1" si="194"/>
        <v>1.318485944456677</v>
      </c>
      <c r="Q2093" s="4">
        <f t="shared" ca="1" si="195"/>
        <v>1883.3208110160542</v>
      </c>
      <c r="R2093" s="4">
        <f t="shared" ca="1" si="196"/>
        <v>-40.34923298394574</v>
      </c>
      <c r="S2093" s="4">
        <f t="shared" ca="1" si="197"/>
        <v>-19.762443584535628</v>
      </c>
    </row>
    <row r="2094" spans="15:19" x14ac:dyDescent="0.2">
      <c r="O2094" s="4">
        <f t="shared" ca="1" si="193"/>
        <v>0.10312289555689114</v>
      </c>
      <c r="P2094" s="4">
        <f t="shared" ca="1" si="194"/>
        <v>-1.2639560808367321</v>
      </c>
      <c r="Q2094" s="4">
        <f t="shared" ca="1" si="195"/>
        <v>1961.555777514485</v>
      </c>
      <c r="R2094" s="4">
        <f t="shared" ca="1" si="196"/>
        <v>37.885733514485082</v>
      </c>
      <c r="S2094" s="4">
        <f t="shared" ca="1" si="197"/>
        <v>19.762407577096084</v>
      </c>
    </row>
    <row r="2095" spans="15:19" x14ac:dyDescent="0.2">
      <c r="O2095" s="4">
        <f t="shared" ca="1" si="193"/>
        <v>0.80474959821542869</v>
      </c>
      <c r="P2095" s="4">
        <f t="shared" ca="1" si="194"/>
        <v>0.85870950784474254</v>
      </c>
      <c r="Q2095" s="4">
        <f t="shared" ca="1" si="195"/>
        <v>1897.2497177496007</v>
      </c>
      <c r="R2095" s="4">
        <f t="shared" ca="1" si="196"/>
        <v>-26.420326250399285</v>
      </c>
      <c r="S2095" s="4">
        <f t="shared" ca="1" si="197"/>
        <v>-13.090079919515258</v>
      </c>
    </row>
    <row r="2096" spans="15:19" x14ac:dyDescent="0.2">
      <c r="O2096" s="4">
        <f t="shared" ca="1" si="193"/>
        <v>0.6580299878384912</v>
      </c>
      <c r="P2096" s="4">
        <f t="shared" ca="1" si="194"/>
        <v>0.40709253722065858</v>
      </c>
      <c r="Q2096" s="4">
        <f t="shared" ca="1" si="195"/>
        <v>1910.9314338233171</v>
      </c>
      <c r="R2096" s="4">
        <f t="shared" ca="1" si="196"/>
        <v>-12.738610176682869</v>
      </c>
      <c r="S2096" s="4">
        <f t="shared" ca="1" si="197"/>
        <v>-6.3823532304901143</v>
      </c>
    </row>
    <row r="2097" spans="15:19" x14ac:dyDescent="0.2">
      <c r="O2097" s="4">
        <f t="shared" ca="1" si="193"/>
        <v>0.74512580058412392</v>
      </c>
      <c r="P2097" s="4">
        <f t="shared" ca="1" si="194"/>
        <v>0.65922951141106445</v>
      </c>
      <c r="Q2097" s="4">
        <f t="shared" ca="1" si="195"/>
        <v>1903.2929553848473</v>
      </c>
      <c r="R2097" s="4">
        <f t="shared" ca="1" si="196"/>
        <v>-20.377088615152616</v>
      </c>
      <c r="S2097" s="4">
        <f t="shared" ca="1" si="197"/>
        <v>-10.146056227986112</v>
      </c>
    </row>
    <row r="2098" spans="15:19" x14ac:dyDescent="0.2">
      <c r="O2098" s="4">
        <f t="shared" ca="1" si="193"/>
        <v>0.87316432486149309</v>
      </c>
      <c r="P2098" s="4">
        <f t="shared" ca="1" si="194"/>
        <v>1.1414773068402579</v>
      </c>
      <c r="Q2098" s="4">
        <f t="shared" ca="1" si="195"/>
        <v>1888.6832798336379</v>
      </c>
      <c r="R2098" s="4">
        <f t="shared" ca="1" si="196"/>
        <v>-34.986764166362036</v>
      </c>
      <c r="S2098" s="4">
        <f t="shared" ca="1" si="197"/>
        <v>-17.212359993263757</v>
      </c>
    </row>
    <row r="2099" spans="15:19" x14ac:dyDescent="0.2">
      <c r="O2099" s="4">
        <f t="shared" ca="1" si="193"/>
        <v>0.95213136404249754</v>
      </c>
      <c r="P2099" s="4">
        <f t="shared" ca="1" si="194"/>
        <v>1.6658802307010026</v>
      </c>
      <c r="Q2099" s="4">
        <f t="shared" ca="1" si="195"/>
        <v>1872.7965165382398</v>
      </c>
      <c r="R2099" s="4">
        <f t="shared" ca="1" si="196"/>
        <v>-50.873527461760204</v>
      </c>
      <c r="S2099" s="4">
        <f t="shared" ca="1" si="197"/>
        <v>-24.699135609189703</v>
      </c>
    </row>
    <row r="2100" spans="15:19" x14ac:dyDescent="0.2">
      <c r="O2100" s="4">
        <f t="shared" ca="1" si="193"/>
        <v>0.10585169953606777</v>
      </c>
      <c r="P2100" s="4">
        <f t="shared" ca="1" si="194"/>
        <v>-1.2488952229625412</v>
      </c>
      <c r="Q2100" s="4">
        <f t="shared" ca="1" si="195"/>
        <v>1961.0995094938733</v>
      </c>
      <c r="R2100" s="4">
        <f t="shared" ca="1" si="196"/>
        <v>37.429465493873295</v>
      </c>
      <c r="S2100" s="4">
        <f t="shared" ca="1" si="197"/>
        <v>19.517451742966177</v>
      </c>
    </row>
    <row r="2101" spans="15:19" x14ac:dyDescent="0.2">
      <c r="O2101" s="4">
        <f t="shared" ca="1" si="193"/>
        <v>9.3766421517290643E-3</v>
      </c>
      <c r="P2101" s="4">
        <f t="shared" ca="1" si="194"/>
        <v>-2.3503992393176176</v>
      </c>
      <c r="Q2101" s="4">
        <f t="shared" ca="1" si="195"/>
        <v>1994.4695247636782</v>
      </c>
      <c r="R2101" s="4">
        <f t="shared" ca="1" si="196"/>
        <v>70.799480763678275</v>
      </c>
      <c r="S2101" s="4">
        <f t="shared" ca="1" si="197"/>
        <v>37.879852191272008</v>
      </c>
    </row>
    <row r="2102" spans="15:19" x14ac:dyDescent="0.2">
      <c r="O2102" s="4">
        <f t="shared" ca="1" si="193"/>
        <v>0.33165045756073253</v>
      </c>
      <c r="P2102" s="4">
        <f t="shared" ca="1" si="194"/>
        <v>-0.43536030958588756</v>
      </c>
      <c r="Q2102" s="4">
        <f t="shared" ca="1" si="195"/>
        <v>1936.4535054132609</v>
      </c>
      <c r="R2102" s="4">
        <f t="shared" ca="1" si="196"/>
        <v>12.783461413260966</v>
      </c>
      <c r="S2102" s="4">
        <f t="shared" ca="1" si="197"/>
        <v>6.5376353653236858</v>
      </c>
    </row>
    <row r="2103" spans="15:19" x14ac:dyDescent="0.2">
      <c r="O2103" s="4">
        <f t="shared" ca="1" si="193"/>
        <v>0.34664353696418171</v>
      </c>
      <c r="P2103" s="4">
        <f t="shared" ca="1" si="194"/>
        <v>-0.39439819808347071</v>
      </c>
      <c r="Q2103" s="4">
        <f t="shared" ca="1" si="195"/>
        <v>1935.2125600639718</v>
      </c>
      <c r="R2103" s="4">
        <f t="shared" ca="1" si="196"/>
        <v>11.542516063971789</v>
      </c>
      <c r="S2103" s="4">
        <f t="shared" ca="1" si="197"/>
        <v>5.8971683909323058</v>
      </c>
    </row>
    <row r="2104" spans="15:19" x14ac:dyDescent="0.2">
      <c r="O2104" s="4">
        <f t="shared" ca="1" si="193"/>
        <v>0.69534985541041483</v>
      </c>
      <c r="P2104" s="4">
        <f t="shared" ca="1" si="194"/>
        <v>0.51107250304882013</v>
      </c>
      <c r="Q2104" s="4">
        <f t="shared" ca="1" si="195"/>
        <v>1907.7813653751591</v>
      </c>
      <c r="R2104" s="4">
        <f t="shared" ca="1" si="196"/>
        <v>-15.88867862484085</v>
      </c>
      <c r="S2104" s="4">
        <f t="shared" ca="1" si="197"/>
        <v>-7.9402400778194213</v>
      </c>
    </row>
    <row r="2105" spans="15:19" x14ac:dyDescent="0.2">
      <c r="O2105" s="4">
        <f t="shared" ca="1" si="193"/>
        <v>0.97192346085718684</v>
      </c>
      <c r="P2105" s="4">
        <f t="shared" ca="1" si="194"/>
        <v>1.9098457381142846</v>
      </c>
      <c r="Q2105" s="4">
        <f t="shared" ca="1" si="195"/>
        <v>1865.405592322978</v>
      </c>
      <c r="R2105" s="4">
        <f t="shared" ca="1" si="196"/>
        <v>-58.264451677021952</v>
      </c>
      <c r="S2105" s="4">
        <f t="shared" ca="1" si="197"/>
        <v>-28.112139373912107</v>
      </c>
    </row>
    <row r="2106" spans="15:19" x14ac:dyDescent="0.2">
      <c r="O2106" s="4">
        <f t="shared" ca="1" si="193"/>
        <v>6.4066520415871686E-2</v>
      </c>
      <c r="P2106" s="4">
        <f t="shared" ca="1" si="194"/>
        <v>-1.5215054654159974</v>
      </c>
      <c r="Q2106" s="4">
        <f t="shared" ca="1" si="195"/>
        <v>1969.3582246853798</v>
      </c>
      <c r="R2106" s="4">
        <f t="shared" ca="1" si="196"/>
        <v>45.688180685379848</v>
      </c>
      <c r="S2106" s="4">
        <f t="shared" ca="1" si="197"/>
        <v>23.977524887539595</v>
      </c>
    </row>
    <row r="2107" spans="15:19" x14ac:dyDescent="0.2">
      <c r="O2107" s="4">
        <f t="shared" ca="1" si="193"/>
        <v>0.71618607859661243</v>
      </c>
      <c r="P2107" s="4">
        <f t="shared" ca="1" si="194"/>
        <v>0.57154857537509862</v>
      </c>
      <c r="Q2107" s="4">
        <f t="shared" ca="1" si="195"/>
        <v>1905.9492454491115</v>
      </c>
      <c r="R2107" s="4">
        <f t="shared" ca="1" si="196"/>
        <v>-17.720798550888503</v>
      </c>
      <c r="S2107" s="4">
        <f t="shared" ca="1" si="197"/>
        <v>-8.842611193856575</v>
      </c>
    </row>
    <row r="2108" spans="15:19" x14ac:dyDescent="0.2">
      <c r="O2108" s="4">
        <f t="shared" ca="1" si="193"/>
        <v>0.87287115306254515</v>
      </c>
      <c r="P2108" s="4">
        <f t="shared" ca="1" si="194"/>
        <v>1.1400686685083528</v>
      </c>
      <c r="Q2108" s="4">
        <f t="shared" ca="1" si="195"/>
        <v>1888.7259544693609</v>
      </c>
      <c r="R2108" s="4">
        <f t="shared" ca="1" si="196"/>
        <v>-34.944089530639076</v>
      </c>
      <c r="S2108" s="4">
        <f t="shared" ca="1" si="197"/>
        <v>-17.191972480654179</v>
      </c>
    </row>
    <row r="2109" spans="15:19" x14ac:dyDescent="0.2">
      <c r="O2109" s="4">
        <f t="shared" ca="1" si="193"/>
        <v>0.79254906785086199</v>
      </c>
      <c r="P2109" s="4">
        <f t="shared" ca="1" si="194"/>
        <v>0.81529780606546587</v>
      </c>
      <c r="Q2109" s="4">
        <f t="shared" ca="1" si="195"/>
        <v>1898.5648733275677</v>
      </c>
      <c r="R2109" s="4">
        <f t="shared" ca="1" si="196"/>
        <v>-25.105170672432223</v>
      </c>
      <c r="S2109" s="4">
        <f t="shared" ca="1" si="197"/>
        <v>-12.451919941326382</v>
      </c>
    </row>
    <row r="2110" spans="15:19" x14ac:dyDescent="0.2">
      <c r="O2110" s="4">
        <f t="shared" ca="1" si="193"/>
        <v>0.51516306515370203</v>
      </c>
      <c r="P2110" s="4">
        <f t="shared" ca="1" si="194"/>
        <v>3.8017323706036582E-2</v>
      </c>
      <c r="Q2110" s="4">
        <f t="shared" ca="1" si="195"/>
        <v>1922.1125510301738</v>
      </c>
      <c r="R2110" s="4">
        <f t="shared" ca="1" si="196"/>
        <v>-1.5574929698261712</v>
      </c>
      <c r="S2110" s="4">
        <f t="shared" ca="1" si="197"/>
        <v>-0.78743073466481206</v>
      </c>
    </row>
    <row r="2111" spans="15:19" x14ac:dyDescent="0.2">
      <c r="O2111" s="4">
        <f t="shared" ca="1" si="193"/>
        <v>0.38738034782073749</v>
      </c>
      <c r="P2111" s="4">
        <f t="shared" ca="1" si="194"/>
        <v>-0.28615331871911437</v>
      </c>
      <c r="Q2111" s="4">
        <f t="shared" ca="1" si="195"/>
        <v>1931.9332862495928</v>
      </c>
      <c r="R2111" s="4">
        <f t="shared" ca="1" si="196"/>
        <v>8.2632422495928495</v>
      </c>
      <c r="S2111" s="4">
        <f t="shared" ca="1" si="197"/>
        <v>4.2107293284320741</v>
      </c>
    </row>
    <row r="2112" spans="15:19" x14ac:dyDescent="0.2">
      <c r="O2112" s="4">
        <f t="shared" ca="1" si="193"/>
        <v>0.96597721316115948</v>
      </c>
      <c r="P2112" s="4">
        <f t="shared" ca="1" si="194"/>
        <v>1.8247048984222627</v>
      </c>
      <c r="Q2112" s="4">
        <f t="shared" ca="1" si="195"/>
        <v>1867.9849302812802</v>
      </c>
      <c r="R2112" s="4">
        <f t="shared" ca="1" si="196"/>
        <v>-55.685113718719776</v>
      </c>
      <c r="S2112" s="4">
        <f t="shared" ca="1" si="197"/>
        <v>-26.926096758308564</v>
      </c>
    </row>
    <row r="2113" spans="15:19" x14ac:dyDescent="0.2">
      <c r="O2113" s="4">
        <f t="shared" ca="1" si="193"/>
        <v>0.75530923722368226</v>
      </c>
      <c r="P2113" s="4">
        <f t="shared" ca="1" si="194"/>
        <v>0.69129284779650302</v>
      </c>
      <c r="Q2113" s="4">
        <f t="shared" ca="1" si="195"/>
        <v>1902.3215980326304</v>
      </c>
      <c r="R2113" s="4">
        <f t="shared" ca="1" si="196"/>
        <v>-21.348445967369571</v>
      </c>
      <c r="S2113" s="4">
        <f t="shared" ca="1" si="197"/>
        <v>-10.621268153534533</v>
      </c>
    </row>
    <row r="2114" spans="15:19" x14ac:dyDescent="0.2">
      <c r="O2114" s="4">
        <f t="shared" ca="1" si="193"/>
        <v>0.50105734569996385</v>
      </c>
      <c r="P2114" s="4">
        <f t="shared" ca="1" si="194"/>
        <v>2.6503757305092663E-3</v>
      </c>
      <c r="Q2114" s="4">
        <f t="shared" ca="1" si="195"/>
        <v>1923.1839911488353</v>
      </c>
      <c r="R2114" s="4">
        <f t="shared" ca="1" si="196"/>
        <v>-0.48605285116468622</v>
      </c>
      <c r="S2114" s="4">
        <f t="shared" ca="1" si="197"/>
        <v>-0.24594854506561942</v>
      </c>
    </row>
    <row r="2115" spans="15:19" x14ac:dyDescent="0.2">
      <c r="O2115" s="4">
        <f t="shared" ref="O2115:O2178" ca="1" si="198">RAND()</f>
        <v>0.89001133087537199</v>
      </c>
      <c r="P2115" s="4">
        <f t="shared" ref="P2115:P2178" ca="1" si="199">NORMSINV(O2115)</f>
        <v>1.2265883814770921</v>
      </c>
      <c r="Q2115" s="4">
        <f t="shared" ref="Q2115:Q2178" ca="1" si="200">$B$4*(1+$B$17-$B$6/SQRT(252)*P2115)</f>
        <v>1886.1048436063611</v>
      </c>
      <c r="R2115" s="4">
        <f t="shared" ref="R2115:R2178" ca="1" si="201">Q2115-$B$4</f>
        <v>-37.565200393638861</v>
      </c>
      <c r="S2115" s="4">
        <f t="shared" ref="S2115:S2178" ca="1" si="202">R2115*$B$12+0.5*$B$13*R2115^2</f>
        <v>-18.441438977141164</v>
      </c>
    </row>
    <row r="2116" spans="15:19" x14ac:dyDescent="0.2">
      <c r="O2116" s="4">
        <f t="shared" ca="1" si="198"/>
        <v>0.54766388540249034</v>
      </c>
      <c r="P2116" s="4">
        <f t="shared" ca="1" si="199"/>
        <v>0.11976131282946052</v>
      </c>
      <c r="Q2116" s="4">
        <f t="shared" ca="1" si="200"/>
        <v>1919.6361205090307</v>
      </c>
      <c r="R2116" s="4">
        <f t="shared" ca="1" si="201"/>
        <v>-4.0339234909693005</v>
      </c>
      <c r="S2116" s="4">
        <f t="shared" ca="1" si="202"/>
        <v>-2.0353875332859417</v>
      </c>
    </row>
    <row r="2117" spans="15:19" x14ac:dyDescent="0.2">
      <c r="O2117" s="4">
        <f t="shared" ca="1" si="198"/>
        <v>8.2567011232836718E-2</v>
      </c>
      <c r="P2117" s="4">
        <f t="shared" ca="1" si="199"/>
        <v>-1.3880099264550649</v>
      </c>
      <c r="Q2117" s="4">
        <f t="shared" ca="1" si="200"/>
        <v>1965.3139832596262</v>
      </c>
      <c r="R2117" s="4">
        <f t="shared" ca="1" si="201"/>
        <v>41.643939259626222</v>
      </c>
      <c r="S2117" s="4">
        <f t="shared" ca="1" si="202"/>
        <v>21.78651659872077</v>
      </c>
    </row>
    <row r="2118" spans="15:19" x14ac:dyDescent="0.2">
      <c r="O2118" s="4">
        <f t="shared" ca="1" si="198"/>
        <v>0.62012966711599748</v>
      </c>
      <c r="P2118" s="4">
        <f t="shared" ca="1" si="199"/>
        <v>0.30582135798446936</v>
      </c>
      <c r="Q2118" s="4">
        <f t="shared" ca="1" si="200"/>
        <v>1913.9994397019389</v>
      </c>
      <c r="R2118" s="4">
        <f t="shared" ca="1" si="201"/>
        <v>-9.6706042980611073</v>
      </c>
      <c r="S2118" s="4">
        <f t="shared" ca="1" si="202"/>
        <v>-4.8572852651939202</v>
      </c>
    </row>
    <row r="2119" spans="15:19" x14ac:dyDescent="0.2">
      <c r="O2119" s="4">
        <f t="shared" ca="1" si="198"/>
        <v>0.45244538420725688</v>
      </c>
      <c r="P2119" s="4">
        <f t="shared" ca="1" si="199"/>
        <v>-0.11948544779928302</v>
      </c>
      <c r="Q2119" s="4">
        <f t="shared" ca="1" si="200"/>
        <v>1926.8840904999624</v>
      </c>
      <c r="R2119" s="4">
        <f t="shared" ca="1" si="201"/>
        <v>3.2140464999624783</v>
      </c>
      <c r="S2119" s="4">
        <f t="shared" ca="1" si="202"/>
        <v>1.631186883296861</v>
      </c>
    </row>
    <row r="2120" spans="15:19" x14ac:dyDescent="0.2">
      <c r="O2120" s="4">
        <f t="shared" ca="1" si="198"/>
        <v>0.83241450270542183</v>
      </c>
      <c r="P2120" s="4">
        <f t="shared" ca="1" si="199"/>
        <v>0.96375056896674571</v>
      </c>
      <c r="Q2120" s="4">
        <f t="shared" ca="1" si="200"/>
        <v>1894.0675034666272</v>
      </c>
      <c r="R2120" s="4">
        <f t="shared" ca="1" si="201"/>
        <v>-29.602540533372803</v>
      </c>
      <c r="S2120" s="4">
        <f t="shared" ca="1" si="202"/>
        <v>-14.628376973595959</v>
      </c>
    </row>
    <row r="2121" spans="15:19" x14ac:dyDescent="0.2">
      <c r="O2121" s="4">
        <f t="shared" ca="1" si="198"/>
        <v>0.22316397489745754</v>
      </c>
      <c r="P2121" s="4">
        <f t="shared" ca="1" si="199"/>
        <v>-0.7615511330728636</v>
      </c>
      <c r="Q2121" s="4">
        <f t="shared" ca="1" si="200"/>
        <v>1946.3354419282539</v>
      </c>
      <c r="R2121" s="4">
        <f t="shared" ca="1" si="201"/>
        <v>22.665397928253924</v>
      </c>
      <c r="S2121" s="4">
        <f t="shared" ca="1" si="202"/>
        <v>11.682566146513983</v>
      </c>
    </row>
    <row r="2122" spans="15:19" x14ac:dyDescent="0.2">
      <c r="O2122" s="4">
        <f t="shared" ca="1" si="198"/>
        <v>0.42522053466881893</v>
      </c>
      <c r="P2122" s="4">
        <f t="shared" ca="1" si="199"/>
        <v>-0.1885556831982359</v>
      </c>
      <c r="Q2122" s="4">
        <f t="shared" ca="1" si="200"/>
        <v>1928.9765702147247</v>
      </c>
      <c r="R2122" s="4">
        <f t="shared" ca="1" si="201"/>
        <v>5.3065262147247267</v>
      </c>
      <c r="S2122" s="4">
        <f t="shared" ca="1" si="202"/>
        <v>2.697678298889135</v>
      </c>
    </row>
    <row r="2123" spans="15:19" x14ac:dyDescent="0.2">
      <c r="O2123" s="4">
        <f t="shared" ca="1" si="198"/>
        <v>0.70329252279046806</v>
      </c>
      <c r="P2123" s="4">
        <f t="shared" ca="1" si="199"/>
        <v>0.53389388300950824</v>
      </c>
      <c r="Q2123" s="4">
        <f t="shared" ca="1" si="200"/>
        <v>1907.0899926824964</v>
      </c>
      <c r="R2123" s="4">
        <f t="shared" ca="1" si="201"/>
        <v>-16.580051317503603</v>
      </c>
      <c r="S2123" s="4">
        <f t="shared" ca="1" si="202"/>
        <v>-8.2810818195449478</v>
      </c>
    </row>
    <row r="2124" spans="15:19" x14ac:dyDescent="0.2">
      <c r="O2124" s="4">
        <f t="shared" ca="1" si="198"/>
        <v>0.78411345013737932</v>
      </c>
      <c r="P2124" s="4">
        <f t="shared" ca="1" si="199"/>
        <v>0.78616112176789787</v>
      </c>
      <c r="Q2124" s="4">
        <f t="shared" ca="1" si="200"/>
        <v>1899.4475678847232</v>
      </c>
      <c r="R2124" s="4">
        <f t="shared" ca="1" si="201"/>
        <v>-24.222476115276777</v>
      </c>
      <c r="S2124" s="4">
        <f t="shared" ca="1" si="202"/>
        <v>-12.022815611611197</v>
      </c>
    </row>
    <row r="2125" spans="15:19" x14ac:dyDescent="0.2">
      <c r="O2125" s="4">
        <f t="shared" ca="1" si="198"/>
        <v>0.52712540997723356</v>
      </c>
      <c r="P2125" s="4">
        <f t="shared" ca="1" si="199"/>
        <v>6.8045794440486376E-2</v>
      </c>
      <c r="Q2125" s="4">
        <f t="shared" ca="1" si="200"/>
        <v>1921.2028398425075</v>
      </c>
      <c r="R2125" s="4">
        <f t="shared" ca="1" si="201"/>
        <v>-2.4672041574924606</v>
      </c>
      <c r="S2125" s="4">
        <f t="shared" ca="1" si="202"/>
        <v>-1.2464450409540557</v>
      </c>
    </row>
    <row r="2126" spans="15:19" x14ac:dyDescent="0.2">
      <c r="O2126" s="4">
        <f t="shared" ca="1" si="198"/>
        <v>0.16445325801636568</v>
      </c>
      <c r="P2126" s="4">
        <f t="shared" ca="1" si="199"/>
        <v>-0.97631878047534193</v>
      </c>
      <c r="Q2126" s="4">
        <f t="shared" ca="1" si="200"/>
        <v>1952.8418182708442</v>
      </c>
      <c r="R2126" s="4">
        <f t="shared" ca="1" si="201"/>
        <v>29.171774270844253</v>
      </c>
      <c r="S2126" s="4">
        <f t="shared" ca="1" si="202"/>
        <v>15.113450693786881</v>
      </c>
    </row>
    <row r="2127" spans="15:19" x14ac:dyDescent="0.2">
      <c r="O2127" s="4">
        <f t="shared" ca="1" si="198"/>
        <v>0.94359087689066468</v>
      </c>
      <c r="P2127" s="4">
        <f t="shared" ca="1" si="199"/>
        <v>1.5856521194243742</v>
      </c>
      <c r="Q2127" s="4">
        <f t="shared" ca="1" si="200"/>
        <v>1875.2270236073177</v>
      </c>
      <c r="R2127" s="4">
        <f t="shared" ca="1" si="201"/>
        <v>-48.443020392682229</v>
      </c>
      <c r="S2127" s="4">
        <f t="shared" ca="1" si="202"/>
        <v>-23.567051390261259</v>
      </c>
    </row>
    <row r="2128" spans="15:19" x14ac:dyDescent="0.2">
      <c r="O2128" s="4">
        <f t="shared" ca="1" si="198"/>
        <v>0.29225018468895503</v>
      </c>
      <c r="P2128" s="4">
        <f t="shared" ca="1" si="199"/>
        <v>-0.54682295733750286</v>
      </c>
      <c r="Q2128" s="4">
        <f t="shared" ca="1" si="200"/>
        <v>1939.8302613780663</v>
      </c>
      <c r="R2128" s="4">
        <f t="shared" ca="1" si="201"/>
        <v>16.160217378066363</v>
      </c>
      <c r="S2128" s="4">
        <f t="shared" ca="1" si="202"/>
        <v>8.2867675217224956</v>
      </c>
    </row>
    <row r="2129" spans="15:19" x14ac:dyDescent="0.2">
      <c r="O2129" s="4">
        <f t="shared" ca="1" si="198"/>
        <v>0.14049334584117223</v>
      </c>
      <c r="P2129" s="4">
        <f t="shared" ca="1" si="199"/>
        <v>-1.0781054680615154</v>
      </c>
      <c r="Q2129" s="4">
        <f t="shared" ca="1" si="200"/>
        <v>1955.9254414520403</v>
      </c>
      <c r="R2129" s="4">
        <f t="shared" ca="1" si="201"/>
        <v>32.25539745204037</v>
      </c>
      <c r="S2129" s="4">
        <f t="shared" ca="1" si="202"/>
        <v>16.751517292549568</v>
      </c>
    </row>
    <row r="2130" spans="15:19" x14ac:dyDescent="0.2">
      <c r="O2130" s="4">
        <f t="shared" ca="1" si="198"/>
        <v>0.70534683424072919</v>
      </c>
      <c r="P2130" s="4">
        <f t="shared" ca="1" si="199"/>
        <v>0.53984151869926911</v>
      </c>
      <c r="Q2130" s="4">
        <f t="shared" ca="1" si="200"/>
        <v>1906.9098093233442</v>
      </c>
      <c r="R2130" s="4">
        <f t="shared" ca="1" si="201"/>
        <v>-16.760234676655728</v>
      </c>
      <c r="S2130" s="4">
        <f t="shared" ca="1" si="202"/>
        <v>-8.3698469875192156</v>
      </c>
    </row>
    <row r="2131" spans="15:19" x14ac:dyDescent="0.2">
      <c r="O2131" s="4">
        <f t="shared" ca="1" si="198"/>
        <v>0.5186138858517102</v>
      </c>
      <c r="P2131" s="4">
        <f t="shared" ca="1" si="199"/>
        <v>4.6675034424753147E-2</v>
      </c>
      <c r="Q2131" s="4">
        <f t="shared" ca="1" si="200"/>
        <v>1921.8502660683439</v>
      </c>
      <c r="R2131" s="4">
        <f t="shared" ca="1" si="201"/>
        <v>-1.8197779316560627</v>
      </c>
      <c r="S2131" s="4">
        <f t="shared" ca="1" si="202"/>
        <v>-0.91984136647946235</v>
      </c>
    </row>
    <row r="2132" spans="15:19" x14ac:dyDescent="0.2">
      <c r="O2132" s="4">
        <f t="shared" ca="1" si="198"/>
        <v>0.26586901374335103</v>
      </c>
      <c r="P2132" s="4">
        <f t="shared" ca="1" si="199"/>
        <v>-0.62535509475169448</v>
      </c>
      <c r="Q2132" s="4">
        <f t="shared" ca="1" si="200"/>
        <v>1942.2093889942814</v>
      </c>
      <c r="R2132" s="4">
        <f t="shared" ca="1" si="201"/>
        <v>18.539344994281464</v>
      </c>
      <c r="S2132" s="4">
        <f t="shared" ca="1" si="202"/>
        <v>9.5247106969432611</v>
      </c>
    </row>
    <row r="2133" spans="15:19" x14ac:dyDescent="0.2">
      <c r="O2133" s="4">
        <f t="shared" ca="1" si="198"/>
        <v>0.66045565170843712</v>
      </c>
      <c r="P2133" s="4">
        <f t="shared" ca="1" si="199"/>
        <v>0.41370700463722487</v>
      </c>
      <c r="Q2133" s="4">
        <f t="shared" ca="1" si="200"/>
        <v>1910.731048826608</v>
      </c>
      <c r="R2133" s="4">
        <f t="shared" ca="1" si="201"/>
        <v>-12.938995173391959</v>
      </c>
      <c r="S2133" s="4">
        <f t="shared" ca="1" si="202"/>
        <v>-6.4816955417883246</v>
      </c>
    </row>
    <row r="2134" spans="15:19" x14ac:dyDescent="0.2">
      <c r="O2134" s="4">
        <f t="shared" ca="1" si="198"/>
        <v>0.97469330035166291</v>
      </c>
      <c r="P2134" s="4">
        <f t="shared" ca="1" si="199"/>
        <v>1.954743107436798</v>
      </c>
      <c r="Q2134" s="4">
        <f t="shared" ca="1" si="200"/>
        <v>1864.0454285127507</v>
      </c>
      <c r="R2134" s="4">
        <f t="shared" ca="1" si="201"/>
        <v>-59.62461548724923</v>
      </c>
      <c r="S2134" s="4">
        <f t="shared" ca="1" si="202"/>
        <v>-28.735394700876078</v>
      </c>
    </row>
    <row r="2135" spans="15:19" x14ac:dyDescent="0.2">
      <c r="O2135" s="4">
        <f t="shared" ca="1" si="198"/>
        <v>2.9004007100332463E-2</v>
      </c>
      <c r="P2135" s="4">
        <f t="shared" ca="1" si="199"/>
        <v>-1.8956373549256935</v>
      </c>
      <c r="Q2135" s="4">
        <f t="shared" ca="1" si="200"/>
        <v>1980.6925336669956</v>
      </c>
      <c r="R2135" s="4">
        <f t="shared" ca="1" si="201"/>
        <v>57.022489666995625</v>
      </c>
      <c r="S2135" s="4">
        <f t="shared" ca="1" si="202"/>
        <v>30.188954572670692</v>
      </c>
    </row>
    <row r="2136" spans="15:19" x14ac:dyDescent="0.2">
      <c r="O2136" s="4">
        <f t="shared" ca="1" si="198"/>
        <v>0.75977367721926992</v>
      </c>
      <c r="P2136" s="4">
        <f t="shared" ca="1" si="199"/>
        <v>0.70557472706204971</v>
      </c>
      <c r="Q2136" s="4">
        <f t="shared" ca="1" si="200"/>
        <v>1901.8889291343819</v>
      </c>
      <c r="R2136" s="4">
        <f t="shared" ca="1" si="201"/>
        <v>-21.781114865618065</v>
      </c>
      <c r="S2136" s="4">
        <f t="shared" ca="1" si="202"/>
        <v>-10.832693142405995</v>
      </c>
    </row>
    <row r="2137" spans="15:19" x14ac:dyDescent="0.2">
      <c r="O2137" s="4">
        <f t="shared" ca="1" si="198"/>
        <v>0.38170929920566088</v>
      </c>
      <c r="P2137" s="4">
        <f t="shared" ca="1" si="199"/>
        <v>-0.30099461818383305</v>
      </c>
      <c r="Q2137" s="4">
        <f t="shared" ca="1" si="200"/>
        <v>1932.3829027579375</v>
      </c>
      <c r="R2137" s="4">
        <f t="shared" ca="1" si="201"/>
        <v>8.7128587579375107</v>
      </c>
      <c r="S2137" s="4">
        <f t="shared" ca="1" si="202"/>
        <v>4.4414366605399582</v>
      </c>
    </row>
    <row r="2138" spans="15:19" x14ac:dyDescent="0.2">
      <c r="O2138" s="4">
        <f t="shared" ca="1" si="198"/>
        <v>0.76967600134496417</v>
      </c>
      <c r="P2138" s="4">
        <f t="shared" ca="1" si="199"/>
        <v>0.73778024911088436</v>
      </c>
      <c r="Q2138" s="4">
        <f t="shared" ca="1" si="200"/>
        <v>1900.9132642738052</v>
      </c>
      <c r="R2138" s="4">
        <f t="shared" ca="1" si="201"/>
        <v>-22.756779726194736</v>
      </c>
      <c r="S2138" s="4">
        <f t="shared" ca="1" si="202"/>
        <v>-11.308895441338031</v>
      </c>
    </row>
    <row r="2139" spans="15:19" x14ac:dyDescent="0.2">
      <c r="O2139" s="4">
        <f t="shared" ca="1" si="198"/>
        <v>0.35100629084666779</v>
      </c>
      <c r="P2139" s="4">
        <f t="shared" ca="1" si="199"/>
        <v>-0.38260510883272458</v>
      </c>
      <c r="Q2139" s="4">
        <f t="shared" ca="1" si="200"/>
        <v>1934.8552889487219</v>
      </c>
      <c r="R2139" s="4">
        <f t="shared" ca="1" si="201"/>
        <v>11.185244948721902</v>
      </c>
      <c r="S2139" s="4">
        <f t="shared" ca="1" si="202"/>
        <v>5.7130088620276585</v>
      </c>
    </row>
    <row r="2140" spans="15:19" x14ac:dyDescent="0.2">
      <c r="O2140" s="4">
        <f t="shared" ca="1" si="198"/>
        <v>0.76352059109811932</v>
      </c>
      <c r="P2140" s="4">
        <f t="shared" ca="1" si="199"/>
        <v>0.717673189922722</v>
      </c>
      <c r="Q2140" s="4">
        <f t="shared" ca="1" si="200"/>
        <v>1901.5224067391773</v>
      </c>
      <c r="R2140" s="4">
        <f t="shared" ca="1" si="201"/>
        <v>-22.147637260822648</v>
      </c>
      <c r="S2140" s="4">
        <f t="shared" ca="1" si="202"/>
        <v>-11.011676199636932</v>
      </c>
    </row>
    <row r="2141" spans="15:19" x14ac:dyDescent="0.2">
      <c r="O2141" s="4">
        <f t="shared" ca="1" si="198"/>
        <v>4.0767840036259884E-3</v>
      </c>
      <c r="P2141" s="4">
        <f t="shared" ca="1" si="199"/>
        <v>-2.6456435647007854</v>
      </c>
      <c r="Q2141" s="4">
        <f t="shared" ca="1" si="200"/>
        <v>2003.4139384926093</v>
      </c>
      <c r="R2141" s="4">
        <f t="shared" ca="1" si="201"/>
        <v>79.743894492609343</v>
      </c>
      <c r="S2141" s="4">
        <f t="shared" ca="1" si="202"/>
        <v>42.955729793133976</v>
      </c>
    </row>
    <row r="2142" spans="15:19" x14ac:dyDescent="0.2">
      <c r="O2142" s="4">
        <f t="shared" ca="1" si="198"/>
        <v>0.27254242103038118</v>
      </c>
      <c r="P2142" s="4">
        <f t="shared" ca="1" si="199"/>
        <v>-0.60514171035751374</v>
      </c>
      <c r="Q2142" s="4">
        <f t="shared" ca="1" si="200"/>
        <v>1941.5970254115136</v>
      </c>
      <c r="R2142" s="4">
        <f t="shared" ca="1" si="201"/>
        <v>17.92698141151368</v>
      </c>
      <c r="S2142" s="4">
        <f t="shared" ca="1" si="202"/>
        <v>9.2056361327799028</v>
      </c>
    </row>
    <row r="2143" spans="15:19" x14ac:dyDescent="0.2">
      <c r="O2143" s="4">
        <f t="shared" ca="1" si="198"/>
        <v>0.51922540614245283</v>
      </c>
      <c r="P2143" s="4">
        <f t="shared" ca="1" si="199"/>
        <v>4.8209614651460918E-2</v>
      </c>
      <c r="Q2143" s="4">
        <f t="shared" ca="1" si="200"/>
        <v>1921.8037760285094</v>
      </c>
      <c r="R2143" s="4">
        <f t="shared" ca="1" si="201"/>
        <v>-1.8662679714905153</v>
      </c>
      <c r="S2143" s="4">
        <f t="shared" ca="1" si="202"/>
        <v>-0.94330532282708568</v>
      </c>
    </row>
    <row r="2144" spans="15:19" x14ac:dyDescent="0.2">
      <c r="O2144" s="4">
        <f t="shared" ca="1" si="198"/>
        <v>0.85293885967581962</v>
      </c>
      <c r="P2144" s="4">
        <f t="shared" ca="1" si="199"/>
        <v>1.0491213290156787</v>
      </c>
      <c r="Q2144" s="4">
        <f t="shared" ca="1" si="200"/>
        <v>1891.4812000813208</v>
      </c>
      <c r="R2144" s="4">
        <f t="shared" ca="1" si="201"/>
        <v>-32.18884391867914</v>
      </c>
      <c r="S2144" s="4">
        <f t="shared" ca="1" si="202"/>
        <v>-15.872534831199344</v>
      </c>
    </row>
    <row r="2145" spans="15:19" x14ac:dyDescent="0.2">
      <c r="O2145" s="4">
        <f t="shared" ca="1" si="198"/>
        <v>0.52784232770404804</v>
      </c>
      <c r="P2145" s="4">
        <f t="shared" ca="1" si="199"/>
        <v>6.9847117239342199E-2</v>
      </c>
      <c r="Q2145" s="4">
        <f t="shared" ca="1" si="200"/>
        <v>1921.1482688482931</v>
      </c>
      <c r="R2145" s="4">
        <f t="shared" ca="1" si="201"/>
        <v>-2.5217751517068336</v>
      </c>
      <c r="S2145" s="4">
        <f t="shared" ca="1" si="202"/>
        <v>-1.2739585866968139</v>
      </c>
    </row>
    <row r="2146" spans="15:19" x14ac:dyDescent="0.2">
      <c r="O2146" s="4">
        <f t="shared" ca="1" si="198"/>
        <v>0.40317673894970785</v>
      </c>
      <c r="P2146" s="4">
        <f t="shared" ca="1" si="199"/>
        <v>-0.24513296649522553</v>
      </c>
      <c r="Q2146" s="4">
        <f t="shared" ca="1" si="200"/>
        <v>1930.6905765002323</v>
      </c>
      <c r="R2146" s="4">
        <f t="shared" ca="1" si="201"/>
        <v>7.0205325002323207</v>
      </c>
      <c r="S2146" s="4">
        <f t="shared" ca="1" si="202"/>
        <v>3.5739258948297996</v>
      </c>
    </row>
    <row r="2147" spans="15:19" x14ac:dyDescent="0.2">
      <c r="O2147" s="4">
        <f t="shared" ca="1" si="198"/>
        <v>0.16212664011694577</v>
      </c>
      <c r="P2147" s="4">
        <f t="shared" ca="1" si="199"/>
        <v>-0.98575514793322505</v>
      </c>
      <c r="Q2147" s="4">
        <f t="shared" ca="1" si="200"/>
        <v>1953.1276926040152</v>
      </c>
      <c r="R2147" s="4">
        <f t="shared" ca="1" si="201"/>
        <v>29.457648604015276</v>
      </c>
      <c r="S2147" s="4">
        <f t="shared" ca="1" si="202"/>
        <v>15.264985825015776</v>
      </c>
    </row>
    <row r="2148" spans="15:19" x14ac:dyDescent="0.2">
      <c r="O2148" s="4">
        <f t="shared" ca="1" si="198"/>
        <v>0.11426925811701372</v>
      </c>
      <c r="P2148" s="4">
        <f t="shared" ca="1" si="199"/>
        <v>-1.2041321219775984</v>
      </c>
      <c r="Q2148" s="4">
        <f t="shared" ca="1" si="200"/>
        <v>1959.7434133369711</v>
      </c>
      <c r="R2148" s="4">
        <f t="shared" ca="1" si="201"/>
        <v>36.073369336971155</v>
      </c>
      <c r="S2148" s="4">
        <f t="shared" ca="1" si="202"/>
        <v>18.790407182184492</v>
      </c>
    </row>
    <row r="2149" spans="15:19" x14ac:dyDescent="0.2">
      <c r="O2149" s="4">
        <f t="shared" ca="1" si="198"/>
        <v>0.9276604728371155</v>
      </c>
      <c r="P2149" s="4">
        <f t="shared" ca="1" si="199"/>
        <v>1.4585861265817477</v>
      </c>
      <c r="Q2149" s="4">
        <f t="shared" ca="1" si="200"/>
        <v>1879.0764822188826</v>
      </c>
      <c r="R2149" s="4">
        <f t="shared" ca="1" si="201"/>
        <v>-44.593561781117387</v>
      </c>
      <c r="S2149" s="4">
        <f t="shared" ca="1" si="202"/>
        <v>-21.76420570082302</v>
      </c>
    </row>
    <row r="2150" spans="15:19" x14ac:dyDescent="0.2">
      <c r="O2150" s="4">
        <f t="shared" ca="1" si="198"/>
        <v>0.45110543225264677</v>
      </c>
      <c r="P2150" s="4">
        <f t="shared" ca="1" si="199"/>
        <v>-0.1228689614772123</v>
      </c>
      <c r="Q2150" s="4">
        <f t="shared" ca="1" si="200"/>
        <v>1926.9865938966107</v>
      </c>
      <c r="R2150" s="4">
        <f t="shared" ca="1" si="201"/>
        <v>3.3165498966106952</v>
      </c>
      <c r="S2150" s="4">
        <f t="shared" ca="1" si="202"/>
        <v>1.6833476022148517</v>
      </c>
    </row>
    <row r="2151" spans="15:19" x14ac:dyDescent="0.2">
      <c r="O2151" s="4">
        <f t="shared" ca="1" si="198"/>
        <v>0.88053965223617003</v>
      </c>
      <c r="P2151" s="4">
        <f t="shared" ca="1" si="199"/>
        <v>1.1776887951065311</v>
      </c>
      <c r="Q2151" s="4">
        <f t="shared" ca="1" si="200"/>
        <v>1887.5862544043648</v>
      </c>
      <c r="R2151" s="4">
        <f t="shared" ca="1" si="201"/>
        <v>-36.083789595635153</v>
      </c>
      <c r="S2151" s="4">
        <f t="shared" ca="1" si="202"/>
        <v>-17.735947368221598</v>
      </c>
    </row>
    <row r="2152" spans="15:19" x14ac:dyDescent="0.2">
      <c r="O2152" s="4">
        <f t="shared" ca="1" si="198"/>
        <v>0.85913317216967955</v>
      </c>
      <c r="P2152" s="4">
        <f t="shared" ca="1" si="199"/>
        <v>1.0764329881330967</v>
      </c>
      <c r="Q2152" s="4">
        <f t="shared" ca="1" si="200"/>
        <v>1890.6537945809689</v>
      </c>
      <c r="R2152" s="4">
        <f t="shared" ca="1" si="201"/>
        <v>-33.016249419031055</v>
      </c>
      <c r="S2152" s="4">
        <f t="shared" ca="1" si="202"/>
        <v>-16.269413786513454</v>
      </c>
    </row>
    <row r="2153" spans="15:19" x14ac:dyDescent="0.2">
      <c r="O2153" s="4">
        <f t="shared" ca="1" si="198"/>
        <v>0.68600255226298712</v>
      </c>
      <c r="P2153" s="4">
        <f t="shared" ca="1" si="199"/>
        <v>0.48455097690640964</v>
      </c>
      <c r="Q2153" s="4">
        <f t="shared" ca="1" si="200"/>
        <v>1908.5848338321143</v>
      </c>
      <c r="R2153" s="4">
        <f t="shared" ca="1" si="201"/>
        <v>-15.085210167885634</v>
      </c>
      <c r="S2153" s="4">
        <f t="shared" ca="1" si="202"/>
        <v>-7.5436470206523554</v>
      </c>
    </row>
    <row r="2154" spans="15:19" x14ac:dyDescent="0.2">
      <c r="O2154" s="4">
        <f t="shared" ca="1" si="198"/>
        <v>5.2835942711263684E-2</v>
      </c>
      <c r="P2154" s="4">
        <f t="shared" ca="1" si="199"/>
        <v>-1.6179569046297004</v>
      </c>
      <c r="Q2154" s="4">
        <f t="shared" ca="1" si="200"/>
        <v>1972.2802167540117</v>
      </c>
      <c r="R2154" s="4">
        <f t="shared" ca="1" si="201"/>
        <v>48.610172754011728</v>
      </c>
      <c r="S2154" s="4">
        <f t="shared" ca="1" si="202"/>
        <v>25.56882935732855</v>
      </c>
    </row>
    <row r="2155" spans="15:19" x14ac:dyDescent="0.2">
      <c r="O2155" s="4">
        <f t="shared" ca="1" si="198"/>
        <v>0.26753494262221145</v>
      </c>
      <c r="P2155" s="4">
        <f t="shared" ca="1" si="199"/>
        <v>-0.62028543055733876</v>
      </c>
      <c r="Q2155" s="4">
        <f t="shared" ca="1" si="200"/>
        <v>1942.0558037426013</v>
      </c>
      <c r="R2155" s="4">
        <f t="shared" ca="1" si="201"/>
        <v>18.385759742601294</v>
      </c>
      <c r="S2155" s="4">
        <f t="shared" ca="1" si="202"/>
        <v>9.4446557869378651</v>
      </c>
    </row>
    <row r="2156" spans="15:19" x14ac:dyDescent="0.2">
      <c r="O2156" s="4">
        <f t="shared" ca="1" si="198"/>
        <v>5.4011663769298557E-2</v>
      </c>
      <c r="P2156" s="4">
        <f t="shared" ca="1" si="199"/>
        <v>-1.6071415176713006</v>
      </c>
      <c r="Q2156" s="4">
        <f t="shared" ca="1" si="200"/>
        <v>1971.9525650862993</v>
      </c>
      <c r="R2156" s="4">
        <f t="shared" ca="1" si="201"/>
        <v>48.282521086299312</v>
      </c>
      <c r="S2156" s="4">
        <f t="shared" ca="1" si="202"/>
        <v>25.390045625643022</v>
      </c>
    </row>
    <row r="2157" spans="15:19" x14ac:dyDescent="0.2">
      <c r="O2157" s="4">
        <f t="shared" ca="1" si="198"/>
        <v>0.92246432930880573</v>
      </c>
      <c r="P2157" s="4">
        <f t="shared" ca="1" si="199"/>
        <v>1.4218446946493744</v>
      </c>
      <c r="Q2157" s="4">
        <f t="shared" ca="1" si="200"/>
        <v>1880.1895622679913</v>
      </c>
      <c r="R2157" s="4">
        <f t="shared" ca="1" si="201"/>
        <v>-43.480481732008684</v>
      </c>
      <c r="S2157" s="4">
        <f t="shared" ca="1" si="202"/>
        <v>-21.240660082384643</v>
      </c>
    </row>
    <row r="2158" spans="15:19" x14ac:dyDescent="0.2">
      <c r="O2158" s="4">
        <f t="shared" ca="1" si="198"/>
        <v>0.70460117533583633</v>
      </c>
      <c r="P2158" s="4">
        <f t="shared" ca="1" si="199"/>
        <v>0.5376804921428423</v>
      </c>
      <c r="Q2158" s="4">
        <f t="shared" ca="1" si="200"/>
        <v>1906.9752775269237</v>
      </c>
      <c r="R2158" s="4">
        <f t="shared" ca="1" si="201"/>
        <v>-16.694766473076243</v>
      </c>
      <c r="S2158" s="4">
        <f t="shared" ca="1" si="202"/>
        <v>-8.337597920435492</v>
      </c>
    </row>
    <row r="2159" spans="15:19" x14ac:dyDescent="0.2">
      <c r="O2159" s="4">
        <f t="shared" ca="1" si="198"/>
        <v>0.70660321270296522</v>
      </c>
      <c r="P2159" s="4">
        <f t="shared" ca="1" si="199"/>
        <v>0.54348840135345478</v>
      </c>
      <c r="Q2159" s="4">
        <f t="shared" ca="1" si="200"/>
        <v>1906.7993271752537</v>
      </c>
      <c r="R2159" s="4">
        <f t="shared" ca="1" si="201"/>
        <v>-16.870716824746296</v>
      </c>
      <c r="S2159" s="4">
        <f t="shared" ca="1" si="202"/>
        <v>-8.42426161858433</v>
      </c>
    </row>
    <row r="2160" spans="15:19" x14ac:dyDescent="0.2">
      <c r="O2160" s="4">
        <f t="shared" ca="1" si="198"/>
        <v>0.1375606393488441</v>
      </c>
      <c r="P2160" s="4">
        <f t="shared" ca="1" si="199"/>
        <v>-1.0913446022991955</v>
      </c>
      <c r="Q2160" s="4">
        <f t="shared" ca="1" si="200"/>
        <v>1956.3265204359668</v>
      </c>
      <c r="R2160" s="4">
        <f t="shared" ca="1" si="201"/>
        <v>32.656476435966852</v>
      </c>
      <c r="S2160" s="4">
        <f t="shared" ca="1" si="202"/>
        <v>16.96514536390962</v>
      </c>
    </row>
    <row r="2161" spans="15:19" x14ac:dyDescent="0.2">
      <c r="O2161" s="4">
        <f t="shared" ca="1" si="198"/>
        <v>0.90134969402005449</v>
      </c>
      <c r="P2161" s="4">
        <f t="shared" ca="1" si="199"/>
        <v>1.2892804301356187</v>
      </c>
      <c r="Q2161" s="4">
        <f t="shared" ca="1" si="200"/>
        <v>1884.2055907757153</v>
      </c>
      <c r="R2161" s="4">
        <f t="shared" ca="1" si="201"/>
        <v>-39.464453224284625</v>
      </c>
      <c r="S2161" s="4">
        <f t="shared" ca="1" si="202"/>
        <v>-19.343305628790635</v>
      </c>
    </row>
    <row r="2162" spans="15:19" x14ac:dyDescent="0.2">
      <c r="O2162" s="4">
        <f t="shared" ca="1" si="198"/>
        <v>0.18189077914526641</v>
      </c>
      <c r="P2162" s="4">
        <f t="shared" ca="1" si="199"/>
        <v>-0.90818297342058185</v>
      </c>
      <c r="Q2162" s="4">
        <f t="shared" ca="1" si="200"/>
        <v>1950.7776470212816</v>
      </c>
      <c r="R2162" s="4">
        <f t="shared" ca="1" si="201"/>
        <v>27.107603021281648</v>
      </c>
      <c r="S2162" s="4">
        <f t="shared" ca="1" si="202"/>
        <v>14.021257645996254</v>
      </c>
    </row>
    <row r="2163" spans="15:19" x14ac:dyDescent="0.2">
      <c r="O2163" s="4">
        <f t="shared" ca="1" si="198"/>
        <v>0.85829839383417139</v>
      </c>
      <c r="P2163" s="4">
        <f t="shared" ca="1" si="199"/>
        <v>1.072705632676793</v>
      </c>
      <c r="Q2163" s="4">
        <f t="shared" ca="1" si="200"/>
        <v>1890.7667146490267</v>
      </c>
      <c r="R2163" s="4">
        <f t="shared" ca="1" si="201"/>
        <v>-32.903329350973308</v>
      </c>
      <c r="S2163" s="4">
        <f t="shared" ca="1" si="202"/>
        <v>-16.215282620144549</v>
      </c>
    </row>
    <row r="2164" spans="15:19" x14ac:dyDescent="0.2">
      <c r="O2164" s="4">
        <f t="shared" ca="1" si="198"/>
        <v>0.65083810101044615</v>
      </c>
      <c r="P2164" s="4">
        <f t="shared" ca="1" si="199"/>
        <v>0.38758415309188704</v>
      </c>
      <c r="Q2164" s="4">
        <f t="shared" ca="1" si="200"/>
        <v>1911.5224394543457</v>
      </c>
      <c r="R2164" s="4">
        <f t="shared" ca="1" si="201"/>
        <v>-12.147604545654303</v>
      </c>
      <c r="S2164" s="4">
        <f t="shared" ca="1" si="202"/>
        <v>-6.0891675218494363</v>
      </c>
    </row>
    <row r="2165" spans="15:19" x14ac:dyDescent="0.2">
      <c r="O2165" s="4">
        <f t="shared" ca="1" si="198"/>
        <v>0.48915718091283589</v>
      </c>
      <c r="P2165" s="4">
        <f t="shared" ca="1" si="199"/>
        <v>-2.7182263914309546E-2</v>
      </c>
      <c r="Q2165" s="4">
        <f t="shared" ca="1" si="200"/>
        <v>1924.0877696423361</v>
      </c>
      <c r="R2165" s="4">
        <f t="shared" ca="1" si="201"/>
        <v>0.41772564233610865</v>
      </c>
      <c r="S2165" s="4">
        <f t="shared" ca="1" si="202"/>
        <v>0.2115278431611255</v>
      </c>
    </row>
    <row r="2166" spans="15:19" x14ac:dyDescent="0.2">
      <c r="O2166" s="4">
        <f t="shared" ca="1" si="198"/>
        <v>0.48383025704513749</v>
      </c>
      <c r="P2166" s="4">
        <f t="shared" ca="1" si="199"/>
        <v>-4.0542638839796814E-2</v>
      </c>
      <c r="Q2166" s="4">
        <f t="shared" ca="1" si="200"/>
        <v>1924.4925216075162</v>
      </c>
      <c r="R2166" s="4">
        <f t="shared" ca="1" si="201"/>
        <v>0.8224776075162481</v>
      </c>
      <c r="S2166" s="4">
        <f t="shared" ca="1" si="202"/>
        <v>0.41662159089606665</v>
      </c>
    </row>
    <row r="2167" spans="15:19" x14ac:dyDescent="0.2">
      <c r="O2167" s="4">
        <f t="shared" ca="1" si="198"/>
        <v>0.59823163517899203</v>
      </c>
      <c r="P2167" s="4">
        <f t="shared" ca="1" si="199"/>
        <v>0.2487725447908562</v>
      </c>
      <c r="Q2167" s="4">
        <f t="shared" ca="1" si="200"/>
        <v>1915.7277309647293</v>
      </c>
      <c r="R2167" s="4">
        <f t="shared" ca="1" si="201"/>
        <v>-7.9423130352706721</v>
      </c>
      <c r="S2167" s="4">
        <f t="shared" ca="1" si="202"/>
        <v>-3.9947985889822943</v>
      </c>
    </row>
    <row r="2168" spans="15:19" x14ac:dyDescent="0.2">
      <c r="O2168" s="4">
        <f t="shared" ca="1" si="198"/>
        <v>0.51544009160377746</v>
      </c>
      <c r="P2168" s="4">
        <f t="shared" ca="1" si="199"/>
        <v>3.8712237270917466E-2</v>
      </c>
      <c r="Q2168" s="4">
        <f t="shared" ca="1" si="200"/>
        <v>1922.0914986545793</v>
      </c>
      <c r="R2168" s="4">
        <f t="shared" ca="1" si="201"/>
        <v>-1.5785453454207072</v>
      </c>
      <c r="S2168" s="4">
        <f t="shared" ca="1" si="202"/>
        <v>-0.79806077825644661</v>
      </c>
    </row>
    <row r="2169" spans="15:19" x14ac:dyDescent="0.2">
      <c r="O2169" s="4">
        <f t="shared" ca="1" si="198"/>
        <v>0.97908199609682733</v>
      </c>
      <c r="P2169" s="4">
        <f t="shared" ca="1" si="199"/>
        <v>2.0351477579354853</v>
      </c>
      <c r="Q2169" s="4">
        <f t="shared" ca="1" si="200"/>
        <v>1861.6095731957787</v>
      </c>
      <c r="R2169" s="4">
        <f t="shared" ca="1" si="201"/>
        <v>-62.060470804221268</v>
      </c>
      <c r="S2169" s="4">
        <f t="shared" ca="1" si="202"/>
        <v>-29.847790245663383</v>
      </c>
    </row>
    <row r="2170" spans="15:19" x14ac:dyDescent="0.2">
      <c r="O2170" s="4">
        <f t="shared" ca="1" si="198"/>
        <v>0.52109877687615413</v>
      </c>
      <c r="P2170" s="4">
        <f t="shared" ca="1" si="199"/>
        <v>5.2911469012639642E-2</v>
      </c>
      <c r="Q2170" s="4">
        <f t="shared" ca="1" si="200"/>
        <v>1921.6613335593952</v>
      </c>
      <c r="R2170" s="4">
        <f t="shared" ca="1" si="201"/>
        <v>-2.0087104406047729</v>
      </c>
      <c r="S2170" s="4">
        <f t="shared" ca="1" si="202"/>
        <v>-1.0151864093657392</v>
      </c>
    </row>
    <row r="2171" spans="15:19" x14ac:dyDescent="0.2">
      <c r="O2171" s="4">
        <f t="shared" ca="1" si="198"/>
        <v>0.59927539121083262</v>
      </c>
      <c r="P2171" s="4">
        <f t="shared" ca="1" si="199"/>
        <v>0.25147198701484058</v>
      </c>
      <c r="Q2171" s="4">
        <f t="shared" ca="1" si="200"/>
        <v>1915.6459514824062</v>
      </c>
      <c r="R2171" s="4">
        <f t="shared" ca="1" si="201"/>
        <v>-8.0240925175937718</v>
      </c>
      <c r="S2171" s="4">
        <f t="shared" ca="1" si="202"/>
        <v>-4.0356646437438854</v>
      </c>
    </row>
    <row r="2172" spans="15:19" x14ac:dyDescent="0.2">
      <c r="O2172" s="4">
        <f t="shared" ca="1" si="198"/>
        <v>0.57907956455558585</v>
      </c>
      <c r="P2172" s="4">
        <f t="shared" ca="1" si="199"/>
        <v>0.1995393429047797</v>
      </c>
      <c r="Q2172" s="4">
        <f t="shared" ca="1" si="200"/>
        <v>1917.2192486299632</v>
      </c>
      <c r="R2172" s="4">
        <f t="shared" ca="1" si="201"/>
        <v>-6.450795370036758</v>
      </c>
      <c r="S2172" s="4">
        <f t="shared" ca="1" si="202"/>
        <v>-3.2485165268807554</v>
      </c>
    </row>
    <row r="2173" spans="15:19" x14ac:dyDescent="0.2">
      <c r="O2173" s="4">
        <f t="shared" ca="1" si="198"/>
        <v>0.97616395648600629</v>
      </c>
      <c r="P2173" s="4">
        <f t="shared" ca="1" si="199"/>
        <v>1.9802798915068542</v>
      </c>
      <c r="Q2173" s="4">
        <f t="shared" ca="1" si="200"/>
        <v>1863.2717927731558</v>
      </c>
      <c r="R2173" s="4">
        <f t="shared" ca="1" si="201"/>
        <v>-60.398251226844195</v>
      </c>
      <c r="S2173" s="4">
        <f t="shared" ca="1" si="202"/>
        <v>-29.089218692505067</v>
      </c>
    </row>
    <row r="2174" spans="15:19" x14ac:dyDescent="0.2">
      <c r="O2174" s="4">
        <f t="shared" ca="1" si="198"/>
        <v>0.22653838530792814</v>
      </c>
      <c r="P2174" s="4">
        <f t="shared" ca="1" si="199"/>
        <v>-0.75029546950576043</v>
      </c>
      <c r="Q2174" s="4">
        <f t="shared" ca="1" si="200"/>
        <v>1945.9944521002285</v>
      </c>
      <c r="R2174" s="4">
        <f t="shared" ca="1" si="201"/>
        <v>22.324408100228538</v>
      </c>
      <c r="S2174" s="4">
        <f t="shared" ca="1" si="202"/>
        <v>11.503708879656116</v>
      </c>
    </row>
    <row r="2175" spans="15:19" x14ac:dyDescent="0.2">
      <c r="O2175" s="4">
        <f t="shared" ca="1" si="198"/>
        <v>0.99781164693948987</v>
      </c>
      <c r="P2175" s="4">
        <f t="shared" ca="1" si="199"/>
        <v>2.8496521894897486</v>
      </c>
      <c r="Q2175" s="4">
        <f t="shared" ca="1" si="200"/>
        <v>1836.9341976050212</v>
      </c>
      <c r="R2175" s="4">
        <f t="shared" ca="1" si="201"/>
        <v>-86.735846394978807</v>
      </c>
      <c r="S2175" s="4">
        <f t="shared" ca="1" si="202"/>
        <v>-40.844109652674668</v>
      </c>
    </row>
    <row r="2176" spans="15:19" x14ac:dyDescent="0.2">
      <c r="O2176" s="4">
        <f t="shared" ca="1" si="198"/>
        <v>0.2301761400404766</v>
      </c>
      <c r="P2176" s="4">
        <f t="shared" ca="1" si="199"/>
        <v>-0.73826689388672684</v>
      </c>
      <c r="Q2176" s="4">
        <f t="shared" ca="1" si="200"/>
        <v>1945.6300469359066</v>
      </c>
      <c r="R2176" s="4">
        <f t="shared" ca="1" si="201"/>
        <v>21.960002935906687</v>
      </c>
      <c r="S2176" s="4">
        <f t="shared" ca="1" si="202"/>
        <v>11.312674349525462</v>
      </c>
    </row>
    <row r="2177" spans="15:19" x14ac:dyDescent="0.2">
      <c r="O2177" s="4">
        <f t="shared" ca="1" si="198"/>
        <v>0.72105606171848846</v>
      </c>
      <c r="P2177" s="4">
        <f t="shared" ca="1" si="199"/>
        <v>0.58598160482105044</v>
      </c>
      <c r="Q2177" s="4">
        <f t="shared" ca="1" si="200"/>
        <v>1905.5119974628583</v>
      </c>
      <c r="R2177" s="4">
        <f t="shared" ca="1" si="201"/>
        <v>-18.158046537141672</v>
      </c>
      <c r="S2177" s="4">
        <f t="shared" ca="1" si="202"/>
        <v>-9.0575643245157291</v>
      </c>
    </row>
    <row r="2178" spans="15:19" x14ac:dyDescent="0.2">
      <c r="O2178" s="4">
        <f t="shared" ca="1" si="198"/>
        <v>0.27149082867522989</v>
      </c>
      <c r="P2178" s="4">
        <f t="shared" ca="1" si="199"/>
        <v>-0.60831035069330808</v>
      </c>
      <c r="Q2178" s="4">
        <f t="shared" ca="1" si="200"/>
        <v>1941.6930192298021</v>
      </c>
      <c r="R2178" s="4">
        <f t="shared" ca="1" si="201"/>
        <v>18.022975229802114</v>
      </c>
      <c r="S2178" s="4">
        <f t="shared" ca="1" si="202"/>
        <v>9.255633929001414</v>
      </c>
    </row>
    <row r="2179" spans="15:19" x14ac:dyDescent="0.2">
      <c r="O2179" s="4">
        <f t="shared" ref="O2179:O2242" ca="1" si="203">RAND()</f>
        <v>0.2435865518642446</v>
      </c>
      <c r="P2179" s="4">
        <f t="shared" ref="P2179:P2242" ca="1" si="204">NORMSINV(O2179)</f>
        <v>-0.6948120369835159</v>
      </c>
      <c r="Q2179" s="4">
        <f t="shared" ref="Q2179:Q2242" ca="1" si="205">$B$4*(1+$B$17-$B$6/SQRT(252)*P2179)</f>
        <v>1944.3135839753761</v>
      </c>
      <c r="R2179" s="4">
        <f t="shared" ref="R2179:R2242" ca="1" si="206">Q2179-$B$4</f>
        <v>20.643539975376143</v>
      </c>
      <c r="S2179" s="4">
        <f t="shared" ref="S2179:S2242" ca="1" si="207">R2179*$B$12+0.5*$B$13*R2179^2</f>
        <v>10.623437025285613</v>
      </c>
    </row>
    <row r="2180" spans="15:19" x14ac:dyDescent="0.2">
      <c r="O2180" s="4">
        <f t="shared" ca="1" si="203"/>
        <v>8.951160339175368E-2</v>
      </c>
      <c r="P2180" s="4">
        <f t="shared" ca="1" si="204"/>
        <v>-1.3437686602219217</v>
      </c>
      <c r="Q2180" s="4">
        <f t="shared" ca="1" si="205"/>
        <v>1963.9736960633609</v>
      </c>
      <c r="R2180" s="4">
        <f t="shared" ca="1" si="206"/>
        <v>40.303652063360914</v>
      </c>
      <c r="S2180" s="4">
        <f t="shared" ca="1" si="207"/>
        <v>21.063340332575969</v>
      </c>
    </row>
    <row r="2181" spans="15:19" x14ac:dyDescent="0.2">
      <c r="O2181" s="4">
        <f t="shared" ca="1" si="203"/>
        <v>0.86952743248452946</v>
      </c>
      <c r="P2181" s="4">
        <f t="shared" ca="1" si="204"/>
        <v>1.1241600476392404</v>
      </c>
      <c r="Q2181" s="4">
        <f t="shared" ca="1" si="205"/>
        <v>1889.2079054322637</v>
      </c>
      <c r="R2181" s="4">
        <f t="shared" ca="1" si="206"/>
        <v>-34.462138567736247</v>
      </c>
      <c r="S2181" s="4">
        <f t="shared" ca="1" si="207"/>
        <v>-16.961620810371585</v>
      </c>
    </row>
    <row r="2182" spans="15:19" x14ac:dyDescent="0.2">
      <c r="O2182" s="4">
        <f t="shared" ca="1" si="203"/>
        <v>0.4981940860367996</v>
      </c>
      <c r="P2182" s="4">
        <f t="shared" ca="1" si="204"/>
        <v>-4.5267704618281359E-3</v>
      </c>
      <c r="Q2182" s="4">
        <f t="shared" ca="1" si="205"/>
        <v>1923.4014224740743</v>
      </c>
      <c r="R2182" s="4">
        <f t="shared" ca="1" si="206"/>
        <v>-0.26862152592570965</v>
      </c>
      <c r="S2182" s="4">
        <f t="shared" ca="1" si="207"/>
        <v>-0.13594947443853989</v>
      </c>
    </row>
    <row r="2183" spans="15:19" x14ac:dyDescent="0.2">
      <c r="O2183" s="4">
        <f t="shared" ca="1" si="203"/>
        <v>0.68510724011094026</v>
      </c>
      <c r="P2183" s="4">
        <f t="shared" ca="1" si="204"/>
        <v>0.48202875446206112</v>
      </c>
      <c r="Q2183" s="4">
        <f t="shared" ca="1" si="205"/>
        <v>1908.6612444490818</v>
      </c>
      <c r="R2183" s="4">
        <f t="shared" ca="1" si="206"/>
        <v>-15.008799550918184</v>
      </c>
      <c r="S2183" s="4">
        <f t="shared" ca="1" si="207"/>
        <v>-7.5059032743461636</v>
      </c>
    </row>
    <row r="2184" spans="15:19" x14ac:dyDescent="0.2">
      <c r="O2184" s="4">
        <f t="shared" ca="1" si="203"/>
        <v>0.40826120198801807</v>
      </c>
      <c r="P2184" s="4">
        <f t="shared" ca="1" si="204"/>
        <v>-0.23202009771778576</v>
      </c>
      <c r="Q2184" s="4">
        <f t="shared" ca="1" si="205"/>
        <v>1930.2933227228182</v>
      </c>
      <c r="R2184" s="4">
        <f t="shared" ca="1" si="206"/>
        <v>6.6232787228182133</v>
      </c>
      <c r="S2184" s="4">
        <f t="shared" ca="1" si="207"/>
        <v>3.3706258038247801</v>
      </c>
    </row>
    <row r="2185" spans="15:19" x14ac:dyDescent="0.2">
      <c r="O2185" s="4">
        <f t="shared" ca="1" si="203"/>
        <v>0.13191890344448298</v>
      </c>
      <c r="P2185" s="4">
        <f t="shared" ca="1" si="204"/>
        <v>-1.1173661390896212</v>
      </c>
      <c r="Q2185" s="4">
        <f t="shared" ca="1" si="205"/>
        <v>1957.1148417377026</v>
      </c>
      <c r="R2185" s="4">
        <f t="shared" ca="1" si="206"/>
        <v>33.444797737702629</v>
      </c>
      <c r="S2185" s="4">
        <f t="shared" ca="1" si="207"/>
        <v>17.385413315966179</v>
      </c>
    </row>
    <row r="2186" spans="15:19" x14ac:dyDescent="0.2">
      <c r="O2186" s="4">
        <f t="shared" ca="1" si="203"/>
        <v>4.9311803474830551E-2</v>
      </c>
      <c r="P2186" s="4">
        <f t="shared" ca="1" si="204"/>
        <v>-1.6515632988135531</v>
      </c>
      <c r="Q2186" s="4">
        <f t="shared" ca="1" si="205"/>
        <v>1973.2983209737215</v>
      </c>
      <c r="R2186" s="4">
        <f t="shared" ca="1" si="206"/>
        <v>49.62827697372154</v>
      </c>
      <c r="S2186" s="4">
        <f t="shared" ca="1" si="207"/>
        <v>26.124917520272497</v>
      </c>
    </row>
    <row r="2187" spans="15:19" x14ac:dyDescent="0.2">
      <c r="O2187" s="4">
        <f t="shared" ca="1" si="203"/>
        <v>0.57513440811050465</v>
      </c>
      <c r="P2187" s="4">
        <f t="shared" ca="1" si="204"/>
        <v>0.18946142771383484</v>
      </c>
      <c r="Q2187" s="4">
        <f t="shared" ca="1" si="205"/>
        <v>1917.5245586232236</v>
      </c>
      <c r="R2187" s="4">
        <f t="shared" ca="1" si="206"/>
        <v>-6.145485376776378</v>
      </c>
      <c r="S2187" s="4">
        <f t="shared" ca="1" si="207"/>
        <v>-3.0955311125847973</v>
      </c>
    </row>
    <row r="2188" spans="15:19" x14ac:dyDescent="0.2">
      <c r="O2188" s="4">
        <f t="shared" ca="1" si="203"/>
        <v>0.40236176475627605</v>
      </c>
      <c r="P2188" s="4">
        <f t="shared" ca="1" si="204"/>
        <v>-0.24723865733457265</v>
      </c>
      <c r="Q2188" s="4">
        <f t="shared" ca="1" si="205"/>
        <v>1930.7543683107197</v>
      </c>
      <c r="R2188" s="4">
        <f t="shared" ca="1" si="206"/>
        <v>7.084324310719694</v>
      </c>
      <c r="S2188" s="4">
        <f t="shared" ca="1" si="207"/>
        <v>3.6065842045823211</v>
      </c>
    </row>
    <row r="2189" spans="15:19" x14ac:dyDescent="0.2">
      <c r="O2189" s="4">
        <f t="shared" ca="1" si="203"/>
        <v>0.84689744043889936</v>
      </c>
      <c r="P2189" s="4">
        <f t="shared" ca="1" si="204"/>
        <v>1.0232172913324578</v>
      </c>
      <c r="Q2189" s="4">
        <f t="shared" ca="1" si="205"/>
        <v>1892.2659617528207</v>
      </c>
      <c r="R2189" s="4">
        <f t="shared" ca="1" si="206"/>
        <v>-31.404082247179304</v>
      </c>
      <c r="S2189" s="4">
        <f t="shared" ca="1" si="207"/>
        <v>-15.495595694600652</v>
      </c>
    </row>
    <row r="2190" spans="15:19" x14ac:dyDescent="0.2">
      <c r="O2190" s="4">
        <f t="shared" ca="1" si="203"/>
        <v>0.12785519130607825</v>
      </c>
      <c r="P2190" s="4">
        <f t="shared" ca="1" si="204"/>
        <v>-1.1365884214591506</v>
      </c>
      <c r="Q2190" s="4">
        <f t="shared" ca="1" si="205"/>
        <v>1957.6971799286373</v>
      </c>
      <c r="R2190" s="4">
        <f t="shared" ca="1" si="206"/>
        <v>34.027135928637335</v>
      </c>
      <c r="S2190" s="4">
        <f t="shared" ca="1" si="207"/>
        <v>17.696192966049136</v>
      </c>
    </row>
    <row r="2191" spans="15:19" x14ac:dyDescent="0.2">
      <c r="O2191" s="4">
        <f t="shared" ca="1" si="203"/>
        <v>0.70829074196274378</v>
      </c>
      <c r="P2191" s="4">
        <f t="shared" ca="1" si="204"/>
        <v>0.5483981942608902</v>
      </c>
      <c r="Q2191" s="4">
        <f t="shared" ca="1" si="205"/>
        <v>1906.6505852171128</v>
      </c>
      <c r="R2191" s="4">
        <f t="shared" ca="1" si="206"/>
        <v>-17.019458782887114</v>
      </c>
      <c r="S2191" s="4">
        <f t="shared" ca="1" si="207"/>
        <v>-8.4975042630790387</v>
      </c>
    </row>
    <row r="2192" spans="15:19" x14ac:dyDescent="0.2">
      <c r="O2192" s="4">
        <f t="shared" ca="1" si="203"/>
        <v>0.50391186373831753</v>
      </c>
      <c r="P2192" s="4">
        <f t="shared" ca="1" si="204"/>
        <v>9.8057453920928888E-3</v>
      </c>
      <c r="Q2192" s="4">
        <f t="shared" ca="1" si="205"/>
        <v>1922.967219542629</v>
      </c>
      <c r="R2192" s="4">
        <f t="shared" ca="1" si="206"/>
        <v>-0.70282445737097987</v>
      </c>
      <c r="S2192" s="4">
        <f t="shared" ca="1" si="207"/>
        <v>-0.35557554760272642</v>
      </c>
    </row>
    <row r="2193" spans="15:19" x14ac:dyDescent="0.2">
      <c r="O2193" s="4">
        <f t="shared" ca="1" si="203"/>
        <v>0.35905908750285875</v>
      </c>
      <c r="P2193" s="4">
        <f t="shared" ca="1" si="204"/>
        <v>-0.36097494774976885</v>
      </c>
      <c r="Q2193" s="4">
        <f t="shared" ca="1" si="205"/>
        <v>1934.2000041790714</v>
      </c>
      <c r="R2193" s="4">
        <f t="shared" ca="1" si="206"/>
        <v>10.529960179071395</v>
      </c>
      <c r="S2193" s="4">
        <f t="shared" ca="1" si="207"/>
        <v>5.3755048433423891</v>
      </c>
    </row>
    <row r="2194" spans="15:19" x14ac:dyDescent="0.2">
      <c r="O2194" s="4">
        <f t="shared" ca="1" si="203"/>
        <v>0.75985432357642779</v>
      </c>
      <c r="P2194" s="4">
        <f t="shared" ca="1" si="204"/>
        <v>0.70583403634885511</v>
      </c>
      <c r="Q2194" s="4">
        <f t="shared" ca="1" si="205"/>
        <v>1901.8810733710511</v>
      </c>
      <c r="R2194" s="4">
        <f t="shared" ca="1" si="206"/>
        <v>-21.788970628948846</v>
      </c>
      <c r="S2194" s="4">
        <f t="shared" ca="1" si="207"/>
        <v>-10.836530476610232</v>
      </c>
    </row>
    <row r="2195" spans="15:19" x14ac:dyDescent="0.2">
      <c r="O2195" s="4">
        <f t="shared" ca="1" si="203"/>
        <v>0.17622260043378646</v>
      </c>
      <c r="P2195" s="4">
        <f t="shared" ca="1" si="204"/>
        <v>-0.92985686169698534</v>
      </c>
      <c r="Q2195" s="4">
        <f t="shared" ca="1" si="205"/>
        <v>1951.4342565043162</v>
      </c>
      <c r="R2195" s="4">
        <f t="shared" ca="1" si="206"/>
        <v>27.76421250431622</v>
      </c>
      <c r="S2195" s="4">
        <f t="shared" ca="1" si="207"/>
        <v>14.368306239145722</v>
      </c>
    </row>
    <row r="2196" spans="15:19" x14ac:dyDescent="0.2">
      <c r="O2196" s="4">
        <f t="shared" ca="1" si="203"/>
        <v>6.8285726916094802E-2</v>
      </c>
      <c r="P2196" s="4">
        <f t="shared" ca="1" si="204"/>
        <v>-1.4886807598827148</v>
      </c>
      <c r="Q2196" s="4">
        <f t="shared" ca="1" si="205"/>
        <v>1968.3638016886327</v>
      </c>
      <c r="R2196" s="4">
        <f t="shared" ca="1" si="206"/>
        <v>44.693757688632786</v>
      </c>
      <c r="S2196" s="4">
        <f t="shared" ca="1" si="207"/>
        <v>23.437551708095214</v>
      </c>
    </row>
    <row r="2197" spans="15:19" x14ac:dyDescent="0.2">
      <c r="O2197" s="4">
        <f t="shared" ca="1" si="203"/>
        <v>0.8621709609361905</v>
      </c>
      <c r="P2197" s="4">
        <f t="shared" ca="1" si="204"/>
        <v>1.0901250158838349</v>
      </c>
      <c r="Q2197" s="4">
        <f t="shared" ca="1" si="205"/>
        <v>1890.2389952081726</v>
      </c>
      <c r="R2197" s="4">
        <f t="shared" ca="1" si="206"/>
        <v>-33.431048791827379</v>
      </c>
      <c r="S2197" s="4">
        <f t="shared" ca="1" si="207"/>
        <v>-16.468169528791275</v>
      </c>
    </row>
    <row r="2198" spans="15:19" x14ac:dyDescent="0.2">
      <c r="O2198" s="4">
        <f t="shared" ca="1" si="203"/>
        <v>0.17773544943415454</v>
      </c>
      <c r="P2198" s="4">
        <f t="shared" ca="1" si="204"/>
        <v>-0.92402961139594519</v>
      </c>
      <c r="Q2198" s="4">
        <f t="shared" ca="1" si="205"/>
        <v>1951.2577202151701</v>
      </c>
      <c r="R2198" s="4">
        <f t="shared" ca="1" si="206"/>
        <v>27.587676215170177</v>
      </c>
      <c r="S2198" s="4">
        <f t="shared" ca="1" si="207"/>
        <v>14.274964115844472</v>
      </c>
    </row>
    <row r="2199" spans="15:19" x14ac:dyDescent="0.2">
      <c r="O2199" s="4">
        <f t="shared" ca="1" si="203"/>
        <v>0.37767762607323163</v>
      </c>
      <c r="P2199" s="4">
        <f t="shared" ca="1" si="204"/>
        <v>-0.31158589890410487</v>
      </c>
      <c r="Q2199" s="4">
        <f t="shared" ca="1" si="205"/>
        <v>1932.7037651371159</v>
      </c>
      <c r="R2199" s="4">
        <f t="shared" ca="1" si="206"/>
        <v>9.0337211371158901</v>
      </c>
      <c r="S2199" s="4">
        <f t="shared" ca="1" si="207"/>
        <v>4.6061782772904563</v>
      </c>
    </row>
    <row r="2200" spans="15:19" x14ac:dyDescent="0.2">
      <c r="O2200" s="4">
        <f t="shared" ca="1" si="203"/>
        <v>0.49282040919654124</v>
      </c>
      <c r="P2200" s="4">
        <f t="shared" ca="1" si="204"/>
        <v>-1.7997536862051612E-2</v>
      </c>
      <c r="Q2200" s="4">
        <f t="shared" ca="1" si="205"/>
        <v>1923.8095187440806</v>
      </c>
      <c r="R2200" s="4">
        <f t="shared" ca="1" si="206"/>
        <v>0.13947474408064409</v>
      </c>
      <c r="S2200" s="4">
        <f t="shared" ca="1" si="207"/>
        <v>7.0611400396339646E-2</v>
      </c>
    </row>
    <row r="2201" spans="15:19" x14ac:dyDescent="0.2">
      <c r="O2201" s="4">
        <f t="shared" ca="1" si="203"/>
        <v>0.87671380539998933</v>
      </c>
      <c r="P2201" s="4">
        <f t="shared" ca="1" si="204"/>
        <v>1.1587149640592229</v>
      </c>
      <c r="Q2201" s="4">
        <f t="shared" ca="1" si="205"/>
        <v>1888.1610657735241</v>
      </c>
      <c r="R2201" s="4">
        <f t="shared" ca="1" si="206"/>
        <v>-35.508978226475847</v>
      </c>
      <c r="S2201" s="4">
        <f t="shared" ca="1" si="207"/>
        <v>-17.461724072846515</v>
      </c>
    </row>
    <row r="2202" spans="15:19" x14ac:dyDescent="0.2">
      <c r="O2202" s="4">
        <f t="shared" ca="1" si="203"/>
        <v>0.91747747663436752</v>
      </c>
      <c r="P2202" s="4">
        <f t="shared" ca="1" si="204"/>
        <v>1.38830218640721</v>
      </c>
      <c r="Q2202" s="4">
        <f t="shared" ca="1" si="205"/>
        <v>1881.2057310659338</v>
      </c>
      <c r="R2202" s="4">
        <f t="shared" ca="1" si="206"/>
        <v>-42.464312934066129</v>
      </c>
      <c r="S2202" s="4">
        <f t="shared" ca="1" si="207"/>
        <v>-20.761816637782726</v>
      </c>
    </row>
    <row r="2203" spans="15:19" x14ac:dyDescent="0.2">
      <c r="O2203" s="4">
        <f t="shared" ca="1" si="203"/>
        <v>0.14203573105571854</v>
      </c>
      <c r="P2203" s="4">
        <f t="shared" ca="1" si="204"/>
        <v>-1.0712179061958411</v>
      </c>
      <c r="Q2203" s="4">
        <f t="shared" ca="1" si="205"/>
        <v>1955.7167830711207</v>
      </c>
      <c r="R2203" s="4">
        <f t="shared" ca="1" si="206"/>
        <v>32.046739071120783</v>
      </c>
      <c r="S2203" s="4">
        <f t="shared" ca="1" si="207"/>
        <v>16.640430655388371</v>
      </c>
    </row>
    <row r="2204" spans="15:19" x14ac:dyDescent="0.2">
      <c r="O2204" s="4">
        <f t="shared" ca="1" si="203"/>
        <v>0.77425855096620833</v>
      </c>
      <c r="P2204" s="4">
        <f t="shared" ca="1" si="204"/>
        <v>0.75294511175489698</v>
      </c>
      <c r="Q2204" s="4">
        <f t="shared" ca="1" si="205"/>
        <v>1900.4538454333094</v>
      </c>
      <c r="R2204" s="4">
        <f t="shared" ca="1" si="206"/>
        <v>-23.216198566690537</v>
      </c>
      <c r="S2204" s="4">
        <f t="shared" ca="1" si="207"/>
        <v>-11.532860109335404</v>
      </c>
    </row>
    <row r="2205" spans="15:19" x14ac:dyDescent="0.2">
      <c r="O2205" s="4">
        <f t="shared" ca="1" si="203"/>
        <v>0.83024599607467908</v>
      </c>
      <c r="P2205" s="4">
        <f t="shared" ca="1" si="204"/>
        <v>0.95513781520950225</v>
      </c>
      <c r="Q2205" s="4">
        <f t="shared" ca="1" si="205"/>
        <v>1894.3284264593051</v>
      </c>
      <c r="R2205" s="4">
        <f t="shared" ca="1" si="206"/>
        <v>-29.34161754069487</v>
      </c>
      <c r="S2205" s="4">
        <f t="shared" ca="1" si="207"/>
        <v>-14.502555877323317</v>
      </c>
    </row>
    <row r="2206" spans="15:19" x14ac:dyDescent="0.2">
      <c r="O2206" s="4">
        <f t="shared" ca="1" si="203"/>
        <v>0.67696576026601007</v>
      </c>
      <c r="P2206" s="4">
        <f t="shared" ca="1" si="204"/>
        <v>0.45923073801383829</v>
      </c>
      <c r="Q2206" s="4">
        <f t="shared" ca="1" si="205"/>
        <v>1909.3519093451716</v>
      </c>
      <c r="R2206" s="4">
        <f t="shared" ca="1" si="206"/>
        <v>-14.318134654828327</v>
      </c>
      <c r="S2206" s="4">
        <f t="shared" ca="1" si="207"/>
        <v>-7.164527160295223</v>
      </c>
    </row>
    <row r="2207" spans="15:19" x14ac:dyDescent="0.2">
      <c r="O2207" s="4">
        <f t="shared" ca="1" si="203"/>
        <v>0.91411379571443041</v>
      </c>
      <c r="P2207" s="4">
        <f t="shared" ca="1" si="204"/>
        <v>1.3665308377599059</v>
      </c>
      <c r="Q2207" s="4">
        <f t="shared" ca="1" si="205"/>
        <v>1881.8652931065778</v>
      </c>
      <c r="R2207" s="4">
        <f t="shared" ca="1" si="206"/>
        <v>-41.804750893422124</v>
      </c>
      <c r="S2207" s="4">
        <f t="shared" ca="1" si="207"/>
        <v>-20.450565055084226</v>
      </c>
    </row>
    <row r="2208" spans="15:19" x14ac:dyDescent="0.2">
      <c r="O2208" s="4">
        <f t="shared" ca="1" si="203"/>
        <v>0.18373884366932824</v>
      </c>
      <c r="P2208" s="4">
        <f t="shared" ca="1" si="204"/>
        <v>-0.90120809571344329</v>
      </c>
      <c r="Q2208" s="4">
        <f t="shared" ca="1" si="205"/>
        <v>1950.5663434108214</v>
      </c>
      <c r="R2208" s="4">
        <f t="shared" ca="1" si="206"/>
        <v>26.896299410821484</v>
      </c>
      <c r="S2208" s="4">
        <f t="shared" ca="1" si="207"/>
        <v>13.909648532370337</v>
      </c>
    </row>
    <row r="2209" spans="15:19" x14ac:dyDescent="0.2">
      <c r="O2209" s="4">
        <f t="shared" ca="1" si="203"/>
        <v>0.21016983445230752</v>
      </c>
      <c r="P2209" s="4">
        <f t="shared" ca="1" si="204"/>
        <v>-0.80583209585411253</v>
      </c>
      <c r="Q2209" s="4">
        <f t="shared" ca="1" si="205"/>
        <v>1947.6769317296814</v>
      </c>
      <c r="R2209" s="4">
        <f t="shared" ca="1" si="206"/>
        <v>24.006887729681466</v>
      </c>
      <c r="S2209" s="4">
        <f t="shared" ca="1" si="207"/>
        <v>12.387128188867088</v>
      </c>
    </row>
    <row r="2210" spans="15:19" x14ac:dyDescent="0.2">
      <c r="O2210" s="4">
        <f t="shared" ca="1" si="203"/>
        <v>0.1269865350396997</v>
      </c>
      <c r="P2210" s="4">
        <f t="shared" ca="1" si="204"/>
        <v>-1.1407521691541569</v>
      </c>
      <c r="Q2210" s="4">
        <f t="shared" ca="1" si="205"/>
        <v>1957.8233204801916</v>
      </c>
      <c r="R2210" s="4">
        <f t="shared" ca="1" si="206"/>
        <v>34.153276480191607</v>
      </c>
      <c r="S2210" s="4">
        <f t="shared" ca="1" si="207"/>
        <v>17.76354747227813</v>
      </c>
    </row>
    <row r="2211" spans="15:19" x14ac:dyDescent="0.2">
      <c r="O2211" s="4">
        <f t="shared" ca="1" si="203"/>
        <v>0.18716579258995314</v>
      </c>
      <c r="P2211" s="4">
        <f t="shared" ca="1" si="204"/>
        <v>-0.88838891658113195</v>
      </c>
      <c r="Q2211" s="4">
        <f t="shared" ca="1" si="205"/>
        <v>1950.1779869481666</v>
      </c>
      <c r="R2211" s="4">
        <f t="shared" ca="1" si="206"/>
        <v>26.507942948166601</v>
      </c>
      <c r="S2211" s="4">
        <f t="shared" ca="1" si="207"/>
        <v>13.704616119086163</v>
      </c>
    </row>
    <row r="2212" spans="15:19" x14ac:dyDescent="0.2">
      <c r="O2212" s="4">
        <f t="shared" ca="1" si="203"/>
        <v>0.61359219356954198</v>
      </c>
      <c r="P2212" s="4">
        <f t="shared" ca="1" si="204"/>
        <v>0.28869392388077558</v>
      </c>
      <c r="Q2212" s="4">
        <f t="shared" ca="1" si="205"/>
        <v>1914.5183145576693</v>
      </c>
      <c r="R2212" s="4">
        <f t="shared" ca="1" si="206"/>
        <v>-9.1517294423306339</v>
      </c>
      <c r="S2212" s="4">
        <f t="shared" ca="1" si="207"/>
        <v>-4.5986013463132078</v>
      </c>
    </row>
    <row r="2213" spans="15:19" x14ac:dyDescent="0.2">
      <c r="O2213" s="4">
        <f t="shared" ca="1" si="203"/>
        <v>0.38781475301026269</v>
      </c>
      <c r="P2213" s="4">
        <f t="shared" ca="1" si="204"/>
        <v>-0.2850191037432126</v>
      </c>
      <c r="Q2213" s="4">
        <f t="shared" ca="1" si="205"/>
        <v>1931.8989252572555</v>
      </c>
      <c r="R2213" s="4">
        <f t="shared" ca="1" si="206"/>
        <v>8.2288812572555798</v>
      </c>
      <c r="S2213" s="4">
        <f t="shared" ca="1" si="207"/>
        <v>4.193104777227159</v>
      </c>
    </row>
    <row r="2214" spans="15:19" x14ac:dyDescent="0.2">
      <c r="O2214" s="4">
        <f t="shared" ca="1" si="203"/>
        <v>0.62625532995827127</v>
      </c>
      <c r="P2214" s="4">
        <f t="shared" ca="1" si="204"/>
        <v>0.32195162814763451</v>
      </c>
      <c r="Q2214" s="4">
        <f t="shared" ca="1" si="205"/>
        <v>1913.5107738835136</v>
      </c>
      <c r="R2214" s="4">
        <f t="shared" ca="1" si="206"/>
        <v>-10.159270116486368</v>
      </c>
      <c r="S2214" s="4">
        <f t="shared" ca="1" si="207"/>
        <v>-5.1007081141096604</v>
      </c>
    </row>
    <row r="2215" spans="15:19" x14ac:dyDescent="0.2">
      <c r="O2215" s="4">
        <f t="shared" ca="1" si="203"/>
        <v>8.501916416473243E-3</v>
      </c>
      <c r="P2215" s="4">
        <f t="shared" ca="1" si="204"/>
        <v>-2.3866248470520253</v>
      </c>
      <c r="Q2215" s="4">
        <f t="shared" ca="1" si="205"/>
        <v>1995.5669779416112</v>
      </c>
      <c r="R2215" s="4">
        <f t="shared" ca="1" si="206"/>
        <v>71.896933941611223</v>
      </c>
      <c r="S2215" s="4">
        <f t="shared" ca="1" si="207"/>
        <v>38.499141852279415</v>
      </c>
    </row>
    <row r="2216" spans="15:19" x14ac:dyDescent="0.2">
      <c r="O2216" s="4">
        <f t="shared" ca="1" si="203"/>
        <v>0.42842349512571098</v>
      </c>
      <c r="P2216" s="4">
        <f t="shared" ca="1" si="204"/>
        <v>-0.18038925369431549</v>
      </c>
      <c r="Q2216" s="4">
        <f t="shared" ca="1" si="205"/>
        <v>1928.7291685954845</v>
      </c>
      <c r="R2216" s="4">
        <f t="shared" ca="1" si="206"/>
        <v>5.0591245954844908</v>
      </c>
      <c r="S2216" s="4">
        <f t="shared" ca="1" si="207"/>
        <v>2.5713972555568039</v>
      </c>
    </row>
    <row r="2217" spans="15:19" x14ac:dyDescent="0.2">
      <c r="O2217" s="4">
        <f t="shared" ca="1" si="203"/>
        <v>0.47345518570670531</v>
      </c>
      <c r="P2217" s="4">
        <f t="shared" ca="1" si="204"/>
        <v>-6.6587155579107118E-2</v>
      </c>
      <c r="Q2217" s="4">
        <f t="shared" ca="1" si="205"/>
        <v>1925.2815390857834</v>
      </c>
      <c r="R2217" s="4">
        <f t="shared" ca="1" si="206"/>
        <v>1.6114950857834174</v>
      </c>
      <c r="S2217" s="4">
        <f t="shared" ca="1" si="207"/>
        <v>0.8168117216184867</v>
      </c>
    </row>
    <row r="2218" spans="15:19" x14ac:dyDescent="0.2">
      <c r="O2218" s="4">
        <f t="shared" ca="1" si="203"/>
        <v>0.90778442169777385</v>
      </c>
      <c r="P2218" s="4">
        <f t="shared" ca="1" si="204"/>
        <v>1.3272343991734721</v>
      </c>
      <c r="Q2218" s="4">
        <f t="shared" ca="1" si="205"/>
        <v>1883.0557769688317</v>
      </c>
      <c r="R2218" s="4">
        <f t="shared" ca="1" si="206"/>
        <v>-40.61426703116831</v>
      </c>
      <c r="S2218" s="4">
        <f t="shared" ca="1" si="207"/>
        <v>-19.887871489548438</v>
      </c>
    </row>
    <row r="2219" spans="15:19" x14ac:dyDescent="0.2">
      <c r="O2219" s="4">
        <f t="shared" ca="1" si="203"/>
        <v>0.44580831264899912</v>
      </c>
      <c r="P2219" s="4">
        <f t="shared" ca="1" si="204"/>
        <v>-0.1362588854951198</v>
      </c>
      <c r="Q2219" s="4">
        <f t="shared" ca="1" si="205"/>
        <v>1927.3922410502339</v>
      </c>
      <c r="R2219" s="4">
        <f t="shared" ca="1" si="206"/>
        <v>3.7221970502339445</v>
      </c>
      <c r="S2219" s="4">
        <f t="shared" ca="1" si="207"/>
        <v>1.8898524481103378</v>
      </c>
    </row>
    <row r="2220" spans="15:19" x14ac:dyDescent="0.2">
      <c r="O2220" s="4">
        <f t="shared" ca="1" si="203"/>
        <v>0.74791587931470482</v>
      </c>
      <c r="P2220" s="4">
        <f t="shared" ca="1" si="204"/>
        <v>0.66794572028326904</v>
      </c>
      <c r="Q2220" s="4">
        <f t="shared" ca="1" si="205"/>
        <v>1903.0288982240547</v>
      </c>
      <c r="R2220" s="4">
        <f t="shared" ca="1" si="206"/>
        <v>-20.641145775945233</v>
      </c>
      <c r="S2220" s="4">
        <f t="shared" ca="1" si="207"/>
        <v>-10.275315517884174</v>
      </c>
    </row>
    <row r="2221" spans="15:19" x14ac:dyDescent="0.2">
      <c r="O2221" s="4">
        <f t="shared" ca="1" si="203"/>
        <v>0.34056911405844681</v>
      </c>
      <c r="P2221" s="4">
        <f t="shared" ca="1" si="204"/>
        <v>-0.41091041103668829</v>
      </c>
      <c r="Q2221" s="4">
        <f t="shared" ca="1" si="205"/>
        <v>1935.712796822264</v>
      </c>
      <c r="R2221" s="4">
        <f t="shared" ca="1" si="206"/>
        <v>12.042752822263992</v>
      </c>
      <c r="S2221" s="4">
        <f t="shared" ca="1" si="207"/>
        <v>6.1551958294014701</v>
      </c>
    </row>
    <row r="2222" spans="15:19" x14ac:dyDescent="0.2">
      <c r="O2222" s="4">
        <f t="shared" ca="1" si="203"/>
        <v>0.30402964212469863</v>
      </c>
      <c r="P2222" s="4">
        <f t="shared" ca="1" si="204"/>
        <v>-0.51284566431500211</v>
      </c>
      <c r="Q2222" s="4">
        <f t="shared" ca="1" si="205"/>
        <v>1938.8009207945076</v>
      </c>
      <c r="R2222" s="4">
        <f t="shared" ca="1" si="206"/>
        <v>15.130876794507685</v>
      </c>
      <c r="S2222" s="4">
        <f t="shared" ca="1" si="207"/>
        <v>7.7525938647201817</v>
      </c>
    </row>
    <row r="2223" spans="15:19" x14ac:dyDescent="0.2">
      <c r="O2223" s="4">
        <f t="shared" ca="1" si="203"/>
        <v>0.78010970932140011</v>
      </c>
      <c r="P2223" s="4">
        <f t="shared" ca="1" si="204"/>
        <v>0.77256378966770733</v>
      </c>
      <c r="Q2223" s="4">
        <f t="shared" ca="1" si="205"/>
        <v>1899.8594984569904</v>
      </c>
      <c r="R2223" s="4">
        <f t="shared" ca="1" si="206"/>
        <v>-23.810545543009539</v>
      </c>
      <c r="S2223" s="4">
        <f t="shared" ca="1" si="207"/>
        <v>-11.822346702757997</v>
      </c>
    </row>
    <row r="2224" spans="15:19" x14ac:dyDescent="0.2">
      <c r="O2224" s="4">
        <f t="shared" ca="1" si="203"/>
        <v>0.83837534147855663</v>
      </c>
      <c r="P2224" s="4">
        <f t="shared" ca="1" si="204"/>
        <v>0.98780263456072714</v>
      </c>
      <c r="Q2224" s="4">
        <f t="shared" ca="1" si="205"/>
        <v>1893.3388472073452</v>
      </c>
      <c r="R2224" s="4">
        <f t="shared" ca="1" si="206"/>
        <v>-30.331196792654737</v>
      </c>
      <c r="S2224" s="4">
        <f t="shared" ca="1" si="207"/>
        <v>-14.979452751212477</v>
      </c>
    </row>
    <row r="2225" spans="15:19" x14ac:dyDescent="0.2">
      <c r="O2225" s="4">
        <f t="shared" ca="1" si="203"/>
        <v>5.9485536420200713E-2</v>
      </c>
      <c r="P2225" s="4">
        <f t="shared" ca="1" si="204"/>
        <v>-1.5591069336913284</v>
      </c>
      <c r="Q2225" s="4">
        <f t="shared" ca="1" si="205"/>
        <v>1970.4973594973137</v>
      </c>
      <c r="R2225" s="4">
        <f t="shared" ca="1" si="206"/>
        <v>46.827315497313748</v>
      </c>
      <c r="S2225" s="4">
        <f t="shared" ca="1" si="207"/>
        <v>24.597066144887982</v>
      </c>
    </row>
    <row r="2226" spans="15:19" x14ac:dyDescent="0.2">
      <c r="O2226" s="4">
        <f t="shared" ca="1" si="203"/>
        <v>0.39739806457808202</v>
      </c>
      <c r="P2226" s="4">
        <f t="shared" ca="1" si="204"/>
        <v>-0.2600876952663515</v>
      </c>
      <c r="Q2226" s="4">
        <f t="shared" ca="1" si="205"/>
        <v>1931.1436293443787</v>
      </c>
      <c r="R2226" s="4">
        <f t="shared" ca="1" si="206"/>
        <v>7.4735853443787619</v>
      </c>
      <c r="S2226" s="4">
        <f t="shared" ca="1" si="207"/>
        <v>3.8059387434586283</v>
      </c>
    </row>
    <row r="2227" spans="15:19" x14ac:dyDescent="0.2">
      <c r="O2227" s="4">
        <f t="shared" ca="1" si="203"/>
        <v>2.6862798699869295E-3</v>
      </c>
      <c r="P2227" s="4">
        <f t="shared" ca="1" si="204"/>
        <v>-2.7838033463085341</v>
      </c>
      <c r="Q2227" s="4">
        <f t="shared" ca="1" si="205"/>
        <v>2007.5994829422605</v>
      </c>
      <c r="R2227" s="4">
        <f t="shared" ca="1" si="206"/>
        <v>83.929438942260504</v>
      </c>
      <c r="S2227" s="4">
        <f t="shared" ca="1" si="207"/>
        <v>45.353361053490289</v>
      </c>
    </row>
    <row r="2228" spans="15:19" x14ac:dyDescent="0.2">
      <c r="O2228" s="4">
        <f t="shared" ca="1" si="203"/>
        <v>0.20653665647387143</v>
      </c>
      <c r="P2228" s="4">
        <f t="shared" ca="1" si="204"/>
        <v>-0.8184972477496939</v>
      </c>
      <c r="Q2228" s="4">
        <f t="shared" ca="1" si="205"/>
        <v>1948.0606219440381</v>
      </c>
      <c r="R2228" s="4">
        <f t="shared" ca="1" si="206"/>
        <v>24.390577944038114</v>
      </c>
      <c r="S2228" s="4">
        <f t="shared" ca="1" si="207"/>
        <v>12.588915060109606</v>
      </c>
    </row>
    <row r="2229" spans="15:19" x14ac:dyDescent="0.2">
      <c r="O2229" s="4">
        <f t="shared" ca="1" si="203"/>
        <v>0.41891937429407089</v>
      </c>
      <c r="P2229" s="4">
        <f t="shared" ca="1" si="204"/>
        <v>-0.20465875295696756</v>
      </c>
      <c r="Q2229" s="4">
        <f t="shared" ca="1" si="205"/>
        <v>1929.4644119981053</v>
      </c>
      <c r="R2229" s="4">
        <f t="shared" ca="1" si="206"/>
        <v>5.794367998105372</v>
      </c>
      <c r="S2229" s="4">
        <f t="shared" ca="1" si="207"/>
        <v>2.9468330632632993</v>
      </c>
    </row>
    <row r="2230" spans="15:19" x14ac:dyDescent="0.2">
      <c r="O2230" s="4">
        <f t="shared" ca="1" si="203"/>
        <v>0.54570948197554969</v>
      </c>
      <c r="P2230" s="4">
        <f t="shared" ca="1" si="204"/>
        <v>0.11482852862141443</v>
      </c>
      <c r="Q2230" s="4">
        <f t="shared" ca="1" si="205"/>
        <v>1919.7855589876026</v>
      </c>
      <c r="R2230" s="4">
        <f t="shared" ca="1" si="206"/>
        <v>-3.8844850123973629</v>
      </c>
      <c r="S2230" s="4">
        <f t="shared" ca="1" si="207"/>
        <v>-1.9602220027851174</v>
      </c>
    </row>
    <row r="2231" spans="15:19" x14ac:dyDescent="0.2">
      <c r="O2231" s="4">
        <f t="shared" ca="1" si="203"/>
        <v>0.46684767126850213</v>
      </c>
      <c r="P2231" s="4">
        <f t="shared" ca="1" si="204"/>
        <v>-8.3196441080744768E-2</v>
      </c>
      <c r="Q2231" s="4">
        <f t="shared" ca="1" si="205"/>
        <v>1925.7847166526199</v>
      </c>
      <c r="R2231" s="4">
        <f t="shared" ca="1" si="206"/>
        <v>2.1146726526199018</v>
      </c>
      <c r="S2231" s="4">
        <f t="shared" ca="1" si="207"/>
        <v>1.0722883583954013</v>
      </c>
    </row>
    <row r="2232" spans="15:19" x14ac:dyDescent="0.2">
      <c r="O2232" s="4">
        <f t="shared" ca="1" si="203"/>
        <v>0.89418230409272714</v>
      </c>
      <c r="P2232" s="4">
        <f t="shared" ca="1" si="204"/>
        <v>1.2490811569175189</v>
      </c>
      <c r="Q2232" s="4">
        <f t="shared" ca="1" si="205"/>
        <v>1885.4234259730501</v>
      </c>
      <c r="R2232" s="4">
        <f t="shared" ca="1" si="206"/>
        <v>-38.246618026949818</v>
      </c>
      <c r="S2232" s="4">
        <f t="shared" ca="1" si="207"/>
        <v>-18.765350260853847</v>
      </c>
    </row>
    <row r="2233" spans="15:19" x14ac:dyDescent="0.2">
      <c r="O2233" s="4">
        <f t="shared" ca="1" si="203"/>
        <v>0.16425492282630449</v>
      </c>
      <c r="P2233" s="4">
        <f t="shared" ca="1" si="204"/>
        <v>-0.9771198015840431</v>
      </c>
      <c r="Q2233" s="4">
        <f t="shared" ca="1" si="205"/>
        <v>1952.8660851697675</v>
      </c>
      <c r="R2233" s="4">
        <f t="shared" ca="1" si="206"/>
        <v>29.196041169767568</v>
      </c>
      <c r="S2233" s="4">
        <f t="shared" ca="1" si="207"/>
        <v>15.12631141095779</v>
      </c>
    </row>
    <row r="2234" spans="15:19" x14ac:dyDescent="0.2">
      <c r="O2234" s="4">
        <f t="shared" ca="1" si="203"/>
        <v>0.55619438742406924</v>
      </c>
      <c r="P2234" s="4">
        <f t="shared" ca="1" si="204"/>
        <v>0.14132750079995046</v>
      </c>
      <c r="Q2234" s="4">
        <f t="shared" ca="1" si="205"/>
        <v>1918.9827738019817</v>
      </c>
      <c r="R2234" s="4">
        <f t="shared" ca="1" si="206"/>
        <v>-4.6872701980182683</v>
      </c>
      <c r="S2234" s="4">
        <f t="shared" ca="1" si="207"/>
        <v>-2.3637985704041413</v>
      </c>
    </row>
    <row r="2235" spans="15:19" x14ac:dyDescent="0.2">
      <c r="O2235" s="4">
        <f t="shared" ca="1" si="203"/>
        <v>0.29179924229324616</v>
      </c>
      <c r="P2235" s="4">
        <f t="shared" ca="1" si="204"/>
        <v>-0.54813605610507121</v>
      </c>
      <c r="Q2235" s="4">
        <f t="shared" ca="1" si="205"/>
        <v>1939.8700416469298</v>
      </c>
      <c r="R2235" s="4">
        <f t="shared" ca="1" si="206"/>
        <v>16.199997646929887</v>
      </c>
      <c r="S2235" s="4">
        <f t="shared" ca="1" si="207"/>
        <v>8.3074287028873837</v>
      </c>
    </row>
    <row r="2236" spans="15:19" x14ac:dyDescent="0.2">
      <c r="O2236" s="4">
        <f t="shared" ca="1" si="203"/>
        <v>0.56003639779344483</v>
      </c>
      <c r="P2236" s="4">
        <f t="shared" ca="1" si="204"/>
        <v>0.15106149753363668</v>
      </c>
      <c r="Q2236" s="4">
        <f t="shared" ca="1" si="205"/>
        <v>1918.6878828031145</v>
      </c>
      <c r="R2236" s="4">
        <f t="shared" ca="1" si="206"/>
        <v>-4.9821611968854995</v>
      </c>
      <c r="S2236" s="4">
        <f t="shared" ca="1" si="207"/>
        <v>-2.5119145537569914</v>
      </c>
    </row>
    <row r="2237" spans="15:19" x14ac:dyDescent="0.2">
      <c r="O2237" s="4">
        <f t="shared" ca="1" si="203"/>
        <v>0.10753264347985536</v>
      </c>
      <c r="P2237" s="4">
        <f t="shared" ca="1" si="204"/>
        <v>-1.2397570006749852</v>
      </c>
      <c r="Q2237" s="4">
        <f t="shared" ca="1" si="205"/>
        <v>1960.8226674553996</v>
      </c>
      <c r="R2237" s="4">
        <f t="shared" ca="1" si="206"/>
        <v>37.152623455399635</v>
      </c>
      <c r="S2237" s="4">
        <f t="shared" ca="1" si="207"/>
        <v>19.368906646895766</v>
      </c>
    </row>
    <row r="2238" spans="15:19" x14ac:dyDescent="0.2">
      <c r="O2238" s="4">
        <f t="shared" ca="1" si="203"/>
        <v>0.11153151382721271</v>
      </c>
      <c r="P2238" s="4">
        <f t="shared" ca="1" si="204"/>
        <v>-1.2184236360104121</v>
      </c>
      <c r="Q2238" s="4">
        <f t="shared" ca="1" si="205"/>
        <v>1960.1763741200664</v>
      </c>
      <c r="R2238" s="4">
        <f t="shared" ca="1" si="206"/>
        <v>36.506330120066423</v>
      </c>
      <c r="S2238" s="4">
        <f t="shared" ca="1" si="207"/>
        <v>19.022367981308044</v>
      </c>
    </row>
    <row r="2239" spans="15:19" x14ac:dyDescent="0.2">
      <c r="O2239" s="4">
        <f t="shared" ca="1" si="203"/>
        <v>0.98217702905160442</v>
      </c>
      <c r="P2239" s="4">
        <f t="shared" ca="1" si="204"/>
        <v>2.1009433219032476</v>
      </c>
      <c r="Q2239" s="4">
        <f t="shared" ca="1" si="205"/>
        <v>1859.6162995066322</v>
      </c>
      <c r="R2239" s="4">
        <f t="shared" ca="1" si="206"/>
        <v>-64.053744493367731</v>
      </c>
      <c r="S2239" s="4">
        <f t="shared" ca="1" si="207"/>
        <v>-30.754475789159827</v>
      </c>
    </row>
    <row r="2240" spans="15:19" x14ac:dyDescent="0.2">
      <c r="O2240" s="4">
        <f t="shared" ca="1" si="203"/>
        <v>0.55522012288417399</v>
      </c>
      <c r="P2240" s="4">
        <f t="shared" ca="1" si="204"/>
        <v>0.13886129811944056</v>
      </c>
      <c r="Q2240" s="4">
        <f t="shared" ca="1" si="205"/>
        <v>1919.0574873026908</v>
      </c>
      <c r="R2240" s="4">
        <f t="shared" ca="1" si="206"/>
        <v>-4.6125566973091736</v>
      </c>
      <c r="S2240" s="4">
        <f t="shared" ca="1" si="207"/>
        <v>-2.3262607054408253</v>
      </c>
    </row>
    <row r="2241" spans="15:19" x14ac:dyDescent="0.2">
      <c r="O2241" s="4">
        <f t="shared" ca="1" si="203"/>
        <v>0.77082685985068844</v>
      </c>
      <c r="P2241" s="4">
        <f t="shared" ca="1" si="204"/>
        <v>0.74157268160363177</v>
      </c>
      <c r="Q2241" s="4">
        <f t="shared" ca="1" si="205"/>
        <v>1900.7983726998177</v>
      </c>
      <c r="R2241" s="4">
        <f t="shared" ca="1" si="206"/>
        <v>-22.871671300182243</v>
      </c>
      <c r="S2241" s="4">
        <f t="shared" ca="1" si="207"/>
        <v>-11.364920692444146</v>
      </c>
    </row>
    <row r="2242" spans="15:19" x14ac:dyDescent="0.2">
      <c r="O2242" s="4">
        <f t="shared" ca="1" si="203"/>
        <v>8.6605001415680949E-2</v>
      </c>
      <c r="P2242" s="4">
        <f t="shared" ca="1" si="204"/>
        <v>-1.3619616039110183</v>
      </c>
      <c r="Q2242" s="4">
        <f t="shared" ca="1" si="205"/>
        <v>1964.5248504846738</v>
      </c>
      <c r="R2242" s="4">
        <f t="shared" ca="1" si="206"/>
        <v>40.854806484673873</v>
      </c>
      <c r="S2242" s="4">
        <f t="shared" ca="1" si="207"/>
        <v>21.360548648880442</v>
      </c>
    </row>
    <row r="2243" spans="15:19" x14ac:dyDescent="0.2">
      <c r="O2243" s="4">
        <f t="shared" ref="O2243:O2306" ca="1" si="208">RAND()</f>
        <v>0.61558442624764242</v>
      </c>
      <c r="P2243" s="4">
        <f t="shared" ref="P2243:P2306" ca="1" si="209">NORMSINV(O2243)</f>
        <v>0.29390414914267249</v>
      </c>
      <c r="Q2243" s="4">
        <f t="shared" ref="Q2243:Q2306" ca="1" si="210">$B$4*(1+$B$17-$B$6/SQRT(252)*P2243)</f>
        <v>1914.360471014689</v>
      </c>
      <c r="R2243" s="4">
        <f t="shared" ref="R2243:R2306" ca="1" si="211">Q2243-$B$4</f>
        <v>-9.3095729853109788</v>
      </c>
      <c r="S2243" s="4">
        <f t="shared" ref="S2243:S2306" ca="1" si="212">R2243*$B$12+0.5*$B$13*R2243^2</f>
        <v>-4.677317095173871</v>
      </c>
    </row>
    <row r="2244" spans="15:19" x14ac:dyDescent="0.2">
      <c r="O2244" s="4">
        <f t="shared" ca="1" si="208"/>
        <v>0.80297472536656112</v>
      </c>
      <c r="P2244" s="4">
        <f t="shared" ca="1" si="209"/>
        <v>0.85229469577669303</v>
      </c>
      <c r="Q2244" s="4">
        <f t="shared" ca="1" si="210"/>
        <v>1897.4440541963909</v>
      </c>
      <c r="R2244" s="4">
        <f t="shared" ca="1" si="211"/>
        <v>-26.225989803609082</v>
      </c>
      <c r="S2244" s="4">
        <f t="shared" ca="1" si="212"/>
        <v>-12.995869671783581</v>
      </c>
    </row>
    <row r="2245" spans="15:19" x14ac:dyDescent="0.2">
      <c r="O2245" s="4">
        <f t="shared" ca="1" si="208"/>
        <v>0.92919083383783119</v>
      </c>
      <c r="P2245" s="4">
        <f t="shared" ca="1" si="209"/>
        <v>1.4697911295758062</v>
      </c>
      <c r="Q2245" s="4">
        <f t="shared" ca="1" si="210"/>
        <v>1878.7370271506684</v>
      </c>
      <c r="R2245" s="4">
        <f t="shared" ca="1" si="211"/>
        <v>-44.93301684933158</v>
      </c>
      <c r="S2245" s="4">
        <f t="shared" ca="1" si="212"/>
        <v>-21.923670245397616</v>
      </c>
    </row>
    <row r="2246" spans="15:19" x14ac:dyDescent="0.2">
      <c r="O2246" s="4">
        <f t="shared" ca="1" si="208"/>
        <v>0.81230401403569741</v>
      </c>
      <c r="P2246" s="4">
        <f t="shared" ca="1" si="209"/>
        <v>0.88641865202918857</v>
      </c>
      <c r="Q2246" s="4">
        <f t="shared" ca="1" si="210"/>
        <v>1896.4102704567908</v>
      </c>
      <c r="R2246" s="4">
        <f t="shared" ca="1" si="211"/>
        <v>-27.259773543209121</v>
      </c>
      <c r="S2246" s="4">
        <f t="shared" ca="1" si="212"/>
        <v>-13.496673164938295</v>
      </c>
    </row>
    <row r="2247" spans="15:19" x14ac:dyDescent="0.2">
      <c r="O2247" s="4">
        <f t="shared" ca="1" si="208"/>
        <v>0.51444008058394919</v>
      </c>
      <c r="P2247" s="4">
        <f t="shared" ca="1" si="209"/>
        <v>3.6203821550539333E-2</v>
      </c>
      <c r="Q2247" s="4">
        <f t="shared" ca="1" si="210"/>
        <v>1922.1674909974568</v>
      </c>
      <c r="R2247" s="4">
        <f t="shared" ca="1" si="211"/>
        <v>-1.502553002543209</v>
      </c>
      <c r="S2247" s="4">
        <f t="shared" ca="1" si="212"/>
        <v>-0.75968802109456202</v>
      </c>
    </row>
    <row r="2248" spans="15:19" x14ac:dyDescent="0.2">
      <c r="O2248" s="4">
        <f t="shared" ca="1" si="208"/>
        <v>0.4112423315147663</v>
      </c>
      <c r="P2248" s="4">
        <f t="shared" ca="1" si="209"/>
        <v>-0.2243503986866221</v>
      </c>
      <c r="Q2248" s="4">
        <f t="shared" ca="1" si="210"/>
        <v>1930.060969531196</v>
      </c>
      <c r="R2248" s="4">
        <f t="shared" ca="1" si="211"/>
        <v>6.3909255311959896</v>
      </c>
      <c r="S2248" s="4">
        <f t="shared" ca="1" si="212"/>
        <v>3.2517754090157371</v>
      </c>
    </row>
    <row r="2249" spans="15:19" x14ac:dyDescent="0.2">
      <c r="O2249" s="4">
        <f t="shared" ca="1" si="208"/>
        <v>0.20877176210243786</v>
      </c>
      <c r="P2249" s="4">
        <f t="shared" ca="1" si="209"/>
        <v>-0.81069033650240396</v>
      </c>
      <c r="Q2249" s="4">
        <f t="shared" ca="1" si="210"/>
        <v>1947.8241119144204</v>
      </c>
      <c r="R2249" s="4">
        <f t="shared" ca="1" si="211"/>
        <v>24.154067914420466</v>
      </c>
      <c r="S2249" s="4">
        <f t="shared" ca="1" si="212"/>
        <v>12.464517684401374</v>
      </c>
    </row>
    <row r="2250" spans="15:19" x14ac:dyDescent="0.2">
      <c r="O2250" s="4">
        <f t="shared" ca="1" si="208"/>
        <v>0.92859796941199357</v>
      </c>
      <c r="P2250" s="4">
        <f t="shared" ca="1" si="209"/>
        <v>1.465428446150739</v>
      </c>
      <c r="Q2250" s="4">
        <f t="shared" ca="1" si="210"/>
        <v>1878.8691944513321</v>
      </c>
      <c r="R2250" s="4">
        <f t="shared" ca="1" si="211"/>
        <v>-44.800849548667884</v>
      </c>
      <c r="S2250" s="4">
        <f t="shared" ca="1" si="212"/>
        <v>-21.861593656584784</v>
      </c>
    </row>
    <row r="2251" spans="15:19" x14ac:dyDescent="0.2">
      <c r="O2251" s="4">
        <f t="shared" ca="1" si="208"/>
        <v>0.64359030574527498</v>
      </c>
      <c r="P2251" s="4">
        <f t="shared" ca="1" si="209"/>
        <v>0.36807221435331272</v>
      </c>
      <c r="Q2251" s="4">
        <f t="shared" ca="1" si="210"/>
        <v>1912.1135527721203</v>
      </c>
      <c r="R2251" s="4">
        <f t="shared" ca="1" si="211"/>
        <v>-11.556491227879633</v>
      </c>
      <c r="S2251" s="4">
        <f t="shared" ca="1" si="212"/>
        <v>-5.7956439457963063</v>
      </c>
    </row>
    <row r="2252" spans="15:19" x14ac:dyDescent="0.2">
      <c r="O2252" s="4">
        <f t="shared" ca="1" si="208"/>
        <v>9.9725803003801516E-2</v>
      </c>
      <c r="P2252" s="4">
        <f t="shared" ca="1" si="209"/>
        <v>-1.283115523345818</v>
      </c>
      <c r="Q2252" s="4">
        <f t="shared" ca="1" si="210"/>
        <v>1962.1362119746379</v>
      </c>
      <c r="R2252" s="4">
        <f t="shared" ca="1" si="211"/>
        <v>38.466167974637983</v>
      </c>
      <c r="S2252" s="4">
        <f t="shared" ca="1" si="212"/>
        <v>20.074269384833951</v>
      </c>
    </row>
    <row r="2253" spans="15:19" x14ac:dyDescent="0.2">
      <c r="O2253" s="4">
        <f t="shared" ca="1" si="208"/>
        <v>0.8810555314721602</v>
      </c>
      <c r="P2253" s="4">
        <f t="shared" ca="1" si="209"/>
        <v>1.1802798312466145</v>
      </c>
      <c r="Q2253" s="4">
        <f t="shared" ca="1" si="210"/>
        <v>1887.5077590795404</v>
      </c>
      <c r="R2253" s="4">
        <f t="shared" ca="1" si="211"/>
        <v>-36.16228492045957</v>
      </c>
      <c r="S2253" s="4">
        <f t="shared" ca="1" si="212"/>
        <v>-17.773373989436152</v>
      </c>
    </row>
    <row r="2254" spans="15:19" x14ac:dyDescent="0.2">
      <c r="O2254" s="4">
        <f t="shared" ca="1" si="208"/>
        <v>6.5265984626100226E-2</v>
      </c>
      <c r="P2254" s="4">
        <f t="shared" ca="1" si="209"/>
        <v>-1.5120074423326633</v>
      </c>
      <c r="Q2254" s="4">
        <f t="shared" ca="1" si="210"/>
        <v>1969.0704824977729</v>
      </c>
      <c r="R2254" s="4">
        <f t="shared" ca="1" si="211"/>
        <v>45.400438497772939</v>
      </c>
      <c r="S2254" s="4">
        <f t="shared" ca="1" si="212"/>
        <v>23.821197673666575</v>
      </c>
    </row>
    <row r="2255" spans="15:19" x14ac:dyDescent="0.2">
      <c r="O2255" s="4">
        <f t="shared" ca="1" si="208"/>
        <v>0.18452242128829299</v>
      </c>
      <c r="P2255" s="4">
        <f t="shared" ca="1" si="209"/>
        <v>-0.89826395821039773</v>
      </c>
      <c r="Q2255" s="4">
        <f t="shared" ca="1" si="210"/>
        <v>1950.4771508958834</v>
      </c>
      <c r="R2255" s="4">
        <f t="shared" ca="1" si="211"/>
        <v>26.807106895883408</v>
      </c>
      <c r="S2255" s="4">
        <f t="shared" ca="1" si="212"/>
        <v>13.862548569748423</v>
      </c>
    </row>
    <row r="2256" spans="15:19" x14ac:dyDescent="0.2">
      <c r="O2256" s="4">
        <f t="shared" ca="1" si="208"/>
        <v>0.22677423808568919</v>
      </c>
      <c r="P2256" s="4">
        <f t="shared" ca="1" si="209"/>
        <v>-0.74951231949896302</v>
      </c>
      <c r="Q2256" s="4">
        <f t="shared" ca="1" si="210"/>
        <v>1945.9707266055436</v>
      </c>
      <c r="R2256" s="4">
        <f t="shared" ca="1" si="211"/>
        <v>22.30068260554367</v>
      </c>
      <c r="S2256" s="4">
        <f t="shared" ca="1" si="212"/>
        <v>11.491267816357347</v>
      </c>
    </row>
    <row r="2257" spans="15:19" x14ac:dyDescent="0.2">
      <c r="O2257" s="4">
        <f t="shared" ca="1" si="208"/>
        <v>0.21759330345803496</v>
      </c>
      <c r="P2257" s="4">
        <f t="shared" ca="1" si="209"/>
        <v>-0.78034708192218416</v>
      </c>
      <c r="Q2257" s="4">
        <f t="shared" ca="1" si="210"/>
        <v>1946.9048643641229</v>
      </c>
      <c r="R2257" s="4">
        <f t="shared" ca="1" si="211"/>
        <v>23.234820364122925</v>
      </c>
      <c r="S2257" s="4">
        <f t="shared" ca="1" si="212"/>
        <v>11.981452772257555</v>
      </c>
    </row>
    <row r="2258" spans="15:19" x14ac:dyDescent="0.2">
      <c r="O2258" s="4">
        <f t="shared" ca="1" si="208"/>
        <v>0.48133772043937539</v>
      </c>
      <c r="P2258" s="4">
        <f t="shared" ca="1" si="209"/>
        <v>-4.6796472015365173E-2</v>
      </c>
      <c r="Q2258" s="4">
        <f t="shared" ca="1" si="210"/>
        <v>1924.6819812059061</v>
      </c>
      <c r="R2258" s="4">
        <f t="shared" ca="1" si="211"/>
        <v>1.0119372059061789</v>
      </c>
      <c r="S2258" s="4">
        <f t="shared" ca="1" si="212"/>
        <v>0.51266937122912148</v>
      </c>
    </row>
    <row r="2259" spans="15:19" x14ac:dyDescent="0.2">
      <c r="O2259" s="4">
        <f t="shared" ca="1" si="208"/>
        <v>0.42698880106740245</v>
      </c>
      <c r="P2259" s="4">
        <f t="shared" ca="1" si="209"/>
        <v>-0.18404570212841631</v>
      </c>
      <c r="Q2259" s="4">
        <f t="shared" ca="1" si="210"/>
        <v>1928.839940538453</v>
      </c>
      <c r="R2259" s="4">
        <f t="shared" ca="1" si="211"/>
        <v>5.1698965384530311</v>
      </c>
      <c r="S2259" s="4">
        <f t="shared" ca="1" si="212"/>
        <v>2.6279323435651594</v>
      </c>
    </row>
    <row r="2260" spans="15:19" x14ac:dyDescent="0.2">
      <c r="O2260" s="4">
        <f t="shared" ca="1" si="208"/>
        <v>0.65835694191196514</v>
      </c>
      <c r="P2260" s="4">
        <f t="shared" ca="1" si="209"/>
        <v>0.40798305387171308</v>
      </c>
      <c r="Q2260" s="4">
        <f t="shared" ca="1" si="210"/>
        <v>1910.9044556609115</v>
      </c>
      <c r="R2260" s="4">
        <f t="shared" ca="1" si="211"/>
        <v>-12.765588339088481</v>
      </c>
      <c r="S2260" s="4">
        <f t="shared" ca="1" si="212"/>
        <v>-6.3957297539584763</v>
      </c>
    </row>
    <row r="2261" spans="15:19" x14ac:dyDescent="0.2">
      <c r="O2261" s="4">
        <f t="shared" ca="1" si="208"/>
        <v>0.60765995626578029</v>
      </c>
      <c r="P2261" s="4">
        <f t="shared" ca="1" si="209"/>
        <v>0.27322522917048414</v>
      </c>
      <c r="Q2261" s="4">
        <f t="shared" ca="1" si="210"/>
        <v>1914.986937977123</v>
      </c>
      <c r="R2261" s="4">
        <f t="shared" ca="1" si="211"/>
        <v>-8.6831060228769275</v>
      </c>
      <c r="S2261" s="4">
        <f t="shared" ca="1" si="212"/>
        <v>-4.3647817932234751</v>
      </c>
    </row>
    <row r="2262" spans="15:19" x14ac:dyDescent="0.2">
      <c r="O2262" s="4">
        <f t="shared" ca="1" si="208"/>
        <v>0.12903863004261573</v>
      </c>
      <c r="P2262" s="4">
        <f t="shared" ca="1" si="209"/>
        <v>-1.1309473312998413</v>
      </c>
      <c r="Q2262" s="4">
        <f t="shared" ca="1" si="210"/>
        <v>1957.5262833527197</v>
      </c>
      <c r="R2262" s="4">
        <f t="shared" ca="1" si="211"/>
        <v>33.85623935271974</v>
      </c>
      <c r="S2262" s="4">
        <f t="shared" ca="1" si="212"/>
        <v>17.604961020499911</v>
      </c>
    </row>
    <row r="2263" spans="15:19" x14ac:dyDescent="0.2">
      <c r="O2263" s="4">
        <f t="shared" ca="1" si="208"/>
        <v>0.17587594471085632</v>
      </c>
      <c r="P2263" s="4">
        <f t="shared" ca="1" si="209"/>
        <v>-0.93119657466142347</v>
      </c>
      <c r="Q2263" s="4">
        <f t="shared" ca="1" si="210"/>
        <v>1951.474843049092</v>
      </c>
      <c r="R2263" s="4">
        <f t="shared" ca="1" si="211"/>
        <v>27.804799049092026</v>
      </c>
      <c r="S2263" s="4">
        <f t="shared" ca="1" si="212"/>
        <v>14.3897696309306</v>
      </c>
    </row>
    <row r="2264" spans="15:19" x14ac:dyDescent="0.2">
      <c r="O2264" s="4">
        <f t="shared" ca="1" si="208"/>
        <v>0.13265729632769818</v>
      </c>
      <c r="P2264" s="4">
        <f t="shared" ca="1" si="209"/>
        <v>-1.1139174730615551</v>
      </c>
      <c r="Q2264" s="4">
        <f t="shared" ca="1" si="210"/>
        <v>1957.0103645534994</v>
      </c>
      <c r="R2264" s="4">
        <f t="shared" ca="1" si="211"/>
        <v>33.340320553499396</v>
      </c>
      <c r="S2264" s="4">
        <f t="shared" ca="1" si="212"/>
        <v>17.329685607864327</v>
      </c>
    </row>
    <row r="2265" spans="15:19" x14ac:dyDescent="0.2">
      <c r="O2265" s="4">
        <f t="shared" ca="1" si="208"/>
        <v>0.26851628474467226</v>
      </c>
      <c r="P2265" s="4">
        <f t="shared" ca="1" si="209"/>
        <v>-0.61730651639745382</v>
      </c>
      <c r="Q2265" s="4">
        <f t="shared" ca="1" si="210"/>
        <v>1941.9655576703885</v>
      </c>
      <c r="R2265" s="4">
        <f t="shared" ca="1" si="211"/>
        <v>18.295513670388573</v>
      </c>
      <c r="S2265" s="4">
        <f t="shared" ca="1" si="212"/>
        <v>9.397624803345618</v>
      </c>
    </row>
    <row r="2266" spans="15:19" x14ac:dyDescent="0.2">
      <c r="O2266" s="4">
        <f t="shared" ca="1" si="208"/>
        <v>0.63619439234556452</v>
      </c>
      <c r="P2266" s="4">
        <f t="shared" ca="1" si="209"/>
        <v>0.34830489866817066</v>
      </c>
      <c r="Q2266" s="4">
        <f t="shared" ca="1" si="210"/>
        <v>1912.7124027231528</v>
      </c>
      <c r="R2266" s="4">
        <f t="shared" ca="1" si="211"/>
        <v>-10.957641276847198</v>
      </c>
      <c r="S2266" s="4">
        <f t="shared" ca="1" si="212"/>
        <v>-5.4979885812162275</v>
      </c>
    </row>
    <row r="2267" spans="15:19" x14ac:dyDescent="0.2">
      <c r="O2267" s="4">
        <f t="shared" ca="1" si="208"/>
        <v>0.29905238652006139</v>
      </c>
      <c r="P2267" s="4">
        <f t="shared" ca="1" si="209"/>
        <v>-0.52712790016738376</v>
      </c>
      <c r="Q2267" s="4">
        <f t="shared" ca="1" si="210"/>
        <v>1939.2336004955387</v>
      </c>
      <c r="R2267" s="4">
        <f t="shared" ca="1" si="211"/>
        <v>15.563556495538705</v>
      </c>
      <c r="S2267" s="4">
        <f t="shared" ca="1" si="212"/>
        <v>7.9770267961112067</v>
      </c>
    </row>
    <row r="2268" spans="15:19" x14ac:dyDescent="0.2">
      <c r="O2268" s="4">
        <f t="shared" ca="1" si="208"/>
        <v>0.51643754997677238</v>
      </c>
      <c r="P2268" s="4">
        <f t="shared" ca="1" si="209"/>
        <v>4.1214492624247853E-2</v>
      </c>
      <c r="Q2268" s="4">
        <f t="shared" ca="1" si="210"/>
        <v>1922.0156929397476</v>
      </c>
      <c r="R2268" s="4">
        <f t="shared" ca="1" si="211"/>
        <v>-1.6543510602523384</v>
      </c>
      <c r="S2268" s="4">
        <f t="shared" ca="1" si="212"/>
        <v>-0.83633461233537321</v>
      </c>
    </row>
    <row r="2269" spans="15:19" x14ac:dyDescent="0.2">
      <c r="O2269" s="4">
        <f t="shared" ca="1" si="208"/>
        <v>0.62888688575026497</v>
      </c>
      <c r="P2269" s="4">
        <f t="shared" ca="1" si="209"/>
        <v>0.32890667546618774</v>
      </c>
      <c r="Q2269" s="4">
        <f t="shared" ca="1" si="210"/>
        <v>1913.3000710337951</v>
      </c>
      <c r="R2269" s="4">
        <f t="shared" ca="1" si="211"/>
        <v>-10.369972966204841</v>
      </c>
      <c r="S2269" s="4">
        <f t="shared" ca="1" si="212"/>
        <v>-5.2056071540127196</v>
      </c>
    </row>
    <row r="2270" spans="15:19" x14ac:dyDescent="0.2">
      <c r="O2270" s="4">
        <f t="shared" ca="1" si="208"/>
        <v>0.29086929383932392</v>
      </c>
      <c r="P2270" s="4">
        <f t="shared" ca="1" si="209"/>
        <v>-0.55084696261950084</v>
      </c>
      <c r="Q2270" s="4">
        <f t="shared" ca="1" si="210"/>
        <v>1939.9521684394226</v>
      </c>
      <c r="R2270" s="4">
        <f t="shared" ca="1" si="211"/>
        <v>16.28212443942266</v>
      </c>
      <c r="S2270" s="4">
        <f t="shared" ca="1" si="212"/>
        <v>8.3500880089092142</v>
      </c>
    </row>
    <row r="2271" spans="15:19" x14ac:dyDescent="0.2">
      <c r="O2271" s="4">
        <f t="shared" ca="1" si="208"/>
        <v>0.7810444166950834</v>
      </c>
      <c r="P2271" s="4">
        <f t="shared" ca="1" si="209"/>
        <v>0.77572535366498829</v>
      </c>
      <c r="Q2271" s="4">
        <f t="shared" ca="1" si="210"/>
        <v>1899.7637190160631</v>
      </c>
      <c r="R2271" s="4">
        <f t="shared" ca="1" si="211"/>
        <v>-23.906324983936884</v>
      </c>
      <c r="S2271" s="4">
        <f t="shared" ca="1" si="212"/>
        <v>-11.868970767384939</v>
      </c>
    </row>
    <row r="2272" spans="15:19" x14ac:dyDescent="0.2">
      <c r="O2272" s="4">
        <f t="shared" ca="1" si="208"/>
        <v>0.93247961333964469</v>
      </c>
      <c r="P2272" s="4">
        <f t="shared" ca="1" si="209"/>
        <v>1.4945161141537353</v>
      </c>
      <c r="Q2272" s="4">
        <f t="shared" ca="1" si="210"/>
        <v>1877.9879848406445</v>
      </c>
      <c r="R2272" s="4">
        <f t="shared" ca="1" si="211"/>
        <v>-45.682059159355504</v>
      </c>
      <c r="S2272" s="4">
        <f t="shared" ca="1" si="212"/>
        <v>-22.275213168843024</v>
      </c>
    </row>
    <row r="2273" spans="15:19" x14ac:dyDescent="0.2">
      <c r="O2273" s="4">
        <f t="shared" ca="1" si="208"/>
        <v>0.56068866352016467</v>
      </c>
      <c r="P2273" s="4">
        <f t="shared" ca="1" si="209"/>
        <v>0.1527154542965718</v>
      </c>
      <c r="Q2273" s="4">
        <f t="shared" ca="1" si="210"/>
        <v>1918.6377762564152</v>
      </c>
      <c r="R2273" s="4">
        <f t="shared" ca="1" si="211"/>
        <v>-5.0322677435847254</v>
      </c>
      <c r="S2273" s="4">
        <f t="shared" ca="1" si="212"/>
        <v>-2.5370747158486462</v>
      </c>
    </row>
    <row r="2274" spans="15:19" x14ac:dyDescent="0.2">
      <c r="O2274" s="4">
        <f t="shared" ca="1" si="208"/>
        <v>0.31642368035994295</v>
      </c>
      <c r="P2274" s="4">
        <f t="shared" ca="1" si="209"/>
        <v>-0.47772301569548037</v>
      </c>
      <c r="Q2274" s="4">
        <f t="shared" ca="1" si="210"/>
        <v>1937.7368817139895</v>
      </c>
      <c r="R2274" s="4">
        <f t="shared" ca="1" si="211"/>
        <v>14.066837713989571</v>
      </c>
      <c r="S2274" s="4">
        <f t="shared" ca="1" si="212"/>
        <v>7.2013202330440356</v>
      </c>
    </row>
    <row r="2275" spans="15:19" x14ac:dyDescent="0.2">
      <c r="O2275" s="4">
        <f t="shared" ca="1" si="208"/>
        <v>1.8734318054680621E-2</v>
      </c>
      <c r="P2275" s="4">
        <f t="shared" ca="1" si="209"/>
        <v>-2.080620717023685</v>
      </c>
      <c r="Q2275" s="4">
        <f t="shared" ca="1" si="210"/>
        <v>1986.2965964086786</v>
      </c>
      <c r="R2275" s="4">
        <f t="shared" ca="1" si="211"/>
        <v>62.626552408678663</v>
      </c>
      <c r="S2275" s="4">
        <f t="shared" ca="1" si="212"/>
        <v>33.298734381745071</v>
      </c>
    </row>
    <row r="2276" spans="15:19" x14ac:dyDescent="0.2">
      <c r="O2276" s="4">
        <f t="shared" ca="1" si="208"/>
        <v>0.6643245154778652</v>
      </c>
      <c r="P2276" s="4">
        <f t="shared" ca="1" si="209"/>
        <v>0.4242946107952435</v>
      </c>
      <c r="Q2276" s="4">
        <f t="shared" ca="1" si="210"/>
        <v>1910.41029776813</v>
      </c>
      <c r="R2276" s="4">
        <f t="shared" ca="1" si="211"/>
        <v>-13.25974623186994</v>
      </c>
      <c r="S2276" s="4">
        <f t="shared" ca="1" si="212"/>
        <v>-6.6406421550605117</v>
      </c>
    </row>
    <row r="2277" spans="15:19" x14ac:dyDescent="0.2">
      <c r="O2277" s="4">
        <f t="shared" ca="1" si="208"/>
        <v>7.3593229036809538E-2</v>
      </c>
      <c r="P2277" s="4">
        <f t="shared" ca="1" si="209"/>
        <v>-1.4495413619642208</v>
      </c>
      <c r="Q2277" s="4">
        <f t="shared" ca="1" si="210"/>
        <v>1967.1780753664423</v>
      </c>
      <c r="R2277" s="4">
        <f t="shared" ca="1" si="211"/>
        <v>43.50803136644231</v>
      </c>
      <c r="S2277" s="4">
        <f t="shared" ca="1" si="212"/>
        <v>22.794752834418457</v>
      </c>
    </row>
    <row r="2278" spans="15:19" x14ac:dyDescent="0.2">
      <c r="O2278" s="4">
        <f t="shared" ca="1" si="208"/>
        <v>0.49211474080257289</v>
      </c>
      <c r="P2278" s="4">
        <f t="shared" ca="1" si="209"/>
        <v>-1.9766700797288456E-2</v>
      </c>
      <c r="Q2278" s="4">
        <f t="shared" ca="1" si="210"/>
        <v>1923.8631154869495</v>
      </c>
      <c r="R2278" s="4">
        <f t="shared" ca="1" si="211"/>
        <v>0.19307148694952048</v>
      </c>
      <c r="S2278" s="4">
        <f t="shared" ca="1" si="212"/>
        <v>9.7749851967129792E-2</v>
      </c>
    </row>
    <row r="2279" spans="15:19" x14ac:dyDescent="0.2">
      <c r="O2279" s="4">
        <f t="shared" ca="1" si="208"/>
        <v>0.4786151434075292</v>
      </c>
      <c r="P2279" s="4">
        <f t="shared" ca="1" si="209"/>
        <v>-5.3629582724415974E-2</v>
      </c>
      <c r="Q2279" s="4">
        <f t="shared" ca="1" si="210"/>
        <v>1924.8889899914534</v>
      </c>
      <c r="R2279" s="4">
        <f t="shared" ca="1" si="211"/>
        <v>1.2189459914534382</v>
      </c>
      <c r="S2279" s="4">
        <f t="shared" ca="1" si="212"/>
        <v>0.61764723572943181</v>
      </c>
    </row>
    <row r="2280" spans="15:19" x14ac:dyDescent="0.2">
      <c r="O2280" s="4">
        <f t="shared" ca="1" si="208"/>
        <v>0.19241848746162016</v>
      </c>
      <c r="P2280" s="4">
        <f t="shared" ca="1" si="209"/>
        <v>-0.86901856781037801</v>
      </c>
      <c r="Q2280" s="4">
        <f t="shared" ca="1" si="210"/>
        <v>1949.5911630921805</v>
      </c>
      <c r="R2280" s="4">
        <f t="shared" ca="1" si="211"/>
        <v>25.921119092180561</v>
      </c>
      <c r="S2280" s="4">
        <f t="shared" ca="1" si="212"/>
        <v>13.395035989348406</v>
      </c>
    </row>
    <row r="2281" spans="15:19" x14ac:dyDescent="0.2">
      <c r="O2281" s="4">
        <f t="shared" ca="1" si="208"/>
        <v>0.88440641492306415</v>
      </c>
      <c r="P2281" s="4">
        <f t="shared" ca="1" si="209"/>
        <v>1.1973063503522208</v>
      </c>
      <c r="Q2281" s="4">
        <f t="shared" ca="1" si="210"/>
        <v>1886.9919414391964</v>
      </c>
      <c r="R2281" s="4">
        <f t="shared" ca="1" si="211"/>
        <v>-36.678102560803609</v>
      </c>
      <c r="S2281" s="4">
        <f t="shared" ca="1" si="212"/>
        <v>-18.019191381174963</v>
      </c>
    </row>
    <row r="2282" spans="15:19" x14ac:dyDescent="0.2">
      <c r="O2282" s="4">
        <f t="shared" ca="1" si="208"/>
        <v>2.2152331256261037E-2</v>
      </c>
      <c r="P2282" s="4">
        <f t="shared" ca="1" si="209"/>
        <v>-2.0111969055515448</v>
      </c>
      <c r="Q2282" s="4">
        <f t="shared" ca="1" si="210"/>
        <v>1984.193405122478</v>
      </c>
      <c r="R2282" s="4">
        <f t="shared" ca="1" si="211"/>
        <v>60.523361122478036</v>
      </c>
      <c r="S2282" s="4">
        <f t="shared" ca="1" si="212"/>
        <v>32.128644237315108</v>
      </c>
    </row>
    <row r="2283" spans="15:19" x14ac:dyDescent="0.2">
      <c r="O2283" s="4">
        <f t="shared" ca="1" si="208"/>
        <v>0.23164505775728628</v>
      </c>
      <c r="P2283" s="4">
        <f t="shared" ca="1" si="209"/>
        <v>-0.73343999115632152</v>
      </c>
      <c r="Q2283" s="4">
        <f t="shared" ca="1" si="210"/>
        <v>1945.4838161319988</v>
      </c>
      <c r="R2283" s="4">
        <f t="shared" ca="1" si="211"/>
        <v>21.813772131998803</v>
      </c>
      <c r="S2283" s="4">
        <f t="shared" ca="1" si="212"/>
        <v>11.236045203903808</v>
      </c>
    </row>
    <row r="2284" spans="15:19" x14ac:dyDescent="0.2">
      <c r="O2284" s="4">
        <f t="shared" ca="1" si="208"/>
        <v>0.20612780455561885</v>
      </c>
      <c r="P2284" s="4">
        <f t="shared" ca="1" si="209"/>
        <v>-0.81993070915997746</v>
      </c>
      <c r="Q2284" s="4">
        <f t="shared" ca="1" si="210"/>
        <v>1948.1040485938183</v>
      </c>
      <c r="R2284" s="4">
        <f t="shared" ca="1" si="211"/>
        <v>24.434004593818372</v>
      </c>
      <c r="S2284" s="4">
        <f t="shared" ca="1" si="212"/>
        <v>12.611761159601734</v>
      </c>
    </row>
    <row r="2285" spans="15:19" x14ac:dyDescent="0.2">
      <c r="O2285" s="4">
        <f t="shared" ca="1" si="208"/>
        <v>0.14256950537504498</v>
      </c>
      <c r="P2285" s="4">
        <f t="shared" ca="1" si="209"/>
        <v>-1.0688461264880706</v>
      </c>
      <c r="Q2285" s="4">
        <f t="shared" ca="1" si="210"/>
        <v>1955.6449301101786</v>
      </c>
      <c r="R2285" s="4">
        <f t="shared" ca="1" si="211"/>
        <v>31.974886110178659</v>
      </c>
      <c r="S2285" s="4">
        <f t="shared" ca="1" si="212"/>
        <v>16.602185405981444</v>
      </c>
    </row>
    <row r="2286" spans="15:19" x14ac:dyDescent="0.2">
      <c r="O2286" s="4">
        <f t="shared" ca="1" si="208"/>
        <v>0.48289388030789904</v>
      </c>
      <c r="P2286" s="4">
        <f t="shared" ca="1" si="209"/>
        <v>-4.2891831076867448E-2</v>
      </c>
      <c r="Q2286" s="4">
        <f t="shared" ca="1" si="210"/>
        <v>1924.5636902820368</v>
      </c>
      <c r="R2286" s="4">
        <f t="shared" ca="1" si="211"/>
        <v>0.89364628203679786</v>
      </c>
      <c r="S2286" s="4">
        <f t="shared" ca="1" si="212"/>
        <v>0.45269758812849131</v>
      </c>
    </row>
    <row r="2287" spans="15:19" x14ac:dyDescent="0.2">
      <c r="O2287" s="4">
        <f t="shared" ca="1" si="208"/>
        <v>0.39365969540689427</v>
      </c>
      <c r="P2287" s="4">
        <f t="shared" ca="1" si="209"/>
        <v>-0.2697931528281165</v>
      </c>
      <c r="Q2287" s="4">
        <f t="shared" ca="1" si="210"/>
        <v>1931.4376557502999</v>
      </c>
      <c r="R2287" s="4">
        <f t="shared" ca="1" si="211"/>
        <v>7.7676117502999205</v>
      </c>
      <c r="S2287" s="4">
        <f t="shared" ca="1" si="212"/>
        <v>3.9566019952813316</v>
      </c>
    </row>
    <row r="2288" spans="15:19" x14ac:dyDescent="0.2">
      <c r="O2288" s="4">
        <f t="shared" ca="1" si="208"/>
        <v>0.72674214067917564</v>
      </c>
      <c r="P2288" s="4">
        <f t="shared" ca="1" si="209"/>
        <v>0.60298943339755007</v>
      </c>
      <c r="Q2288" s="4">
        <f t="shared" ca="1" si="210"/>
        <v>1904.9967460512639</v>
      </c>
      <c r="R2288" s="4">
        <f t="shared" ca="1" si="211"/>
        <v>-18.673297948736035</v>
      </c>
      <c r="S2288" s="4">
        <f t="shared" ca="1" si="212"/>
        <v>-9.3106645194685385</v>
      </c>
    </row>
    <row r="2289" spans="15:19" x14ac:dyDescent="0.2">
      <c r="O2289" s="4">
        <f t="shared" ca="1" si="208"/>
        <v>0.50600962085660872</v>
      </c>
      <c r="P2289" s="4">
        <f t="shared" ca="1" si="209"/>
        <v>1.5064455322019365E-2</v>
      </c>
      <c r="Q2289" s="4">
        <f t="shared" ca="1" si="210"/>
        <v>1922.8079071587833</v>
      </c>
      <c r="R2289" s="4">
        <f t="shared" ca="1" si="211"/>
        <v>-0.86213684121662482</v>
      </c>
      <c r="S2289" s="4">
        <f t="shared" ca="1" si="212"/>
        <v>-0.43611954718588025</v>
      </c>
    </row>
    <row r="2290" spans="15:19" x14ac:dyDescent="0.2">
      <c r="O2290" s="4">
        <f t="shared" ca="1" si="208"/>
        <v>0.41162299643257227</v>
      </c>
      <c r="P2290" s="4">
        <f t="shared" ca="1" si="209"/>
        <v>-0.22337200219654499</v>
      </c>
      <c r="Q2290" s="4">
        <f t="shared" ca="1" si="210"/>
        <v>1930.0313290529689</v>
      </c>
      <c r="R2290" s="4">
        <f t="shared" ca="1" si="211"/>
        <v>6.361285052968924</v>
      </c>
      <c r="S2290" s="4">
        <f t="shared" ca="1" si="212"/>
        <v>3.236617243926053</v>
      </c>
    </row>
    <row r="2291" spans="15:19" x14ac:dyDescent="0.2">
      <c r="O2291" s="4">
        <f t="shared" ca="1" si="208"/>
        <v>0.83328726495100591</v>
      </c>
      <c r="P2291" s="4">
        <f t="shared" ca="1" si="209"/>
        <v>0.96723719907789019</v>
      </c>
      <c r="Q2291" s="4">
        <f t="shared" ca="1" si="210"/>
        <v>1893.9618761622128</v>
      </c>
      <c r="R2291" s="4">
        <f t="shared" ca="1" si="211"/>
        <v>-29.708167837787187</v>
      </c>
      <c r="S2291" s="4">
        <f t="shared" ca="1" si="212"/>
        <v>-14.679296330101526</v>
      </c>
    </row>
    <row r="2292" spans="15:19" x14ac:dyDescent="0.2">
      <c r="O2292" s="4">
        <f t="shared" ca="1" si="208"/>
        <v>0.37960466053021036</v>
      </c>
      <c r="P2292" s="4">
        <f t="shared" ca="1" si="209"/>
        <v>-0.30651925564710225</v>
      </c>
      <c r="Q2292" s="4">
        <f t="shared" ca="1" si="210"/>
        <v>1932.550271404599</v>
      </c>
      <c r="R2292" s="4">
        <f t="shared" ca="1" si="211"/>
        <v>8.8802274045990544</v>
      </c>
      <c r="S2292" s="4">
        <f t="shared" ca="1" si="212"/>
        <v>4.527358936803215</v>
      </c>
    </row>
    <row r="2293" spans="15:19" x14ac:dyDescent="0.2">
      <c r="O2293" s="4">
        <f t="shared" ca="1" si="208"/>
        <v>0.50090031098374244</v>
      </c>
      <c r="P2293" s="4">
        <f t="shared" ca="1" si="209"/>
        <v>2.2567468833749882E-3</v>
      </c>
      <c r="Q2293" s="4">
        <f t="shared" ca="1" si="210"/>
        <v>1923.1959161172826</v>
      </c>
      <c r="R2293" s="4">
        <f t="shared" ca="1" si="211"/>
        <v>-0.47412788271731188</v>
      </c>
      <c r="S2293" s="4">
        <f t="shared" ca="1" si="212"/>
        <v>-0.23991667022712018</v>
      </c>
    </row>
    <row r="2294" spans="15:19" x14ac:dyDescent="0.2">
      <c r="O2294" s="4">
        <f t="shared" ca="1" si="208"/>
        <v>0.9886113457761837</v>
      </c>
      <c r="P2294" s="4">
        <f t="shared" ca="1" si="209"/>
        <v>2.2771493518247046</v>
      </c>
      <c r="Q2294" s="4">
        <f t="shared" ca="1" si="210"/>
        <v>1854.2781456535326</v>
      </c>
      <c r="R2294" s="4">
        <f t="shared" ca="1" si="211"/>
        <v>-69.391898346467315</v>
      </c>
      <c r="S2294" s="4">
        <f t="shared" ca="1" si="212"/>
        <v>-33.16672442051842</v>
      </c>
    </row>
    <row r="2295" spans="15:19" x14ac:dyDescent="0.2">
      <c r="O2295" s="4">
        <f t="shared" ca="1" si="208"/>
        <v>6.0705412009757764E-2</v>
      </c>
      <c r="P2295" s="4">
        <f t="shared" ca="1" si="209"/>
        <v>-1.5488789417553899</v>
      </c>
      <c r="Q2295" s="4">
        <f t="shared" ca="1" si="210"/>
        <v>1970.1875029357268</v>
      </c>
      <c r="R2295" s="4">
        <f t="shared" ca="1" si="211"/>
        <v>46.517458935726836</v>
      </c>
      <c r="S2295" s="4">
        <f t="shared" ca="1" si="212"/>
        <v>24.428439855372051</v>
      </c>
    </row>
    <row r="2296" spans="15:19" x14ac:dyDescent="0.2">
      <c r="O2296" s="4">
        <f t="shared" ca="1" si="208"/>
        <v>0.67853599226912431</v>
      </c>
      <c r="P2296" s="4">
        <f t="shared" ca="1" si="209"/>
        <v>0.46360884595943413</v>
      </c>
      <c r="Q2296" s="4">
        <f t="shared" ca="1" si="210"/>
        <v>1909.2192747593433</v>
      </c>
      <c r="R2296" s="4">
        <f t="shared" ca="1" si="211"/>
        <v>-14.450769240656655</v>
      </c>
      <c r="S2296" s="4">
        <f t="shared" ca="1" si="212"/>
        <v>-7.2301148117138156</v>
      </c>
    </row>
    <row r="2297" spans="15:19" x14ac:dyDescent="0.2">
      <c r="O2297" s="4">
        <f t="shared" ca="1" si="208"/>
        <v>0.17080289550035466</v>
      </c>
      <c r="P2297" s="4">
        <f t="shared" ca="1" si="209"/>
        <v>-0.95099721230915457</v>
      </c>
      <c r="Q2297" s="4">
        <f t="shared" ca="1" si="210"/>
        <v>1952.0747024875016</v>
      </c>
      <c r="R2297" s="4">
        <f t="shared" ca="1" si="211"/>
        <v>28.404658487501592</v>
      </c>
      <c r="S2297" s="4">
        <f t="shared" ca="1" si="212"/>
        <v>14.707149822225448</v>
      </c>
    </row>
    <row r="2298" spans="15:19" x14ac:dyDescent="0.2">
      <c r="O2298" s="4">
        <f t="shared" ca="1" si="208"/>
        <v>0.78806018109539955</v>
      </c>
      <c r="P2298" s="4">
        <f t="shared" ca="1" si="209"/>
        <v>0.79970861945196503</v>
      </c>
      <c r="Q2298" s="4">
        <f t="shared" ca="1" si="210"/>
        <v>1899.0371470438797</v>
      </c>
      <c r="R2298" s="4">
        <f t="shared" ca="1" si="211"/>
        <v>-24.632896956120248</v>
      </c>
      <c r="S2298" s="4">
        <f t="shared" ca="1" si="212"/>
        <v>-12.222412409054783</v>
      </c>
    </row>
    <row r="2299" spans="15:19" x14ac:dyDescent="0.2">
      <c r="O2299" s="4">
        <f t="shared" ca="1" si="208"/>
        <v>0.51420839479075031</v>
      </c>
      <c r="P2299" s="4">
        <f t="shared" ca="1" si="209"/>
        <v>3.5622696746728473E-2</v>
      </c>
      <c r="Q2299" s="4">
        <f t="shared" ca="1" si="210"/>
        <v>1922.1850961475868</v>
      </c>
      <c r="R2299" s="4">
        <f t="shared" ca="1" si="211"/>
        <v>-1.4849478524131428</v>
      </c>
      <c r="S2299" s="4">
        <f t="shared" ca="1" si="212"/>
        <v>-0.75079753162713014</v>
      </c>
    </row>
    <row r="2300" spans="15:19" x14ac:dyDescent="0.2">
      <c r="O2300" s="4">
        <f t="shared" ca="1" si="208"/>
        <v>0.73493748710910367</v>
      </c>
      <c r="P2300" s="4">
        <f t="shared" ca="1" si="209"/>
        <v>0.62781517218566552</v>
      </c>
      <c r="Q2300" s="4">
        <f t="shared" ca="1" si="210"/>
        <v>1904.2446513969157</v>
      </c>
      <c r="R2300" s="4">
        <f t="shared" ca="1" si="211"/>
        <v>-19.425392603084219</v>
      </c>
      <c r="S2300" s="4">
        <f t="shared" ca="1" si="212"/>
        <v>-9.679718111262682</v>
      </c>
    </row>
    <row r="2301" spans="15:19" x14ac:dyDescent="0.2">
      <c r="O2301" s="4">
        <f t="shared" ca="1" si="208"/>
        <v>0.68886693636279361</v>
      </c>
      <c r="P2301" s="4">
        <f t="shared" ca="1" si="209"/>
        <v>0.49264120587019428</v>
      </c>
      <c r="Q2301" s="4">
        <f t="shared" ca="1" si="210"/>
        <v>1908.3397407048544</v>
      </c>
      <c r="R2301" s="4">
        <f t="shared" ca="1" si="211"/>
        <v>-15.330303295145541</v>
      </c>
      <c r="S2301" s="4">
        <f t="shared" ca="1" si="212"/>
        <v>-7.6646810105249532</v>
      </c>
    </row>
    <row r="2302" spans="15:19" x14ac:dyDescent="0.2">
      <c r="O2302" s="4">
        <f t="shared" ca="1" si="208"/>
        <v>0.53390046500913269</v>
      </c>
      <c r="P2302" s="4">
        <f t="shared" ca="1" si="209"/>
        <v>8.5078390385393901E-2</v>
      </c>
      <c r="Q2302" s="4">
        <f t="shared" ca="1" si="210"/>
        <v>1920.6868381045867</v>
      </c>
      <c r="R2302" s="4">
        <f t="shared" ca="1" si="211"/>
        <v>-2.9832058954132208</v>
      </c>
      <c r="S2302" s="4">
        <f t="shared" ca="1" si="212"/>
        <v>-1.5065053248145854</v>
      </c>
    </row>
    <row r="2303" spans="15:19" x14ac:dyDescent="0.2">
      <c r="O2303" s="4">
        <f t="shared" ca="1" si="208"/>
        <v>0.6454606293198385</v>
      </c>
      <c r="P2303" s="4">
        <f t="shared" ca="1" si="209"/>
        <v>0.37309365435543318</v>
      </c>
      <c r="Q2303" s="4">
        <f t="shared" ca="1" si="210"/>
        <v>1911.9614284702029</v>
      </c>
      <c r="R2303" s="4">
        <f t="shared" ca="1" si="211"/>
        <v>-11.708615529797044</v>
      </c>
      <c r="S2303" s="4">
        <f t="shared" ca="1" si="212"/>
        <v>-5.8712100629004773</v>
      </c>
    </row>
    <row r="2304" spans="15:19" x14ac:dyDescent="0.2">
      <c r="O2304" s="4">
        <f t="shared" ca="1" si="208"/>
        <v>0.57223122880531296</v>
      </c>
      <c r="P2304" s="4">
        <f t="shared" ca="1" si="209"/>
        <v>0.182057575136957</v>
      </c>
      <c r="Q2304" s="4">
        <f t="shared" ca="1" si="210"/>
        <v>1917.7488580083166</v>
      </c>
      <c r="R2304" s="4">
        <f t="shared" ca="1" si="211"/>
        <v>-5.9211859916833873</v>
      </c>
      <c r="S2304" s="4">
        <f t="shared" ca="1" si="212"/>
        <v>-2.9830903188381517</v>
      </c>
    </row>
    <row r="2305" spans="15:19" x14ac:dyDescent="0.2">
      <c r="O2305" s="4">
        <f t="shared" ca="1" si="208"/>
        <v>0.3785342086028598</v>
      </c>
      <c r="P2305" s="4">
        <f t="shared" ca="1" si="209"/>
        <v>-0.30933275481860367</v>
      </c>
      <c r="Q2305" s="4">
        <f t="shared" ca="1" si="210"/>
        <v>1932.6355062370831</v>
      </c>
      <c r="R2305" s="4">
        <f t="shared" ca="1" si="211"/>
        <v>8.9654622370831021</v>
      </c>
      <c r="S2305" s="4">
        <f t="shared" ca="1" si="212"/>
        <v>4.5711248264386892</v>
      </c>
    </row>
    <row r="2306" spans="15:19" x14ac:dyDescent="0.2">
      <c r="O2306" s="4">
        <f t="shared" ca="1" si="208"/>
        <v>1.2377898187813097E-2</v>
      </c>
      <c r="P2306" s="4">
        <f t="shared" ca="1" si="209"/>
        <v>-2.245192203882608</v>
      </c>
      <c r="Q2306" s="4">
        <f t="shared" ca="1" si="210"/>
        <v>1991.2822822962612</v>
      </c>
      <c r="R2306" s="4">
        <f t="shared" ca="1" si="211"/>
        <v>67.612238296261239</v>
      </c>
      <c r="S2306" s="4">
        <f t="shared" ca="1" si="212"/>
        <v>36.086859550923919</v>
      </c>
    </row>
    <row r="2307" spans="15:19" x14ac:dyDescent="0.2">
      <c r="O2307" s="4">
        <f t="shared" ref="O2307:O2370" ca="1" si="213">RAND()</f>
        <v>0.80548812231874423</v>
      </c>
      <c r="P2307" s="4">
        <f t="shared" ref="P2307:P2370" ca="1" si="214">NORMSINV(O2307)</f>
        <v>0.86138913989789134</v>
      </c>
      <c r="Q2307" s="4">
        <f t="shared" ref="Q2307:Q2370" ca="1" si="215">$B$4*(1+$B$17-$B$6/SQRT(252)*P2307)</f>
        <v>1897.1685384155235</v>
      </c>
      <c r="R2307" s="4">
        <f t="shared" ref="R2307:R2370" ca="1" si="216">Q2307-$B$4</f>
        <v>-26.50150558447649</v>
      </c>
      <c r="S2307" s="4">
        <f t="shared" ref="S2307:S2370" ca="1" si="217">R2307*$B$12+0.5*$B$13*R2307^2</f>
        <v>-13.129424859424223</v>
      </c>
    </row>
    <row r="2308" spans="15:19" x14ac:dyDescent="0.2">
      <c r="O2308" s="4">
        <f t="shared" ca="1" si="213"/>
        <v>0.48537950953028985</v>
      </c>
      <c r="P2308" s="4">
        <f t="shared" ca="1" si="214"/>
        <v>-3.6656342257080463E-2</v>
      </c>
      <c r="Q2308" s="4">
        <f t="shared" ca="1" si="215"/>
        <v>1924.3747864250904</v>
      </c>
      <c r="R2308" s="4">
        <f t="shared" ca="1" si="216"/>
        <v>0.70474242509044416</v>
      </c>
      <c r="S2308" s="4">
        <f t="shared" ca="1" si="217"/>
        <v>0.35694969423547546</v>
      </c>
    </row>
    <row r="2309" spans="15:19" x14ac:dyDescent="0.2">
      <c r="O2309" s="4">
        <f t="shared" ca="1" si="213"/>
        <v>0.67815311661156974</v>
      </c>
      <c r="P2309" s="4">
        <f t="shared" ca="1" si="214"/>
        <v>0.46254049889946308</v>
      </c>
      <c r="Q2309" s="4">
        <f t="shared" ca="1" si="215"/>
        <v>1909.2516402860915</v>
      </c>
      <c r="R2309" s="4">
        <f t="shared" ca="1" si="216"/>
        <v>-14.418403713908447</v>
      </c>
      <c r="S2309" s="4">
        <f t="shared" ca="1" si="217"/>
        <v>-7.2141114166964773</v>
      </c>
    </row>
    <row r="2310" spans="15:19" x14ac:dyDescent="0.2">
      <c r="O2310" s="4">
        <f t="shared" ca="1" si="213"/>
        <v>0.49426663464592324</v>
      </c>
      <c r="P2310" s="4">
        <f t="shared" ca="1" si="214"/>
        <v>-1.4371910447342456E-2</v>
      </c>
      <c r="Q2310" s="4">
        <f t="shared" ca="1" si="215"/>
        <v>1923.6996805528208</v>
      </c>
      <c r="R2310" s="4">
        <f t="shared" ca="1" si="216"/>
        <v>2.9636552820875295E-2</v>
      </c>
      <c r="S2310" s="4">
        <f t="shared" ca="1" si="217"/>
        <v>1.5002670864344651E-2</v>
      </c>
    </row>
    <row r="2311" spans="15:19" x14ac:dyDescent="0.2">
      <c r="O2311" s="4">
        <f t="shared" ca="1" si="213"/>
        <v>0.73832817946957208</v>
      </c>
      <c r="P2311" s="4">
        <f t="shared" ca="1" si="214"/>
        <v>0.63819977899083258</v>
      </c>
      <c r="Q2311" s="4">
        <f t="shared" ca="1" si="215"/>
        <v>1903.9300501948194</v>
      </c>
      <c r="R2311" s="4">
        <f t="shared" ca="1" si="216"/>
        <v>-19.739993805180575</v>
      </c>
      <c r="S2311" s="4">
        <f t="shared" ca="1" si="217"/>
        <v>-9.8339566268882272</v>
      </c>
    </row>
    <row r="2312" spans="15:19" x14ac:dyDescent="0.2">
      <c r="O2312" s="4">
        <f t="shared" ca="1" si="213"/>
        <v>8.5380355667773467E-2</v>
      </c>
      <c r="P2312" s="4">
        <f t="shared" ca="1" si="214"/>
        <v>-1.3697635895564302</v>
      </c>
      <c r="Q2312" s="4">
        <f t="shared" ca="1" si="215"/>
        <v>1964.7612112934009</v>
      </c>
      <c r="R2312" s="4">
        <f t="shared" ca="1" si="216"/>
        <v>41.091167293400986</v>
      </c>
      <c r="S2312" s="4">
        <f t="shared" ca="1" si="217"/>
        <v>21.488081254580464</v>
      </c>
    </row>
    <row r="2313" spans="15:19" x14ac:dyDescent="0.2">
      <c r="O2313" s="4">
        <f t="shared" ca="1" si="213"/>
        <v>0.70905721685373846</v>
      </c>
      <c r="P2313" s="4">
        <f t="shared" ca="1" si="214"/>
        <v>0.55063258573774254</v>
      </c>
      <c r="Q2313" s="4">
        <f t="shared" ca="1" si="215"/>
        <v>1906.5828944265261</v>
      </c>
      <c r="R2313" s="4">
        <f t="shared" ca="1" si="216"/>
        <v>-17.08714957347388</v>
      </c>
      <c r="S2313" s="4">
        <f t="shared" ca="1" si="217"/>
        <v>-8.5308302022407432</v>
      </c>
    </row>
    <row r="2314" spans="15:19" x14ac:dyDescent="0.2">
      <c r="O2314" s="4">
        <f t="shared" ca="1" si="213"/>
        <v>0.74740832152010994</v>
      </c>
      <c r="P2314" s="4">
        <f t="shared" ca="1" si="214"/>
        <v>0.66635634799788801</v>
      </c>
      <c r="Q2314" s="4">
        <f t="shared" ca="1" si="215"/>
        <v>1903.0770481868738</v>
      </c>
      <c r="R2314" s="4">
        <f t="shared" ca="1" si="216"/>
        <v>-20.592995813126208</v>
      </c>
      <c r="S2314" s="4">
        <f t="shared" ca="1" si="217"/>
        <v>-10.251749739433613</v>
      </c>
    </row>
    <row r="2315" spans="15:19" x14ac:dyDescent="0.2">
      <c r="O2315" s="4">
        <f t="shared" ca="1" si="213"/>
        <v>0.33516333392693598</v>
      </c>
      <c r="P2315" s="4">
        <f t="shared" ca="1" si="214"/>
        <v>-0.42569971761677866</v>
      </c>
      <c r="Q2315" s="4">
        <f t="shared" ca="1" si="215"/>
        <v>1936.1608382084773</v>
      </c>
      <c r="R2315" s="4">
        <f t="shared" ca="1" si="216"/>
        <v>12.490794208477382</v>
      </c>
      <c r="S2315" s="4">
        <f t="shared" ca="1" si="217"/>
        <v>6.3864732906371158</v>
      </c>
    </row>
    <row r="2316" spans="15:19" x14ac:dyDescent="0.2">
      <c r="O2316" s="4">
        <f t="shared" ca="1" si="213"/>
        <v>0.50084034245999287</v>
      </c>
      <c r="P2316" s="4">
        <f t="shared" ca="1" si="214"/>
        <v>2.1064277283066308E-3</v>
      </c>
      <c r="Q2316" s="4">
        <f t="shared" ca="1" si="215"/>
        <v>1923.2004700294115</v>
      </c>
      <c r="R2316" s="4">
        <f t="shared" ca="1" si="216"/>
        <v>-0.46957397058849892</v>
      </c>
      <c r="S2316" s="4">
        <f t="shared" ca="1" si="217"/>
        <v>-0.23761318469674986</v>
      </c>
    </row>
    <row r="2317" spans="15:19" x14ac:dyDescent="0.2">
      <c r="O2317" s="4">
        <f t="shared" ca="1" si="213"/>
        <v>0.74427596966091014</v>
      </c>
      <c r="P2317" s="4">
        <f t="shared" ca="1" si="214"/>
        <v>0.65658458913731488</v>
      </c>
      <c r="Q2317" s="4">
        <f t="shared" ca="1" si="215"/>
        <v>1903.3730831876985</v>
      </c>
      <c r="R2317" s="4">
        <f t="shared" ca="1" si="216"/>
        <v>-20.29696081230145</v>
      </c>
      <c r="S2317" s="4">
        <f t="shared" ca="1" si="217"/>
        <v>-10.106821437694686</v>
      </c>
    </row>
    <row r="2318" spans="15:19" x14ac:dyDescent="0.2">
      <c r="O2318" s="4">
        <f t="shared" ca="1" si="213"/>
        <v>0.94399899045062474</v>
      </c>
      <c r="P2318" s="4">
        <f t="shared" ca="1" si="214"/>
        <v>1.5892586100254886</v>
      </c>
      <c r="Q2318" s="4">
        <f t="shared" ca="1" si="215"/>
        <v>1875.1177651346816</v>
      </c>
      <c r="R2318" s="4">
        <f t="shared" ca="1" si="216"/>
        <v>-48.552278865318385</v>
      </c>
      <c r="S2318" s="4">
        <f t="shared" ca="1" si="217"/>
        <v>-23.618045159454692</v>
      </c>
    </row>
    <row r="2319" spans="15:19" x14ac:dyDescent="0.2">
      <c r="O2319" s="4">
        <f t="shared" ca="1" si="213"/>
        <v>0.94517690182547176</v>
      </c>
      <c r="P2319" s="4">
        <f t="shared" ca="1" si="214"/>
        <v>1.5997854110224654</v>
      </c>
      <c r="Q2319" s="4">
        <f t="shared" ca="1" si="215"/>
        <v>1874.7988561658574</v>
      </c>
      <c r="R2319" s="4">
        <f t="shared" ca="1" si="216"/>
        <v>-48.871187834142575</v>
      </c>
      <c r="S2319" s="4">
        <f t="shared" ca="1" si="217"/>
        <v>-23.766832680924512</v>
      </c>
    </row>
    <row r="2320" spans="15:19" x14ac:dyDescent="0.2">
      <c r="O2320" s="4">
        <f t="shared" ca="1" si="213"/>
        <v>0.17767467237293022</v>
      </c>
      <c r="P2320" s="4">
        <f t="shared" ca="1" si="214"/>
        <v>-0.92426310956052771</v>
      </c>
      <c r="Q2320" s="4">
        <f t="shared" ca="1" si="215"/>
        <v>1951.264794031699</v>
      </c>
      <c r="R2320" s="4">
        <f t="shared" ca="1" si="216"/>
        <v>27.59475003169905</v>
      </c>
      <c r="S2320" s="4">
        <f t="shared" ca="1" si="217"/>
        <v>14.278703850677108</v>
      </c>
    </row>
    <row r="2321" spans="15:19" x14ac:dyDescent="0.2">
      <c r="O2321" s="4">
        <f t="shared" ca="1" si="213"/>
        <v>0.15840148014729061</v>
      </c>
      <c r="P2321" s="4">
        <f t="shared" ca="1" si="214"/>
        <v>-1.0010493294206939</v>
      </c>
      <c r="Q2321" s="4">
        <f t="shared" ca="1" si="215"/>
        <v>1953.591029153132</v>
      </c>
      <c r="R2321" s="4">
        <f t="shared" ca="1" si="216"/>
        <v>29.920985153132051</v>
      </c>
      <c r="S2321" s="4">
        <f t="shared" ca="1" si="217"/>
        <v>15.51073073161618</v>
      </c>
    </row>
    <row r="2322" spans="15:19" x14ac:dyDescent="0.2">
      <c r="O2322" s="4">
        <f t="shared" ca="1" si="213"/>
        <v>0.99032149452204921</v>
      </c>
      <c r="P2322" s="4">
        <f t="shared" ca="1" si="214"/>
        <v>2.3385832802356497</v>
      </c>
      <c r="Q2322" s="4">
        <f t="shared" ca="1" si="215"/>
        <v>1852.4170075199277</v>
      </c>
      <c r="R2322" s="4">
        <f t="shared" ca="1" si="216"/>
        <v>-71.253036480072296</v>
      </c>
      <c r="S2322" s="4">
        <f t="shared" ca="1" si="217"/>
        <v>-34.002296474755823</v>
      </c>
    </row>
    <row r="2323" spans="15:19" x14ac:dyDescent="0.2">
      <c r="O2323" s="4">
        <f t="shared" ca="1" si="213"/>
        <v>0.75917320904581753</v>
      </c>
      <c r="P2323" s="4">
        <f t="shared" ca="1" si="214"/>
        <v>0.70364547832686353</v>
      </c>
      <c r="Q2323" s="4">
        <f t="shared" ca="1" si="215"/>
        <v>1901.9473756391576</v>
      </c>
      <c r="R2323" s="4">
        <f t="shared" ca="1" si="216"/>
        <v>-21.722668360842363</v>
      </c>
      <c r="S2323" s="4">
        <f t="shared" ca="1" si="217"/>
        <v>-10.804141981365104</v>
      </c>
    </row>
    <row r="2324" spans="15:19" x14ac:dyDescent="0.2">
      <c r="O2324" s="4">
        <f t="shared" ca="1" si="213"/>
        <v>0.96640299382584893</v>
      </c>
      <c r="P2324" s="4">
        <f t="shared" ca="1" si="214"/>
        <v>1.8303741369319615</v>
      </c>
      <c r="Q2324" s="4">
        <f t="shared" ca="1" si="215"/>
        <v>1867.8131809523375</v>
      </c>
      <c r="R2324" s="4">
        <f t="shared" ca="1" si="216"/>
        <v>-55.8568630476625</v>
      </c>
      <c r="S2324" s="4">
        <f t="shared" ca="1" si="217"/>
        <v>-27.00523962003146</v>
      </c>
    </row>
    <row r="2325" spans="15:19" x14ac:dyDescent="0.2">
      <c r="O2325" s="4">
        <f t="shared" ca="1" si="213"/>
        <v>0.8706990011432062</v>
      </c>
      <c r="P2325" s="4">
        <f t="shared" ca="1" si="214"/>
        <v>1.1297015646583284</v>
      </c>
      <c r="Q2325" s="4">
        <f t="shared" ca="1" si="215"/>
        <v>1889.0400254202084</v>
      </c>
      <c r="R2325" s="4">
        <f t="shared" ca="1" si="216"/>
        <v>-34.630018579791567</v>
      </c>
      <c r="S2325" s="4">
        <f t="shared" ca="1" si="217"/>
        <v>-17.041881642665107</v>
      </c>
    </row>
    <row r="2326" spans="15:19" x14ac:dyDescent="0.2">
      <c r="O2326" s="4">
        <f t="shared" ca="1" si="213"/>
        <v>8.178330021929725E-2</v>
      </c>
      <c r="P2326" s="4">
        <f t="shared" ca="1" si="214"/>
        <v>-1.393175917185054</v>
      </c>
      <c r="Q2326" s="4">
        <f t="shared" ca="1" si="215"/>
        <v>1965.4704867194264</v>
      </c>
      <c r="R2326" s="4">
        <f t="shared" ca="1" si="216"/>
        <v>41.800442719426428</v>
      </c>
      <c r="S2326" s="4">
        <f t="shared" ca="1" si="217"/>
        <v>21.871056236183815</v>
      </c>
    </row>
    <row r="2327" spans="15:19" x14ac:dyDescent="0.2">
      <c r="O2327" s="4">
        <f t="shared" ca="1" si="213"/>
        <v>0.81526603651050433</v>
      </c>
      <c r="P2327" s="4">
        <f t="shared" ca="1" si="214"/>
        <v>0.89747046434070143</v>
      </c>
      <c r="Q2327" s="4">
        <f t="shared" ca="1" si="215"/>
        <v>1896.0754562935031</v>
      </c>
      <c r="R2327" s="4">
        <f t="shared" ca="1" si="216"/>
        <v>-27.594587706496895</v>
      </c>
      <c r="S2327" s="4">
        <f t="shared" ca="1" si="217"/>
        <v>-13.658683133521421</v>
      </c>
    </row>
    <row r="2328" spans="15:19" x14ac:dyDescent="0.2">
      <c r="O2328" s="4">
        <f t="shared" ca="1" si="213"/>
        <v>0.5958465962385755</v>
      </c>
      <c r="P2328" s="4">
        <f t="shared" ca="1" si="214"/>
        <v>0.24261093737985395</v>
      </c>
      <c r="Q2328" s="4">
        <f t="shared" ca="1" si="215"/>
        <v>1915.9143965876765</v>
      </c>
      <c r="R2328" s="4">
        <f t="shared" ca="1" si="216"/>
        <v>-7.7556474123234693</v>
      </c>
      <c r="S2328" s="4">
        <f t="shared" ca="1" si="217"/>
        <v>-3.9014994448376892</v>
      </c>
    </row>
    <row r="2329" spans="15:19" x14ac:dyDescent="0.2">
      <c r="O2329" s="4">
        <f t="shared" ca="1" si="213"/>
        <v>0.43691684396748443</v>
      </c>
      <c r="P2329" s="4">
        <f t="shared" ca="1" si="214"/>
        <v>-0.15879081198853326</v>
      </c>
      <c r="Q2329" s="4">
        <f t="shared" ca="1" si="215"/>
        <v>1928.0748447629569</v>
      </c>
      <c r="R2329" s="4">
        <f t="shared" ca="1" si="216"/>
        <v>4.4048007629569383</v>
      </c>
      <c r="S2329" s="4">
        <f t="shared" ca="1" si="217"/>
        <v>2.2376513577449906</v>
      </c>
    </row>
    <row r="2330" spans="15:19" x14ac:dyDescent="0.2">
      <c r="O2330" s="4">
        <f t="shared" ca="1" si="213"/>
        <v>0.36896861687194182</v>
      </c>
      <c r="P2330" s="4">
        <f t="shared" ca="1" si="214"/>
        <v>-0.334586229906157</v>
      </c>
      <c r="Q2330" s="4">
        <f t="shared" ca="1" si="215"/>
        <v>1933.4005591436317</v>
      </c>
      <c r="R2330" s="4">
        <f t="shared" ca="1" si="216"/>
        <v>9.7305151436316919</v>
      </c>
      <c r="S2330" s="4">
        <f t="shared" ca="1" si="217"/>
        <v>4.9642245801358209</v>
      </c>
    </row>
    <row r="2331" spans="15:19" x14ac:dyDescent="0.2">
      <c r="O2331" s="4">
        <f t="shared" ca="1" si="213"/>
        <v>0.77484944480442897</v>
      </c>
      <c r="P2331" s="4">
        <f t="shared" ca="1" si="214"/>
        <v>0.75491312445506198</v>
      </c>
      <c r="Q2331" s="4">
        <f t="shared" ca="1" si="215"/>
        <v>1900.3942245759356</v>
      </c>
      <c r="R2331" s="4">
        <f t="shared" ca="1" si="216"/>
        <v>-23.275819424064366</v>
      </c>
      <c r="S2331" s="4">
        <f t="shared" ca="1" si="217"/>
        <v>-11.561912418585033</v>
      </c>
    </row>
    <row r="2332" spans="15:19" x14ac:dyDescent="0.2">
      <c r="O2332" s="4">
        <f t="shared" ca="1" si="213"/>
        <v>2.6847330822228455E-2</v>
      </c>
      <c r="P2332" s="4">
        <f t="shared" ca="1" si="214"/>
        <v>-1.9292916832391269</v>
      </c>
      <c r="Q2332" s="4">
        <f t="shared" ca="1" si="215"/>
        <v>1981.7120900490327</v>
      </c>
      <c r="R2332" s="4">
        <f t="shared" ca="1" si="216"/>
        <v>58.042046049032706</v>
      </c>
      <c r="S2332" s="4">
        <f t="shared" ca="1" si="217"/>
        <v>30.752819237084108</v>
      </c>
    </row>
    <row r="2333" spans="15:19" x14ac:dyDescent="0.2">
      <c r="O2333" s="4">
        <f t="shared" ca="1" si="213"/>
        <v>0.21617876601591357</v>
      </c>
      <c r="P2333" s="4">
        <f t="shared" ca="1" si="214"/>
        <v>-0.78516380834855781</v>
      </c>
      <c r="Q2333" s="4">
        <f t="shared" ca="1" si="215"/>
        <v>1947.050786877352</v>
      </c>
      <c r="R2333" s="4">
        <f t="shared" ca="1" si="216"/>
        <v>23.380742877352077</v>
      </c>
      <c r="S2333" s="4">
        <f t="shared" ca="1" si="217"/>
        <v>12.058089168521329</v>
      </c>
    </row>
    <row r="2334" spans="15:19" x14ac:dyDescent="0.2">
      <c r="O2334" s="4">
        <f t="shared" ca="1" si="213"/>
        <v>0.71430736131764994</v>
      </c>
      <c r="P2334" s="4">
        <f t="shared" ca="1" si="214"/>
        <v>0.56601250851774709</v>
      </c>
      <c r="Q2334" s="4">
        <f t="shared" ca="1" si="215"/>
        <v>1906.116960348759</v>
      </c>
      <c r="R2334" s="4">
        <f t="shared" ca="1" si="216"/>
        <v>-17.553083651240968</v>
      </c>
      <c r="S2334" s="4">
        <f t="shared" ca="1" si="217"/>
        <v>-8.7601204723745418</v>
      </c>
    </row>
    <row r="2335" spans="15:19" x14ac:dyDescent="0.2">
      <c r="O2335" s="4">
        <f t="shared" ca="1" si="213"/>
        <v>0.49109857097130738</v>
      </c>
      <c r="P2335" s="4">
        <f t="shared" ca="1" si="214"/>
        <v>-2.231442539992648E-2</v>
      </c>
      <c r="Q2335" s="4">
        <f t="shared" ca="1" si="215"/>
        <v>1923.9402986906696</v>
      </c>
      <c r="R2335" s="4">
        <f t="shared" ca="1" si="216"/>
        <v>0.27025469066961705</v>
      </c>
      <c r="S2335" s="4">
        <f t="shared" ca="1" si="217"/>
        <v>0.13683530289450055</v>
      </c>
    </row>
    <row r="2336" spans="15:19" x14ac:dyDescent="0.2">
      <c r="O2336" s="4">
        <f t="shared" ca="1" si="213"/>
        <v>0.3064955052032583</v>
      </c>
      <c r="P2336" s="4">
        <f t="shared" ca="1" si="214"/>
        <v>-0.50580861459636384</v>
      </c>
      <c r="Q2336" s="4">
        <f t="shared" ca="1" si="215"/>
        <v>1938.5877336857193</v>
      </c>
      <c r="R2336" s="4">
        <f t="shared" ca="1" si="216"/>
        <v>14.917689685719324</v>
      </c>
      <c r="S2336" s="4">
        <f t="shared" ca="1" si="217"/>
        <v>7.6420687900726483</v>
      </c>
    </row>
    <row r="2337" spans="15:19" x14ac:dyDescent="0.2">
      <c r="O2337" s="4">
        <f t="shared" ca="1" si="213"/>
        <v>0.45173763601562877</v>
      </c>
      <c r="P2337" s="4">
        <f t="shared" ca="1" si="214"/>
        <v>-0.12127241038229311</v>
      </c>
      <c r="Q2337" s="4">
        <f t="shared" ca="1" si="215"/>
        <v>1926.9382264520755</v>
      </c>
      <c r="R2337" s="4">
        <f t="shared" ca="1" si="216"/>
        <v>3.2681824520755072</v>
      </c>
      <c r="S2337" s="4">
        <f t="shared" ca="1" si="217"/>
        <v>1.6587338819117219</v>
      </c>
    </row>
    <row r="2338" spans="15:19" x14ac:dyDescent="0.2">
      <c r="O2338" s="4">
        <f t="shared" ca="1" si="213"/>
        <v>0.20038244338927091</v>
      </c>
      <c r="P2338" s="4">
        <f t="shared" ca="1" si="214"/>
        <v>-0.84025596279599923</v>
      </c>
      <c r="Q2338" s="4">
        <f t="shared" ca="1" si="215"/>
        <v>1948.7198012503009</v>
      </c>
      <c r="R2338" s="4">
        <f t="shared" ca="1" si="216"/>
        <v>25.0497572503009</v>
      </c>
      <c r="S2338" s="4">
        <f t="shared" ca="1" si="217"/>
        <v>12.935864486271475</v>
      </c>
    </row>
    <row r="2339" spans="15:19" x14ac:dyDescent="0.2">
      <c r="O2339" s="4">
        <f t="shared" ca="1" si="213"/>
        <v>0.2741515090922606</v>
      </c>
      <c r="P2339" s="4">
        <f t="shared" ca="1" si="214"/>
        <v>-0.60030495333945744</v>
      </c>
      <c r="Q2339" s="4">
        <f t="shared" ca="1" si="215"/>
        <v>1941.4504960723987</v>
      </c>
      <c r="R2339" s="4">
        <f t="shared" ca="1" si="216"/>
        <v>17.780452072398703</v>
      </c>
      <c r="S2339" s="4">
        <f t="shared" ca="1" si="217"/>
        <v>9.1293316839185685</v>
      </c>
    </row>
    <row r="2340" spans="15:19" x14ac:dyDescent="0.2">
      <c r="O2340" s="4">
        <f t="shared" ca="1" si="213"/>
        <v>0.94119102900668339</v>
      </c>
      <c r="P2340" s="4">
        <f t="shared" ca="1" si="214"/>
        <v>1.5648506088259786</v>
      </c>
      <c r="Q2340" s="4">
        <f t="shared" ca="1" si="215"/>
        <v>1875.8572044473299</v>
      </c>
      <c r="R2340" s="4">
        <f t="shared" ca="1" si="216"/>
        <v>-47.812839552670084</v>
      </c>
      <c r="S2340" s="4">
        <f t="shared" ca="1" si="217"/>
        <v>-23.27273992528254</v>
      </c>
    </row>
    <row r="2341" spans="15:19" x14ac:dyDescent="0.2">
      <c r="O2341" s="4">
        <f t="shared" ca="1" si="213"/>
        <v>0.28111736592506131</v>
      </c>
      <c r="P2341" s="4">
        <f t="shared" ca="1" si="214"/>
        <v>-0.57952537211697863</v>
      </c>
      <c r="Q2341" s="4">
        <f t="shared" ca="1" si="215"/>
        <v>1940.8209795818561</v>
      </c>
      <c r="R2341" s="4">
        <f t="shared" ca="1" si="216"/>
        <v>17.150935581856174</v>
      </c>
      <c r="S2341" s="4">
        <f t="shared" ca="1" si="217"/>
        <v>8.8017128650672767</v>
      </c>
    </row>
    <row r="2342" spans="15:19" x14ac:dyDescent="0.2">
      <c r="O2342" s="4">
        <f t="shared" ca="1" si="213"/>
        <v>0.75779615091421937</v>
      </c>
      <c r="P2342" s="4">
        <f t="shared" ca="1" si="214"/>
        <v>0.69923097128611988</v>
      </c>
      <c r="Q2342" s="4">
        <f t="shared" ca="1" si="215"/>
        <v>1902.0811129339572</v>
      </c>
      <c r="R2342" s="4">
        <f t="shared" ca="1" si="216"/>
        <v>-21.588931066042733</v>
      </c>
      <c r="S2342" s="4">
        <f t="shared" ca="1" si="217"/>
        <v>-10.738800750864154</v>
      </c>
    </row>
    <row r="2343" spans="15:19" x14ac:dyDescent="0.2">
      <c r="O2343" s="4">
        <f t="shared" ca="1" si="213"/>
        <v>0.2331840487238469</v>
      </c>
      <c r="P2343" s="4">
        <f t="shared" ca="1" si="214"/>
        <v>-0.72840108801002168</v>
      </c>
      <c r="Q2343" s="4">
        <f t="shared" ca="1" si="215"/>
        <v>1945.3311627849039</v>
      </c>
      <c r="R2343" s="4">
        <f t="shared" ca="1" si="216"/>
        <v>21.66111878490392</v>
      </c>
      <c r="S2343" s="4">
        <f t="shared" ca="1" si="217"/>
        <v>11.156069033798135</v>
      </c>
    </row>
    <row r="2344" spans="15:19" x14ac:dyDescent="0.2">
      <c r="O2344" s="4">
        <f t="shared" ca="1" si="213"/>
        <v>0.71720800633946002</v>
      </c>
      <c r="P2344" s="4">
        <f t="shared" ca="1" si="214"/>
        <v>0.57456727837694654</v>
      </c>
      <c r="Q2344" s="4">
        <f t="shared" ca="1" si="215"/>
        <v>1905.8577939756979</v>
      </c>
      <c r="R2344" s="4">
        <f t="shared" ca="1" si="216"/>
        <v>-17.812250024302102</v>
      </c>
      <c r="S2344" s="4">
        <f t="shared" ca="1" si="217"/>
        <v>-8.8875820337982621</v>
      </c>
    </row>
    <row r="2345" spans="15:19" x14ac:dyDescent="0.2">
      <c r="O2345" s="4">
        <f t="shared" ca="1" si="213"/>
        <v>0.97757852565194481</v>
      </c>
      <c r="P2345" s="4">
        <f t="shared" ca="1" si="214"/>
        <v>2.0061246669642312</v>
      </c>
      <c r="Q2345" s="4">
        <f t="shared" ca="1" si="215"/>
        <v>1862.4888264481567</v>
      </c>
      <c r="R2345" s="4">
        <f t="shared" ca="1" si="216"/>
        <v>-61.181217551843247</v>
      </c>
      <c r="S2345" s="4">
        <f t="shared" ca="1" si="217"/>
        <v>-29.446813925166236</v>
      </c>
    </row>
    <row r="2346" spans="15:19" x14ac:dyDescent="0.2">
      <c r="O2346" s="4">
        <f t="shared" ca="1" si="213"/>
        <v>0.68272751338281967</v>
      </c>
      <c r="P2346" s="4">
        <f t="shared" ca="1" si="214"/>
        <v>0.47533955041682996</v>
      </c>
      <c r="Q2346" s="4">
        <f t="shared" ca="1" si="215"/>
        <v>1908.8638935886379</v>
      </c>
      <c r="R2346" s="4">
        <f t="shared" ca="1" si="216"/>
        <v>-14.806150411362069</v>
      </c>
      <c r="S2346" s="4">
        <f t="shared" ca="1" si="217"/>
        <v>-7.405779796633758</v>
      </c>
    </row>
    <row r="2347" spans="15:19" x14ac:dyDescent="0.2">
      <c r="O2347" s="4">
        <f t="shared" ca="1" si="213"/>
        <v>0.24462820394100693</v>
      </c>
      <c r="P2347" s="4">
        <f t="shared" ca="1" si="214"/>
        <v>-0.69149199768586767</v>
      </c>
      <c r="Q2347" s="4">
        <f t="shared" ca="1" si="215"/>
        <v>1944.21300353226</v>
      </c>
      <c r="R2347" s="4">
        <f t="shared" ca="1" si="216"/>
        <v>20.542959532260056</v>
      </c>
      <c r="S2347" s="4">
        <f t="shared" ca="1" si="217"/>
        <v>10.570835912589876</v>
      </c>
    </row>
    <row r="2348" spans="15:19" x14ac:dyDescent="0.2">
      <c r="O2348" s="4">
        <f t="shared" ca="1" si="213"/>
        <v>0.89062066047223165</v>
      </c>
      <c r="P2348" s="4">
        <f t="shared" ca="1" si="214"/>
        <v>1.2298355867196036</v>
      </c>
      <c r="Q2348" s="4">
        <f t="shared" ca="1" si="215"/>
        <v>1886.0064696677121</v>
      </c>
      <c r="R2348" s="4">
        <f t="shared" ca="1" si="216"/>
        <v>-37.663574332287908</v>
      </c>
      <c r="S2348" s="4">
        <f t="shared" ca="1" si="217"/>
        <v>-18.488224291936298</v>
      </c>
    </row>
    <row r="2349" spans="15:19" x14ac:dyDescent="0.2">
      <c r="O2349" s="4">
        <f t="shared" ca="1" si="213"/>
        <v>0.81568862040121715</v>
      </c>
      <c r="P2349" s="4">
        <f t="shared" ca="1" si="214"/>
        <v>0.89905613863453904</v>
      </c>
      <c r="Q2349" s="4">
        <f t="shared" ca="1" si="215"/>
        <v>1896.0274183611734</v>
      </c>
      <c r="R2349" s="4">
        <f t="shared" ca="1" si="216"/>
        <v>-27.64262563882653</v>
      </c>
      <c r="S2349" s="4">
        <f t="shared" ca="1" si="217"/>
        <v>-13.681920254727169</v>
      </c>
    </row>
    <row r="2350" spans="15:19" x14ac:dyDescent="0.2">
      <c r="O2350" s="4">
        <f t="shared" ca="1" si="213"/>
        <v>0.26345417929504289</v>
      </c>
      <c r="P2350" s="4">
        <f t="shared" ca="1" si="214"/>
        <v>-0.63273247561297485</v>
      </c>
      <c r="Q2350" s="4">
        <f t="shared" ca="1" si="215"/>
        <v>1942.4328864199256</v>
      </c>
      <c r="R2350" s="4">
        <f t="shared" ca="1" si="216"/>
        <v>18.762842419925619</v>
      </c>
      <c r="S2350" s="4">
        <f t="shared" ca="1" si="217"/>
        <v>9.6412409958146448</v>
      </c>
    </row>
    <row r="2351" spans="15:19" x14ac:dyDescent="0.2">
      <c r="O2351" s="4">
        <f t="shared" ca="1" si="213"/>
        <v>0.99394050987294413</v>
      </c>
      <c r="P2351" s="4">
        <f t="shared" ca="1" si="214"/>
        <v>2.5086607795245981</v>
      </c>
      <c r="Q2351" s="4">
        <f t="shared" ca="1" si="215"/>
        <v>1847.2645172302393</v>
      </c>
      <c r="R2351" s="4">
        <f t="shared" ca="1" si="216"/>
        <v>-76.405526769760627</v>
      </c>
      <c r="S2351" s="4">
        <f t="shared" ca="1" si="217"/>
        <v>-36.300835469443136</v>
      </c>
    </row>
    <row r="2352" spans="15:19" x14ac:dyDescent="0.2">
      <c r="O2352" s="4">
        <f t="shared" ca="1" si="213"/>
        <v>0.2196545607358773</v>
      </c>
      <c r="P2352" s="4">
        <f t="shared" ca="1" si="214"/>
        <v>-0.77336039596953365</v>
      </c>
      <c r="Q2352" s="4">
        <f t="shared" ca="1" si="215"/>
        <v>1946.6932030233888</v>
      </c>
      <c r="R2352" s="4">
        <f t="shared" ca="1" si="216"/>
        <v>23.023159023388871</v>
      </c>
      <c r="S2352" s="4">
        <f t="shared" ca="1" si="217"/>
        <v>11.870322103027945</v>
      </c>
    </row>
    <row r="2353" spans="15:19" x14ac:dyDescent="0.2">
      <c r="O2353" s="4">
        <f t="shared" ca="1" si="213"/>
        <v>0.51618831253408126</v>
      </c>
      <c r="P2353" s="4">
        <f t="shared" ca="1" si="214"/>
        <v>4.0589224186656295E-2</v>
      </c>
      <c r="Q2353" s="4">
        <f t="shared" ca="1" si="215"/>
        <v>1922.0346354193032</v>
      </c>
      <c r="R2353" s="4">
        <f t="shared" ca="1" si="216"/>
        <v>-1.635408580696776</v>
      </c>
      <c r="S2353" s="4">
        <f t="shared" ca="1" si="217"/>
        <v>-0.82677111065376585</v>
      </c>
    </row>
    <row r="2354" spans="15:19" x14ac:dyDescent="0.2">
      <c r="O2354" s="4">
        <f t="shared" ca="1" si="213"/>
        <v>0.65687652965944876</v>
      </c>
      <c r="P2354" s="4">
        <f t="shared" ca="1" si="214"/>
        <v>0.40395346316289354</v>
      </c>
      <c r="Q2354" s="4">
        <f t="shared" ca="1" si="215"/>
        <v>1911.0265319325254</v>
      </c>
      <c r="R2354" s="4">
        <f t="shared" ca="1" si="216"/>
        <v>-12.643512067474603</v>
      </c>
      <c r="S2354" s="4">
        <f t="shared" ca="1" si="217"/>
        <v>-6.3351962165044844</v>
      </c>
    </row>
    <row r="2355" spans="15:19" x14ac:dyDescent="0.2">
      <c r="O2355" s="4">
        <f t="shared" ca="1" si="213"/>
        <v>8.4469829097881921E-2</v>
      </c>
      <c r="P2355" s="4">
        <f t="shared" ca="1" si="214"/>
        <v>-1.3756188804851859</v>
      </c>
      <c r="Q2355" s="4">
        <f t="shared" ca="1" si="215"/>
        <v>1964.9385970721189</v>
      </c>
      <c r="R2355" s="4">
        <f t="shared" ca="1" si="216"/>
        <v>41.268553072118948</v>
      </c>
      <c r="S2355" s="4">
        <f t="shared" ca="1" si="217"/>
        <v>21.583822727948551</v>
      </c>
    </row>
    <row r="2356" spans="15:19" x14ac:dyDescent="0.2">
      <c r="O2356" s="4">
        <f t="shared" ca="1" si="213"/>
        <v>0.93781762874932639</v>
      </c>
      <c r="P2356" s="4">
        <f t="shared" ca="1" si="214"/>
        <v>1.5367083619466226</v>
      </c>
      <c r="Q2356" s="4">
        <f t="shared" ca="1" si="215"/>
        <v>1876.7097725670526</v>
      </c>
      <c r="R2356" s="4">
        <f t="shared" ca="1" si="216"/>
        <v>-46.960271432947366</v>
      </c>
      <c r="S2356" s="4">
        <f t="shared" ca="1" si="217"/>
        <v>-22.874053002675321</v>
      </c>
    </row>
    <row r="2357" spans="15:19" x14ac:dyDescent="0.2">
      <c r="O2357" s="4">
        <f t="shared" ca="1" si="213"/>
        <v>0.74049696787266139</v>
      </c>
      <c r="P2357" s="4">
        <f t="shared" ca="1" si="214"/>
        <v>0.64487828601976405</v>
      </c>
      <c r="Q2357" s="4">
        <f t="shared" ca="1" si="215"/>
        <v>1903.7277251208968</v>
      </c>
      <c r="R2357" s="4">
        <f t="shared" ca="1" si="216"/>
        <v>-19.942318879103141</v>
      </c>
      <c r="S2357" s="4">
        <f t="shared" ca="1" si="217"/>
        <v>-9.9331073134414734</v>
      </c>
    </row>
    <row r="2358" spans="15:19" x14ac:dyDescent="0.2">
      <c r="O2358" s="4">
        <f t="shared" ca="1" si="213"/>
        <v>0.76166951972737384</v>
      </c>
      <c r="P2358" s="4">
        <f t="shared" ca="1" si="214"/>
        <v>0.71168322040136733</v>
      </c>
      <c r="Q2358" s="4">
        <f t="shared" ca="1" si="215"/>
        <v>1901.703872599878</v>
      </c>
      <c r="R2358" s="4">
        <f t="shared" ca="1" si="216"/>
        <v>-21.966171400121993</v>
      </c>
      <c r="S2358" s="4">
        <f t="shared" ca="1" si="217"/>
        <v>-10.923075053826475</v>
      </c>
    </row>
    <row r="2359" spans="15:19" x14ac:dyDescent="0.2">
      <c r="O2359" s="4">
        <f t="shared" ca="1" si="213"/>
        <v>0.27437435453548209</v>
      </c>
      <c r="P2359" s="4">
        <f t="shared" ca="1" si="214"/>
        <v>-0.59963621066356765</v>
      </c>
      <c r="Q2359" s="4">
        <f t="shared" ca="1" si="215"/>
        <v>1941.4302365427243</v>
      </c>
      <c r="R2359" s="4">
        <f t="shared" ca="1" si="216"/>
        <v>17.760192542724326</v>
      </c>
      <c r="S2359" s="4">
        <f t="shared" ca="1" si="217"/>
        <v>9.1187830067572513</v>
      </c>
    </row>
    <row r="2360" spans="15:19" x14ac:dyDescent="0.2">
      <c r="O2360" s="4">
        <f t="shared" ca="1" si="213"/>
        <v>0.9102156624116432</v>
      </c>
      <c r="P2360" s="4">
        <f t="shared" ca="1" si="214"/>
        <v>1.3420842649955089</v>
      </c>
      <c r="Q2360" s="4">
        <f t="shared" ca="1" si="215"/>
        <v>1882.6059009430719</v>
      </c>
      <c r="R2360" s="4">
        <f t="shared" ca="1" si="216"/>
        <v>-41.06414305692806</v>
      </c>
      <c r="S2360" s="4">
        <f t="shared" ca="1" si="217"/>
        <v>-20.100645317052713</v>
      </c>
    </row>
    <row r="2361" spans="15:19" x14ac:dyDescent="0.2">
      <c r="O2361" s="4">
        <f t="shared" ca="1" si="213"/>
        <v>0.42434472960649161</v>
      </c>
      <c r="P2361" s="4">
        <f t="shared" ca="1" si="214"/>
        <v>-0.19079084800261253</v>
      </c>
      <c r="Q2361" s="4">
        <f t="shared" ca="1" si="215"/>
        <v>1929.044284433234</v>
      </c>
      <c r="R2361" s="4">
        <f t="shared" ca="1" si="216"/>
        <v>5.3742404332340357</v>
      </c>
      <c r="S2361" s="4">
        <f t="shared" ca="1" si="217"/>
        <v>2.7322503082047422</v>
      </c>
    </row>
    <row r="2362" spans="15:19" x14ac:dyDescent="0.2">
      <c r="O2362" s="4">
        <f t="shared" ca="1" si="213"/>
        <v>0.86950697304633651</v>
      </c>
      <c r="P2362" s="4">
        <f t="shared" ca="1" si="214"/>
        <v>1.1240635810695703</v>
      </c>
      <c r="Q2362" s="4">
        <f t="shared" ca="1" si="215"/>
        <v>1889.2108278827088</v>
      </c>
      <c r="R2362" s="4">
        <f t="shared" ca="1" si="216"/>
        <v>-34.459216117291135</v>
      </c>
      <c r="S2362" s="4">
        <f t="shared" ca="1" si="217"/>
        <v>-16.960223428906712</v>
      </c>
    </row>
    <row r="2363" spans="15:19" x14ac:dyDescent="0.2">
      <c r="O2363" s="4">
        <f t="shared" ca="1" si="213"/>
        <v>2.2262768453089277E-2</v>
      </c>
      <c r="P2363" s="4">
        <f t="shared" ca="1" si="214"/>
        <v>-2.0091093630893702</v>
      </c>
      <c r="Q2363" s="4">
        <f t="shared" ca="1" si="215"/>
        <v>1984.1301631162712</v>
      </c>
      <c r="R2363" s="4">
        <f t="shared" ca="1" si="216"/>
        <v>60.460119116271244</v>
      </c>
      <c r="S2363" s="4">
        <f t="shared" ca="1" si="217"/>
        <v>32.093515930791881</v>
      </c>
    </row>
    <row r="2364" spans="15:19" x14ac:dyDescent="0.2">
      <c r="O2364" s="4">
        <f t="shared" ca="1" si="213"/>
        <v>0.49082800566328644</v>
      </c>
      <c r="P2364" s="4">
        <f t="shared" ca="1" si="214"/>
        <v>-2.2992806109659071E-2</v>
      </c>
      <c r="Q2364" s="4">
        <f t="shared" ca="1" si="215"/>
        <v>1923.9608502041517</v>
      </c>
      <c r="R2364" s="4">
        <f t="shared" ca="1" si="216"/>
        <v>0.29080620415174963</v>
      </c>
      <c r="S2364" s="4">
        <f t="shared" ca="1" si="217"/>
        <v>0.14724337409227672</v>
      </c>
    </row>
    <row r="2365" spans="15:19" x14ac:dyDescent="0.2">
      <c r="O2365" s="4">
        <f t="shared" ca="1" si="213"/>
        <v>0.80323026248909168</v>
      </c>
      <c r="P2365" s="4">
        <f t="shared" ca="1" si="214"/>
        <v>0.85321610302695161</v>
      </c>
      <c r="Q2365" s="4">
        <f t="shared" ca="1" si="215"/>
        <v>1897.4161402046541</v>
      </c>
      <c r="R2365" s="4">
        <f t="shared" ca="1" si="216"/>
        <v>-26.253903795345877</v>
      </c>
      <c r="S2365" s="4">
        <f t="shared" ca="1" si="217"/>
        <v>-13.009403682615547</v>
      </c>
    </row>
    <row r="2366" spans="15:19" x14ac:dyDescent="0.2">
      <c r="O2366" s="4">
        <f t="shared" ca="1" si="213"/>
        <v>0.66448368483102227</v>
      </c>
      <c r="P2366" s="4">
        <f t="shared" ca="1" si="214"/>
        <v>0.42473120880892684</v>
      </c>
      <c r="Q2366" s="4">
        <f t="shared" ca="1" si="215"/>
        <v>1910.3970710506899</v>
      </c>
      <c r="R2366" s="4">
        <f t="shared" ca="1" si="216"/>
        <v>-13.272972949310088</v>
      </c>
      <c r="S2366" s="4">
        <f t="shared" ca="1" si="217"/>
        <v>-6.6471947917917618</v>
      </c>
    </row>
    <row r="2367" spans="15:19" x14ac:dyDescent="0.2">
      <c r="O2367" s="4">
        <f t="shared" ca="1" si="213"/>
        <v>0.33500379661778645</v>
      </c>
      <c r="P2367" s="4">
        <f t="shared" ca="1" si="214"/>
        <v>-0.42613758658087286</v>
      </c>
      <c r="Q2367" s="4">
        <f t="shared" ca="1" si="215"/>
        <v>1936.1741034293036</v>
      </c>
      <c r="R2367" s="4">
        <f t="shared" ca="1" si="216"/>
        <v>12.504059429303652</v>
      </c>
      <c r="S2367" s="4">
        <f t="shared" ca="1" si="217"/>
        <v>6.3933232441405776</v>
      </c>
    </row>
    <row r="2368" spans="15:19" x14ac:dyDescent="0.2">
      <c r="O2368" s="4">
        <f t="shared" ca="1" si="213"/>
        <v>0.55746047095545126</v>
      </c>
      <c r="P2368" s="4">
        <f t="shared" ca="1" si="214"/>
        <v>0.14453368604141728</v>
      </c>
      <c r="Q2368" s="4">
        <f t="shared" ca="1" si="215"/>
        <v>1918.8856425624429</v>
      </c>
      <c r="R2368" s="4">
        <f t="shared" ca="1" si="216"/>
        <v>-4.7844014375571078</v>
      </c>
      <c r="S2368" s="4">
        <f t="shared" ca="1" si="217"/>
        <v>-2.4125928535136358</v>
      </c>
    </row>
    <row r="2369" spans="15:19" x14ac:dyDescent="0.2">
      <c r="O2369" s="4">
        <f t="shared" ca="1" si="213"/>
        <v>3.1756843903371856E-2</v>
      </c>
      <c r="P2369" s="4">
        <f t="shared" ca="1" si="214"/>
        <v>-1.8555783090243718</v>
      </c>
      <c r="Q2369" s="4">
        <f t="shared" ca="1" si="215"/>
        <v>1979.4789466499967</v>
      </c>
      <c r="R2369" s="4">
        <f t="shared" ca="1" si="216"/>
        <v>55.808902649996753</v>
      </c>
      <c r="S2369" s="4">
        <f t="shared" ca="1" si="217"/>
        <v>29.518884658446922</v>
      </c>
    </row>
    <row r="2370" spans="15:19" x14ac:dyDescent="0.2">
      <c r="O2370" s="4">
        <f t="shared" ca="1" si="213"/>
        <v>0.91177918855149764</v>
      </c>
      <c r="P2370" s="4">
        <f t="shared" ca="1" si="214"/>
        <v>1.3517927536906909</v>
      </c>
      <c r="Q2370" s="4">
        <f t="shared" ca="1" si="215"/>
        <v>1882.3117827090987</v>
      </c>
      <c r="R2370" s="4">
        <f t="shared" ca="1" si="216"/>
        <v>-41.358261290901282</v>
      </c>
      <c r="S2370" s="4">
        <f t="shared" ca="1" si="217"/>
        <v>-20.239662703458087</v>
      </c>
    </row>
    <row r="2371" spans="15:19" x14ac:dyDescent="0.2">
      <c r="O2371" s="4">
        <f t="shared" ref="O2371:O2434" ca="1" si="218">RAND()</f>
        <v>0.34811565842140568</v>
      </c>
      <c r="P2371" s="4">
        <f t="shared" ref="P2371:P2434" ca="1" si="219">NORMSINV(O2371)</f>
        <v>-0.39041281012766205</v>
      </c>
      <c r="Q2371" s="4">
        <f t="shared" ref="Q2371:Q2434" ca="1" si="220">$B$4*(1+$B$17-$B$6/SQRT(252)*P2371)</f>
        <v>1935.0918229127979</v>
      </c>
      <c r="R2371" s="4">
        <f t="shared" ref="R2371:R2434" ca="1" si="221">Q2371-$B$4</f>
        <v>11.42177891279789</v>
      </c>
      <c r="S2371" s="4">
        <f t="shared" ref="S2371:S2434" ca="1" si="222">R2371*$B$12+0.5*$B$13*R2371^2</f>
        <v>5.8349214045342563</v>
      </c>
    </row>
    <row r="2372" spans="15:19" x14ac:dyDescent="0.2">
      <c r="O2372" s="4">
        <f t="shared" ca="1" si="218"/>
        <v>0.33820081206781383</v>
      </c>
      <c r="P2372" s="4">
        <f t="shared" ca="1" si="219"/>
        <v>-0.41737843740308056</v>
      </c>
      <c r="Q2372" s="4">
        <f t="shared" ca="1" si="220"/>
        <v>1935.9087453938598</v>
      </c>
      <c r="R2372" s="4">
        <f t="shared" ca="1" si="221"/>
        <v>12.238701393859856</v>
      </c>
      <c r="S2372" s="4">
        <f t="shared" ca="1" si="222"/>
        <v>6.2563237169331192</v>
      </c>
    </row>
    <row r="2373" spans="15:19" x14ac:dyDescent="0.2">
      <c r="O2373" s="4">
        <f t="shared" ca="1" si="218"/>
        <v>0.84741768202574652</v>
      </c>
      <c r="P2373" s="4">
        <f t="shared" ca="1" si="219"/>
        <v>1.0254208890201633</v>
      </c>
      <c r="Q2373" s="4">
        <f t="shared" ca="1" si="220"/>
        <v>1892.1992038587091</v>
      </c>
      <c r="R2373" s="4">
        <f t="shared" ca="1" si="221"/>
        <v>-31.470840141290864</v>
      </c>
      <c r="S2373" s="4">
        <f t="shared" ca="1" si="222"/>
        <v>-15.52768056317297</v>
      </c>
    </row>
    <row r="2374" spans="15:19" x14ac:dyDescent="0.2">
      <c r="O2374" s="4">
        <f t="shared" ca="1" si="218"/>
        <v>0.62358567411863042</v>
      </c>
      <c r="P2374" s="4">
        <f t="shared" ca="1" si="219"/>
        <v>0.31491176080988847</v>
      </c>
      <c r="Q2374" s="4">
        <f t="shared" ca="1" si="220"/>
        <v>1913.7240463519474</v>
      </c>
      <c r="R2374" s="4">
        <f t="shared" ca="1" si="221"/>
        <v>-9.9459976480525256</v>
      </c>
      <c r="S2374" s="4">
        <f t="shared" ca="1" si="222"/>
        <v>-4.9944929737722648</v>
      </c>
    </row>
    <row r="2375" spans="15:19" x14ac:dyDescent="0.2">
      <c r="O2375" s="4">
        <f t="shared" ca="1" si="218"/>
        <v>0.16108114448911437</v>
      </c>
      <c r="P2375" s="4">
        <f t="shared" ca="1" si="219"/>
        <v>-0.99002420346205178</v>
      </c>
      <c r="Q2375" s="4">
        <f t="shared" ca="1" si="220"/>
        <v>1953.2570234517193</v>
      </c>
      <c r="R2375" s="4">
        <f t="shared" ca="1" si="221"/>
        <v>29.586979451719344</v>
      </c>
      <c r="S2375" s="4">
        <f t="shared" ca="1" si="222"/>
        <v>15.333562866297006</v>
      </c>
    </row>
    <row r="2376" spans="15:19" x14ac:dyDescent="0.2">
      <c r="O2376" s="4">
        <f t="shared" ca="1" si="218"/>
        <v>0.14195782436743321</v>
      </c>
      <c r="P2376" s="4">
        <f t="shared" ca="1" si="219"/>
        <v>-1.0715645819572364</v>
      </c>
      <c r="Q2376" s="4">
        <f t="shared" ca="1" si="220"/>
        <v>1955.7272855979199</v>
      </c>
      <c r="R2376" s="4">
        <f t="shared" ca="1" si="221"/>
        <v>32.057241597919983</v>
      </c>
      <c r="S2376" s="4">
        <f t="shared" ca="1" si="222"/>
        <v>16.646021198218257</v>
      </c>
    </row>
    <row r="2377" spans="15:19" x14ac:dyDescent="0.2">
      <c r="O2377" s="4">
        <f t="shared" ca="1" si="218"/>
        <v>6.5296826559601007E-3</v>
      </c>
      <c r="P2377" s="4">
        <f t="shared" ca="1" si="219"/>
        <v>-2.4821462786709954</v>
      </c>
      <c r="Q2377" s="4">
        <f t="shared" ca="1" si="220"/>
        <v>1998.4607954714525</v>
      </c>
      <c r="R2377" s="4">
        <f t="shared" ca="1" si="221"/>
        <v>74.790751471452495</v>
      </c>
      <c r="S2377" s="4">
        <f t="shared" ca="1" si="222"/>
        <v>40.13681638595687</v>
      </c>
    </row>
    <row r="2378" spans="15:19" x14ac:dyDescent="0.2">
      <c r="O2378" s="4">
        <f t="shared" ca="1" si="218"/>
        <v>0.42312195084983639</v>
      </c>
      <c r="P2378" s="4">
        <f t="shared" ca="1" si="219"/>
        <v>-0.19391313113214476</v>
      </c>
      <c r="Q2378" s="4">
        <f t="shared" ca="1" si="220"/>
        <v>1929.1388738620169</v>
      </c>
      <c r="R2378" s="4">
        <f t="shared" ca="1" si="221"/>
        <v>5.4688298620169462</v>
      </c>
      <c r="S2378" s="4">
        <f t="shared" ca="1" si="222"/>
        <v>2.7805499099588009</v>
      </c>
    </row>
    <row r="2379" spans="15:19" x14ac:dyDescent="0.2">
      <c r="O2379" s="4">
        <f t="shared" ca="1" si="218"/>
        <v>0.4552754907340919</v>
      </c>
      <c r="P2379" s="4">
        <f t="shared" ca="1" si="219"/>
        <v>-0.11234358905621529</v>
      </c>
      <c r="Q2379" s="4">
        <f t="shared" ca="1" si="220"/>
        <v>1926.6677282064325</v>
      </c>
      <c r="R2379" s="4">
        <f t="shared" ca="1" si="221"/>
        <v>2.9976842064324956</v>
      </c>
      <c r="S2379" s="4">
        <f t="shared" ca="1" si="222"/>
        <v>1.5211150764143915</v>
      </c>
    </row>
    <row r="2380" spans="15:19" x14ac:dyDescent="0.2">
      <c r="O2380" s="4">
        <f t="shared" ca="1" si="218"/>
        <v>0.45631006948342701</v>
      </c>
      <c r="P2380" s="4">
        <f t="shared" ca="1" si="219"/>
        <v>-0.10973424734271359</v>
      </c>
      <c r="Q2380" s="4">
        <f t="shared" ca="1" si="220"/>
        <v>1926.588678315074</v>
      </c>
      <c r="R2380" s="4">
        <f t="shared" ca="1" si="221"/>
        <v>2.9186343150740868</v>
      </c>
      <c r="S2380" s="4">
        <f t="shared" ca="1" si="222"/>
        <v>1.4809088672218618</v>
      </c>
    </row>
    <row r="2381" spans="15:19" x14ac:dyDescent="0.2">
      <c r="O2381" s="4">
        <f t="shared" ca="1" si="218"/>
        <v>0.61330080706853174</v>
      </c>
      <c r="P2381" s="4">
        <f t="shared" ca="1" si="219"/>
        <v>0.28793252956244431</v>
      </c>
      <c r="Q2381" s="4">
        <f t="shared" ca="1" si="220"/>
        <v>1914.5413809647382</v>
      </c>
      <c r="R2381" s="4">
        <f t="shared" ca="1" si="221"/>
        <v>-9.1286630352617522</v>
      </c>
      <c r="S2381" s="4">
        <f t="shared" ca="1" si="222"/>
        <v>-4.5870965511421185</v>
      </c>
    </row>
    <row r="2382" spans="15:19" x14ac:dyDescent="0.2">
      <c r="O2382" s="4">
        <f t="shared" ca="1" si="218"/>
        <v>0.4643862463652817</v>
      </c>
      <c r="P2382" s="4">
        <f t="shared" ca="1" si="219"/>
        <v>-8.9389342861530413E-2</v>
      </c>
      <c r="Q2382" s="4">
        <f t="shared" ca="1" si="220"/>
        <v>1925.97233033711</v>
      </c>
      <c r="R2382" s="4">
        <f t="shared" ca="1" si="221"/>
        <v>2.3022863371099902</v>
      </c>
      <c r="S2382" s="4">
        <f t="shared" ca="1" si="222"/>
        <v>1.1675975740624731</v>
      </c>
    </row>
    <row r="2383" spans="15:19" x14ac:dyDescent="0.2">
      <c r="O2383" s="4">
        <f t="shared" ca="1" si="218"/>
        <v>0.88814888492071176</v>
      </c>
      <c r="P2383" s="4">
        <f t="shared" ca="1" si="219"/>
        <v>1.2167424297466807</v>
      </c>
      <c r="Q2383" s="4">
        <f t="shared" ca="1" si="220"/>
        <v>1886.4031262768838</v>
      </c>
      <c r="R2383" s="4">
        <f t="shared" ca="1" si="221"/>
        <v>-37.266917723116194</v>
      </c>
      <c r="S2383" s="4">
        <f t="shared" ca="1" si="222"/>
        <v>-18.299531610349497</v>
      </c>
    </row>
    <row r="2384" spans="15:19" x14ac:dyDescent="0.2">
      <c r="O2384" s="4">
        <f t="shared" ca="1" si="218"/>
        <v>0.89049424915723818</v>
      </c>
      <c r="P2384" s="4">
        <f t="shared" ca="1" si="219"/>
        <v>1.2291608568232586</v>
      </c>
      <c r="Q2384" s="4">
        <f t="shared" ca="1" si="220"/>
        <v>1886.0269105799646</v>
      </c>
      <c r="R2384" s="4">
        <f t="shared" ca="1" si="221"/>
        <v>-37.643133420035383</v>
      </c>
      <c r="S2384" s="4">
        <f t="shared" ca="1" si="222"/>
        <v>-18.478503518985761</v>
      </c>
    </row>
    <row r="2385" spans="15:19" x14ac:dyDescent="0.2">
      <c r="O2385" s="4">
        <f t="shared" ca="1" si="218"/>
        <v>0.37686470826050211</v>
      </c>
      <c r="P2385" s="4">
        <f t="shared" ca="1" si="219"/>
        <v>-0.31372565159280735</v>
      </c>
      <c r="Q2385" s="4">
        <f t="shared" ca="1" si="220"/>
        <v>1932.7685888498172</v>
      </c>
      <c r="R2385" s="4">
        <f t="shared" ca="1" si="221"/>
        <v>9.0985448498172445</v>
      </c>
      <c r="S2385" s="4">
        <f t="shared" ca="1" si="222"/>
        <v>4.6394711450959898</v>
      </c>
    </row>
    <row r="2386" spans="15:19" x14ac:dyDescent="0.2">
      <c r="O2386" s="4">
        <f t="shared" ca="1" si="218"/>
        <v>0.61095393063000336</v>
      </c>
      <c r="P2386" s="4">
        <f t="shared" ca="1" si="219"/>
        <v>0.28180617115619294</v>
      </c>
      <c r="Q2386" s="4">
        <f t="shared" ca="1" si="220"/>
        <v>1914.7269787206512</v>
      </c>
      <c r="R2386" s="4">
        <f t="shared" ca="1" si="221"/>
        <v>-8.9430652793487297</v>
      </c>
      <c r="S2386" s="4">
        <f t="shared" ca="1" si="222"/>
        <v>-4.4945104887683867</v>
      </c>
    </row>
    <row r="2387" spans="15:19" x14ac:dyDescent="0.2">
      <c r="O2387" s="4">
        <f t="shared" ca="1" si="218"/>
        <v>5.2263675331872261E-2</v>
      </c>
      <c r="P2387" s="4">
        <f t="shared" ca="1" si="219"/>
        <v>-1.6232903536725145</v>
      </c>
      <c r="Q2387" s="4">
        <f t="shared" ca="1" si="220"/>
        <v>1972.4417933559639</v>
      </c>
      <c r="R2387" s="4">
        <f t="shared" ca="1" si="221"/>
        <v>48.771749355963948</v>
      </c>
      <c r="S2387" s="4">
        <f t="shared" ca="1" si="222"/>
        <v>25.657026103613177</v>
      </c>
    </row>
    <row r="2388" spans="15:19" x14ac:dyDescent="0.2">
      <c r="O2388" s="4">
        <f t="shared" ca="1" si="218"/>
        <v>0.4845271084874152</v>
      </c>
      <c r="P2388" s="4">
        <f t="shared" ca="1" si="219"/>
        <v>-3.8794516210822839E-2</v>
      </c>
      <c r="Q2388" s="4">
        <f t="shared" ca="1" si="220"/>
        <v>1924.4395623100866</v>
      </c>
      <c r="R2388" s="4">
        <f t="shared" ca="1" si="221"/>
        <v>0.7695183100865961</v>
      </c>
      <c r="S2388" s="4">
        <f t="shared" ca="1" si="222"/>
        <v>0.3897787553983561</v>
      </c>
    </row>
    <row r="2389" spans="15:19" x14ac:dyDescent="0.2">
      <c r="O2389" s="4">
        <f t="shared" ca="1" si="218"/>
        <v>0.4514338963622565</v>
      </c>
      <c r="P2389" s="4">
        <f t="shared" ca="1" si="219"/>
        <v>-0.12203942784586864</v>
      </c>
      <c r="Q2389" s="4">
        <f t="shared" ca="1" si="220"/>
        <v>1926.9614632120799</v>
      </c>
      <c r="R2389" s="4">
        <f t="shared" ca="1" si="221"/>
        <v>3.2914192120799726</v>
      </c>
      <c r="S2389" s="4">
        <f t="shared" ca="1" si="222"/>
        <v>1.6705586045025698</v>
      </c>
    </row>
    <row r="2390" spans="15:19" x14ac:dyDescent="0.2">
      <c r="O2390" s="4">
        <f t="shared" ca="1" si="218"/>
        <v>0.82058755620440094</v>
      </c>
      <c r="P2390" s="4">
        <f t="shared" ca="1" si="219"/>
        <v>0.91760654982659107</v>
      </c>
      <c r="Q2390" s="4">
        <f t="shared" ca="1" si="220"/>
        <v>1895.46543447773</v>
      </c>
      <c r="R2390" s="4">
        <f t="shared" ca="1" si="221"/>
        <v>-28.204609522269948</v>
      </c>
      <c r="S2390" s="4">
        <f t="shared" ca="1" si="222"/>
        <v>-13.95362603327778</v>
      </c>
    </row>
    <row r="2391" spans="15:19" x14ac:dyDescent="0.2">
      <c r="O2391" s="4">
        <f t="shared" ca="1" si="218"/>
        <v>0.25198243236248008</v>
      </c>
      <c r="P2391" s="4">
        <f t="shared" ca="1" si="219"/>
        <v>-0.66826435112013971</v>
      </c>
      <c r="Q2391" s="4">
        <f t="shared" ca="1" si="220"/>
        <v>1943.5093230108357</v>
      </c>
      <c r="R2391" s="4">
        <f t="shared" ca="1" si="221"/>
        <v>19.839279010835753</v>
      </c>
      <c r="S2391" s="4">
        <f t="shared" ca="1" si="222"/>
        <v>10.203058581796423</v>
      </c>
    </row>
    <row r="2392" spans="15:19" x14ac:dyDescent="0.2">
      <c r="O2392" s="4">
        <f t="shared" ca="1" si="218"/>
        <v>0.92711463868547694</v>
      </c>
      <c r="P2392" s="4">
        <f t="shared" ca="1" si="219"/>
        <v>1.4546336045968855</v>
      </c>
      <c r="Q2392" s="4">
        <f t="shared" ca="1" si="220"/>
        <v>1879.1962236969259</v>
      </c>
      <c r="R2392" s="4">
        <f t="shared" ca="1" si="221"/>
        <v>-44.473820303074035</v>
      </c>
      <c r="S2392" s="4">
        <f t="shared" ca="1" si="222"/>
        <v>-21.707932809487914</v>
      </c>
    </row>
    <row r="2393" spans="15:19" x14ac:dyDescent="0.2">
      <c r="O2393" s="4">
        <f t="shared" ca="1" si="218"/>
        <v>5.9681786063936482E-3</v>
      </c>
      <c r="P2393" s="4">
        <f t="shared" ca="1" si="219"/>
        <v>-2.5140202730906771</v>
      </c>
      <c r="Q2393" s="4">
        <f t="shared" ca="1" si="220"/>
        <v>1999.4264167172234</v>
      </c>
      <c r="R2393" s="4">
        <f t="shared" ca="1" si="221"/>
        <v>75.756372717223485</v>
      </c>
      <c r="S2393" s="4">
        <f t="shared" ca="1" si="222"/>
        <v>40.684799583337245</v>
      </c>
    </row>
    <row r="2394" spans="15:19" x14ac:dyDescent="0.2">
      <c r="O2394" s="4">
        <f t="shared" ca="1" si="218"/>
        <v>0.96028122473896249</v>
      </c>
      <c r="P2394" s="4">
        <f t="shared" ca="1" si="219"/>
        <v>1.7539588961857204</v>
      </c>
      <c r="Q2394" s="4">
        <f t="shared" ca="1" si="220"/>
        <v>1870.1281772779848</v>
      </c>
      <c r="R2394" s="4">
        <f t="shared" ca="1" si="221"/>
        <v>-53.541866722015129</v>
      </c>
      <c r="S2394" s="4">
        <f t="shared" ca="1" si="222"/>
        <v>-25.936459203346249</v>
      </c>
    </row>
    <row r="2395" spans="15:19" x14ac:dyDescent="0.2">
      <c r="O2395" s="4">
        <f t="shared" ca="1" si="218"/>
        <v>0.12280070287281108</v>
      </c>
      <c r="P2395" s="4">
        <f t="shared" ca="1" si="219"/>
        <v>-1.1610995794742354</v>
      </c>
      <c r="Q2395" s="4">
        <f t="shared" ca="1" si="220"/>
        <v>1958.4397443724333</v>
      </c>
      <c r="R2395" s="4">
        <f t="shared" ca="1" si="221"/>
        <v>34.769700372433363</v>
      </c>
      <c r="S2395" s="4">
        <f t="shared" ca="1" si="222"/>
        <v>18.092881933703278</v>
      </c>
    </row>
    <row r="2396" spans="15:19" x14ac:dyDescent="0.2">
      <c r="O2396" s="4">
        <f t="shared" ca="1" si="218"/>
        <v>1.4401584080507512E-2</v>
      </c>
      <c r="P2396" s="4">
        <f t="shared" ca="1" si="219"/>
        <v>-2.1861700282379721</v>
      </c>
      <c r="Q2396" s="4">
        <f t="shared" ca="1" si="220"/>
        <v>1989.4942081056322</v>
      </c>
      <c r="R2396" s="4">
        <f t="shared" ca="1" si="221"/>
        <v>65.824164105632235</v>
      </c>
      <c r="S2396" s="4">
        <f t="shared" ca="1" si="222"/>
        <v>35.084594530552103</v>
      </c>
    </row>
    <row r="2397" spans="15:19" x14ac:dyDescent="0.2">
      <c r="O2397" s="4">
        <f t="shared" ca="1" si="218"/>
        <v>0.60658602348607604</v>
      </c>
      <c r="P2397" s="4">
        <f t="shared" ca="1" si="219"/>
        <v>0.27043196285774851</v>
      </c>
      <c r="Q2397" s="4">
        <f t="shared" ca="1" si="220"/>
        <v>1915.0715598560494</v>
      </c>
      <c r="R2397" s="4">
        <f t="shared" ca="1" si="221"/>
        <v>-8.5984841439505999</v>
      </c>
      <c r="S2397" s="4">
        <f t="shared" ca="1" si="222"/>
        <v>-4.3225406675401334</v>
      </c>
    </row>
    <row r="2398" spans="15:19" x14ac:dyDescent="0.2">
      <c r="O2398" s="4">
        <f t="shared" ca="1" si="218"/>
        <v>0.24811258094157262</v>
      </c>
      <c r="P2398" s="4">
        <f t="shared" ca="1" si="219"/>
        <v>-0.68044116738299953</v>
      </c>
      <c r="Q2398" s="4">
        <f t="shared" ca="1" si="220"/>
        <v>1943.8782191188805</v>
      </c>
      <c r="R2398" s="4">
        <f t="shared" ca="1" si="221"/>
        <v>20.20817511888049</v>
      </c>
      <c r="S2398" s="4">
        <f t="shared" ca="1" si="222"/>
        <v>10.395811181123106</v>
      </c>
    </row>
    <row r="2399" spans="15:19" x14ac:dyDescent="0.2">
      <c r="O2399" s="4">
        <f t="shared" ca="1" si="218"/>
        <v>0.57551007137150501</v>
      </c>
      <c r="P2399" s="4">
        <f t="shared" ca="1" si="219"/>
        <v>0.19042021619407393</v>
      </c>
      <c r="Q2399" s="4">
        <f t="shared" ca="1" si="220"/>
        <v>1917.4955121687842</v>
      </c>
      <c r="R2399" s="4">
        <f t="shared" ca="1" si="221"/>
        <v>-6.1745318312157451</v>
      </c>
      <c r="S2399" s="4">
        <f t="shared" ca="1" si="222"/>
        <v>-3.1100890414595175</v>
      </c>
    </row>
    <row r="2400" spans="15:19" x14ac:dyDescent="0.2">
      <c r="O2400" s="4">
        <f t="shared" ca="1" si="218"/>
        <v>0.59081793403959204</v>
      </c>
      <c r="P2400" s="4">
        <f t="shared" ca="1" si="219"/>
        <v>0.22964950940175374</v>
      </c>
      <c r="Q2400" s="4">
        <f t="shared" ca="1" si="220"/>
        <v>1916.3070624727986</v>
      </c>
      <c r="R2400" s="4">
        <f t="shared" ca="1" si="221"/>
        <v>-7.3629815272013275</v>
      </c>
      <c r="S2400" s="4">
        <f t="shared" ca="1" si="222"/>
        <v>-3.7051447225414789</v>
      </c>
    </row>
    <row r="2401" spans="15:19" x14ac:dyDescent="0.2">
      <c r="O2401" s="4">
        <f t="shared" ca="1" si="218"/>
        <v>4.2924919573151255E-2</v>
      </c>
      <c r="P2401" s="4">
        <f t="shared" ca="1" si="219"/>
        <v>-1.7177082755317725</v>
      </c>
      <c r="Q2401" s="4">
        <f t="shared" ca="1" si="220"/>
        <v>1975.3021801066293</v>
      </c>
      <c r="R2401" s="4">
        <f t="shared" ca="1" si="221"/>
        <v>51.632136106629332</v>
      </c>
      <c r="S2401" s="4">
        <f t="shared" ca="1" si="222"/>
        <v>27.221889710311437</v>
      </c>
    </row>
    <row r="2402" spans="15:19" x14ac:dyDescent="0.2">
      <c r="O2402" s="4">
        <f t="shared" ca="1" si="218"/>
        <v>0.65295623774993317</v>
      </c>
      <c r="P2402" s="4">
        <f t="shared" ca="1" si="219"/>
        <v>0.39331407414935099</v>
      </c>
      <c r="Q2402" s="4">
        <f t="shared" ca="1" si="220"/>
        <v>1911.3488517503124</v>
      </c>
      <c r="R2402" s="4">
        <f t="shared" ca="1" si="221"/>
        <v>-12.321192249687556</v>
      </c>
      <c r="S2402" s="4">
        <f t="shared" ca="1" si="222"/>
        <v>-6.175310298592894</v>
      </c>
    </row>
    <row r="2403" spans="15:19" x14ac:dyDescent="0.2">
      <c r="O2403" s="4">
        <f t="shared" ca="1" si="218"/>
        <v>0.57714097000065956</v>
      </c>
      <c r="P2403" s="4">
        <f t="shared" ca="1" si="219"/>
        <v>0.19458472776581232</v>
      </c>
      <c r="Q2403" s="4">
        <f t="shared" ca="1" si="220"/>
        <v>1917.3693484756184</v>
      </c>
      <c r="R2403" s="4">
        <f t="shared" ca="1" si="221"/>
        <v>-6.300695524381581</v>
      </c>
      <c r="S2403" s="4">
        <f t="shared" ca="1" si="222"/>
        <v>-3.173313643997894</v>
      </c>
    </row>
    <row r="2404" spans="15:19" x14ac:dyDescent="0.2">
      <c r="O2404" s="4">
        <f t="shared" ca="1" si="218"/>
        <v>0.29476153371562464</v>
      </c>
      <c r="P2404" s="4">
        <f t="shared" ca="1" si="219"/>
        <v>-0.53952729642801622</v>
      </c>
      <c r="Q2404" s="4">
        <f t="shared" ca="1" si="220"/>
        <v>1939.6092396547335</v>
      </c>
      <c r="R2404" s="4">
        <f t="shared" ca="1" si="221"/>
        <v>15.939195654733567</v>
      </c>
      <c r="S2404" s="4">
        <f t="shared" ca="1" si="222"/>
        <v>8.1719961396432996</v>
      </c>
    </row>
    <row r="2405" spans="15:19" x14ac:dyDescent="0.2">
      <c r="O2405" s="4">
        <f t="shared" ca="1" si="218"/>
        <v>8.6913194489275591E-2</v>
      </c>
      <c r="P2405" s="4">
        <f t="shared" ca="1" si="219"/>
        <v>-1.3600111706340783</v>
      </c>
      <c r="Q2405" s="4">
        <f t="shared" ca="1" si="220"/>
        <v>1964.4657621951462</v>
      </c>
      <c r="R2405" s="4">
        <f t="shared" ca="1" si="221"/>
        <v>40.795718195146264</v>
      </c>
      <c r="S2405" s="4">
        <f t="shared" ca="1" si="222"/>
        <v>21.328673635905755</v>
      </c>
    </row>
    <row r="2406" spans="15:19" x14ac:dyDescent="0.2">
      <c r="O2406" s="4">
        <f t="shared" ca="1" si="218"/>
        <v>0.9657860943700336</v>
      </c>
      <c r="P2406" s="4">
        <f t="shared" ca="1" si="219"/>
        <v>1.8221791227890454</v>
      </c>
      <c r="Q2406" s="4">
        <f t="shared" ca="1" si="220"/>
        <v>1868.0614485419464</v>
      </c>
      <c r="R2406" s="4">
        <f t="shared" ca="1" si="221"/>
        <v>-55.608595458053514</v>
      </c>
      <c r="S2406" s="4">
        <f t="shared" ca="1" si="222"/>
        <v>-26.890829067223638</v>
      </c>
    </row>
    <row r="2407" spans="15:19" x14ac:dyDescent="0.2">
      <c r="O2407" s="4">
        <f t="shared" ca="1" si="218"/>
        <v>0.68044147009182998</v>
      </c>
      <c r="P2407" s="4">
        <f t="shared" ca="1" si="219"/>
        <v>0.46893365419995281</v>
      </c>
      <c r="Q2407" s="4">
        <f t="shared" ca="1" si="220"/>
        <v>1909.0579599301129</v>
      </c>
      <c r="R2407" s="4">
        <f t="shared" ca="1" si="221"/>
        <v>-14.612084069887032</v>
      </c>
      <c r="S2407" s="4">
        <f t="shared" ca="1" si="222"/>
        <v>-7.3098655082128419</v>
      </c>
    </row>
    <row r="2408" spans="15:19" x14ac:dyDescent="0.2">
      <c r="O2408" s="4">
        <f t="shared" ca="1" si="218"/>
        <v>0.69121754136906988</v>
      </c>
      <c r="P2408" s="4">
        <f t="shared" ca="1" si="219"/>
        <v>0.49930445482605712</v>
      </c>
      <c r="Q2408" s="4">
        <f t="shared" ca="1" si="220"/>
        <v>1908.1378778735782</v>
      </c>
      <c r="R2408" s="4">
        <f t="shared" ca="1" si="221"/>
        <v>-15.532166126421771</v>
      </c>
      <c r="S2408" s="4">
        <f t="shared" ca="1" si="222"/>
        <v>-7.7643299175877782</v>
      </c>
    </row>
    <row r="2409" spans="15:19" x14ac:dyDescent="0.2">
      <c r="O2409" s="4">
        <f t="shared" ca="1" si="218"/>
        <v>0.14856732592369315</v>
      </c>
      <c r="P2409" s="4">
        <f t="shared" ca="1" si="219"/>
        <v>-1.0425977066826955</v>
      </c>
      <c r="Q2409" s="4">
        <f t="shared" ca="1" si="220"/>
        <v>1954.8497353975779</v>
      </c>
      <c r="R2409" s="4">
        <f t="shared" ca="1" si="221"/>
        <v>31.179691397577926</v>
      </c>
      <c r="S2409" s="4">
        <f t="shared" ca="1" si="222"/>
        <v>16.179206961329758</v>
      </c>
    </row>
    <row r="2410" spans="15:19" x14ac:dyDescent="0.2">
      <c r="O2410" s="4">
        <f t="shared" ca="1" si="218"/>
        <v>0.17951065959547652</v>
      </c>
      <c r="P2410" s="4">
        <f t="shared" ca="1" si="219"/>
        <v>-0.91723154665388951</v>
      </c>
      <c r="Q2410" s="4">
        <f t="shared" ca="1" si="220"/>
        <v>1951.0517731456371</v>
      </c>
      <c r="R2410" s="4">
        <f t="shared" ca="1" si="221"/>
        <v>27.381729145637109</v>
      </c>
      <c r="S2410" s="4">
        <f t="shared" ca="1" si="222"/>
        <v>14.166103347630083</v>
      </c>
    </row>
    <row r="2411" spans="15:19" x14ac:dyDescent="0.2">
      <c r="O2411" s="4">
        <f t="shared" ca="1" si="218"/>
        <v>5.5111475292083933E-2</v>
      </c>
      <c r="P2411" s="4">
        <f t="shared" ca="1" si="219"/>
        <v>-1.5971918422734959</v>
      </c>
      <c r="Q2411" s="4">
        <f t="shared" ca="1" si="220"/>
        <v>1971.6511401118785</v>
      </c>
      <c r="R2411" s="4">
        <f t="shared" ca="1" si="221"/>
        <v>47.981096111878514</v>
      </c>
      <c r="S2411" s="4">
        <f t="shared" ca="1" si="222"/>
        <v>25.225649725341274</v>
      </c>
    </row>
    <row r="2412" spans="15:19" x14ac:dyDescent="0.2">
      <c r="O2412" s="4">
        <f t="shared" ca="1" si="218"/>
        <v>0.40074172743302638</v>
      </c>
      <c r="P2412" s="4">
        <f t="shared" ca="1" si="219"/>
        <v>-0.25142769872967985</v>
      </c>
      <c r="Q2412" s="4">
        <f t="shared" ca="1" si="220"/>
        <v>1930.8812751337955</v>
      </c>
      <c r="R2412" s="4">
        <f t="shared" ca="1" si="221"/>
        <v>7.2112311337955362</v>
      </c>
      <c r="S2412" s="4">
        <f t="shared" ca="1" si="222"/>
        <v>3.6715641878881176</v>
      </c>
    </row>
    <row r="2413" spans="15:19" x14ac:dyDescent="0.2">
      <c r="O2413" s="4">
        <f t="shared" ca="1" si="218"/>
        <v>0.60971932497408032</v>
      </c>
      <c r="P2413" s="4">
        <f t="shared" ca="1" si="219"/>
        <v>0.27858757371703274</v>
      </c>
      <c r="Q2413" s="4">
        <f t="shared" ca="1" si="220"/>
        <v>1914.8244859871681</v>
      </c>
      <c r="R2413" s="4">
        <f t="shared" ca="1" si="221"/>
        <v>-8.8455580128318161</v>
      </c>
      <c r="S2413" s="4">
        <f t="shared" ca="1" si="222"/>
        <v>-4.4458574251096401</v>
      </c>
    </row>
    <row r="2414" spans="15:19" x14ac:dyDescent="0.2">
      <c r="O2414" s="4">
        <f t="shared" ca="1" si="218"/>
        <v>0.60380509276722039</v>
      </c>
      <c r="P2414" s="4">
        <f t="shared" ca="1" si="219"/>
        <v>0.26320858461347962</v>
      </c>
      <c r="Q2414" s="4">
        <f t="shared" ca="1" si="220"/>
        <v>1915.2903917792487</v>
      </c>
      <c r="R2414" s="4">
        <f t="shared" ca="1" si="221"/>
        <v>-8.379652220751268</v>
      </c>
      <c r="S2414" s="4">
        <f t="shared" ca="1" si="222"/>
        <v>-4.2132782125778681</v>
      </c>
    </row>
    <row r="2415" spans="15:19" x14ac:dyDescent="0.2">
      <c r="O2415" s="4">
        <f t="shared" ca="1" si="218"/>
        <v>0.70467781015622921</v>
      </c>
      <c r="P2415" s="4">
        <f t="shared" ca="1" si="219"/>
        <v>0.53790247494748977</v>
      </c>
      <c r="Q2415" s="4">
        <f t="shared" ca="1" si="220"/>
        <v>1906.9685525677128</v>
      </c>
      <c r="R2415" s="4">
        <f t="shared" ca="1" si="221"/>
        <v>-16.701491432287185</v>
      </c>
      <c r="S2415" s="4">
        <f t="shared" ca="1" si="222"/>
        <v>-8.3409107376029183</v>
      </c>
    </row>
    <row r="2416" spans="15:19" x14ac:dyDescent="0.2">
      <c r="O2416" s="4">
        <f t="shared" ca="1" si="218"/>
        <v>5.177541027463084E-2</v>
      </c>
      <c r="P2416" s="4">
        <f t="shared" ca="1" si="219"/>
        <v>-1.6278777010219099</v>
      </c>
      <c r="Q2416" s="4">
        <f t="shared" ca="1" si="220"/>
        <v>1972.5807668402406</v>
      </c>
      <c r="R2416" s="4">
        <f t="shared" ca="1" si="221"/>
        <v>48.910722840240624</v>
      </c>
      <c r="S2416" s="4">
        <f t="shared" ca="1" si="222"/>
        <v>25.732901918664549</v>
      </c>
    </row>
    <row r="2417" spans="15:19" x14ac:dyDescent="0.2">
      <c r="O2417" s="4">
        <f t="shared" ca="1" si="218"/>
        <v>0.97693242658950075</v>
      </c>
      <c r="P2417" s="4">
        <f t="shared" ca="1" si="219"/>
        <v>1.9941547378779714</v>
      </c>
      <c r="Q2417" s="4">
        <f t="shared" ca="1" si="220"/>
        <v>1862.8514549183722</v>
      </c>
      <c r="R2417" s="4">
        <f t="shared" ca="1" si="221"/>
        <v>-60.818589081627806</v>
      </c>
      <c r="S2417" s="4">
        <f t="shared" ca="1" si="222"/>
        <v>-29.281256829740869</v>
      </c>
    </row>
    <row r="2418" spans="15:19" x14ac:dyDescent="0.2">
      <c r="O2418" s="4">
        <f t="shared" ca="1" si="218"/>
        <v>0.35810839076346113</v>
      </c>
      <c r="P2418" s="4">
        <f t="shared" ca="1" si="219"/>
        <v>-0.36351959021824692</v>
      </c>
      <c r="Q2418" s="4">
        <f t="shared" ca="1" si="220"/>
        <v>1934.2770940096741</v>
      </c>
      <c r="R2418" s="4">
        <f t="shared" ca="1" si="221"/>
        <v>10.60705000967414</v>
      </c>
      <c r="S2418" s="4">
        <f t="shared" ca="1" si="222"/>
        <v>5.4151917690345712</v>
      </c>
    </row>
    <row r="2419" spans="15:19" x14ac:dyDescent="0.2">
      <c r="O2419" s="4">
        <f t="shared" ca="1" si="218"/>
        <v>0.72312831821262302</v>
      </c>
      <c r="P2419" s="4">
        <f t="shared" ca="1" si="219"/>
        <v>0.59216013200427986</v>
      </c>
      <c r="Q2419" s="4">
        <f t="shared" ca="1" si="220"/>
        <v>1905.3248192561628</v>
      </c>
      <c r="R2419" s="4">
        <f t="shared" ca="1" si="221"/>
        <v>-18.345224743837207</v>
      </c>
      <c r="S2419" s="4">
        <f t="shared" ca="1" si="222"/>
        <v>-9.1495344180841904</v>
      </c>
    </row>
    <row r="2420" spans="15:19" x14ac:dyDescent="0.2">
      <c r="O2420" s="4">
        <f t="shared" ca="1" si="218"/>
        <v>0.41100640953245859</v>
      </c>
      <c r="P2420" s="4">
        <f t="shared" ca="1" si="219"/>
        <v>-0.22495688025850022</v>
      </c>
      <c r="Q2420" s="4">
        <f t="shared" ca="1" si="220"/>
        <v>1930.0793428634886</v>
      </c>
      <c r="R2420" s="4">
        <f t="shared" ca="1" si="221"/>
        <v>6.4092988634886296</v>
      </c>
      <c r="S2420" s="4">
        <f t="shared" ca="1" si="222"/>
        <v>3.2611719054579473</v>
      </c>
    </row>
    <row r="2421" spans="15:19" x14ac:dyDescent="0.2">
      <c r="O2421" s="4">
        <f t="shared" ca="1" si="218"/>
        <v>0.56286000846547468</v>
      </c>
      <c r="P2421" s="4">
        <f t="shared" ca="1" si="219"/>
        <v>0.15822439294465782</v>
      </c>
      <c r="Q2421" s="4">
        <f t="shared" ca="1" si="220"/>
        <v>1918.4708832046629</v>
      </c>
      <c r="R2421" s="4">
        <f t="shared" ca="1" si="221"/>
        <v>-5.1991607953370931</v>
      </c>
      <c r="S2421" s="4">
        <f t="shared" ca="1" si="222"/>
        <v>-2.6208625205272722</v>
      </c>
    </row>
    <row r="2422" spans="15:19" x14ac:dyDescent="0.2">
      <c r="O2422" s="4">
        <f t="shared" ca="1" si="218"/>
        <v>0.42489333092773007</v>
      </c>
      <c r="P2422" s="4">
        <f t="shared" ca="1" si="219"/>
        <v>-0.18939063752694044</v>
      </c>
      <c r="Q2422" s="4">
        <f t="shared" ca="1" si="220"/>
        <v>1929.0018651190417</v>
      </c>
      <c r="R2422" s="4">
        <f t="shared" ca="1" si="221"/>
        <v>5.331821119041706</v>
      </c>
      <c r="S2422" s="4">
        <f t="shared" ca="1" si="222"/>
        <v>2.7105923679069566</v>
      </c>
    </row>
    <row r="2423" spans="15:19" x14ac:dyDescent="0.2">
      <c r="O2423" s="4">
        <f t="shared" ca="1" si="218"/>
        <v>0.52643406312464325</v>
      </c>
      <c r="P2423" s="4">
        <f t="shared" ca="1" si="219"/>
        <v>6.6308930014371242E-2</v>
      </c>
      <c r="Q2423" s="4">
        <f t="shared" ca="1" si="220"/>
        <v>1921.2554580731817</v>
      </c>
      <c r="R2423" s="4">
        <f t="shared" ca="1" si="221"/>
        <v>-2.4145859268182903</v>
      </c>
      <c r="S2423" s="4">
        <f t="shared" ca="1" si="222"/>
        <v>-1.2199137415390908</v>
      </c>
    </row>
    <row r="2424" spans="15:19" x14ac:dyDescent="0.2">
      <c r="O2424" s="4">
        <f t="shared" ca="1" si="218"/>
        <v>0.40938953027637459</v>
      </c>
      <c r="P2424" s="4">
        <f t="shared" ca="1" si="219"/>
        <v>-0.22911561072474668</v>
      </c>
      <c r="Q2424" s="4">
        <f t="shared" ca="1" si="220"/>
        <v>1930.2053314183204</v>
      </c>
      <c r="R2424" s="4">
        <f t="shared" ca="1" si="221"/>
        <v>6.5352874183204221</v>
      </c>
      <c r="S2424" s="4">
        <f t="shared" ca="1" si="222"/>
        <v>3.3256124228333781</v>
      </c>
    </row>
    <row r="2425" spans="15:19" x14ac:dyDescent="0.2">
      <c r="O2425" s="4">
        <f t="shared" ca="1" si="218"/>
        <v>0.68284209613768687</v>
      </c>
      <c r="P2425" s="4">
        <f t="shared" ca="1" si="219"/>
        <v>0.47566114321339675</v>
      </c>
      <c r="Q2425" s="4">
        <f t="shared" ca="1" si="220"/>
        <v>1908.8541509491445</v>
      </c>
      <c r="R2425" s="4">
        <f t="shared" ca="1" si="221"/>
        <v>-14.815893050855493</v>
      </c>
      <c r="S2425" s="4">
        <f t="shared" ca="1" si="222"/>
        <v>-7.4105941372607935</v>
      </c>
    </row>
    <row r="2426" spans="15:19" x14ac:dyDescent="0.2">
      <c r="O2426" s="4">
        <f t="shared" ca="1" si="218"/>
        <v>0.51785876494360605</v>
      </c>
      <c r="P2426" s="4">
        <f t="shared" ca="1" si="219"/>
        <v>4.4780246741664947E-2</v>
      </c>
      <c r="Q2426" s="4">
        <f t="shared" ca="1" si="220"/>
        <v>1921.9076685770763</v>
      </c>
      <c r="R2426" s="4">
        <f t="shared" ca="1" si="221"/>
        <v>-1.7623754229236965</v>
      </c>
      <c r="S2426" s="4">
        <f t="shared" ca="1" si="222"/>
        <v>-0.89086735774931669</v>
      </c>
    </row>
    <row r="2427" spans="15:19" x14ac:dyDescent="0.2">
      <c r="O2427" s="4">
        <f t="shared" ca="1" si="218"/>
        <v>0.5004040361116342</v>
      </c>
      <c r="P2427" s="4">
        <f t="shared" ca="1" si="219"/>
        <v>1.0127685145270109E-3</v>
      </c>
      <c r="Q2427" s="4">
        <f t="shared" ca="1" si="220"/>
        <v>1923.2336023867356</v>
      </c>
      <c r="R2427" s="4">
        <f t="shared" ca="1" si="221"/>
        <v>-0.43644161326437825</v>
      </c>
      <c r="S2427" s="4">
        <f t="shared" ca="1" si="222"/>
        <v>-0.22085348047087114</v>
      </c>
    </row>
    <row r="2428" spans="15:19" x14ac:dyDescent="0.2">
      <c r="O2428" s="4">
        <f t="shared" ca="1" si="218"/>
        <v>0.29125969416931641</v>
      </c>
      <c r="P2428" s="4">
        <f t="shared" ca="1" si="219"/>
        <v>-0.54970840893693884</v>
      </c>
      <c r="Q2428" s="4">
        <f t="shared" ca="1" si="220"/>
        <v>1939.9176760061605</v>
      </c>
      <c r="R2428" s="4">
        <f t="shared" ca="1" si="221"/>
        <v>16.247632006160529</v>
      </c>
      <c r="S2428" s="4">
        <f t="shared" ca="1" si="222"/>
        <v>8.3321708572739563</v>
      </c>
    </row>
    <row r="2429" spans="15:19" x14ac:dyDescent="0.2">
      <c r="O2429" s="4">
        <f t="shared" ca="1" si="218"/>
        <v>0.94279503970642253</v>
      </c>
      <c r="P2429" s="4">
        <f t="shared" ca="1" si="219"/>
        <v>1.5786780562074303</v>
      </c>
      <c r="Q2429" s="4">
        <f t="shared" ca="1" si="220"/>
        <v>1875.4383025428335</v>
      </c>
      <c r="R2429" s="4">
        <f t="shared" ca="1" si="221"/>
        <v>-48.231741457166436</v>
      </c>
      <c r="S2429" s="4">
        <f t="shared" ca="1" si="222"/>
        <v>-23.4684144513005</v>
      </c>
    </row>
    <row r="2430" spans="15:19" x14ac:dyDescent="0.2">
      <c r="O2430" s="4">
        <f t="shared" ca="1" si="218"/>
        <v>0.63492128736867648</v>
      </c>
      <c r="P2430" s="4">
        <f t="shared" ca="1" si="219"/>
        <v>0.3449161282111155</v>
      </c>
      <c r="Q2430" s="4">
        <f t="shared" ca="1" si="220"/>
        <v>1912.8150653736911</v>
      </c>
      <c r="R2430" s="4">
        <f t="shared" ca="1" si="221"/>
        <v>-10.854978626308821</v>
      </c>
      <c r="S2430" s="4">
        <f t="shared" ca="1" si="222"/>
        <v>-5.4469313089021894</v>
      </c>
    </row>
    <row r="2431" spans="15:19" x14ac:dyDescent="0.2">
      <c r="O2431" s="4">
        <f t="shared" ca="1" si="218"/>
        <v>0.97902751658469489</v>
      </c>
      <c r="P2431" s="4">
        <f t="shared" ca="1" si="219"/>
        <v>2.03406574825443</v>
      </c>
      <c r="Q2431" s="4">
        <f t="shared" ca="1" si="220"/>
        <v>1861.6423526310261</v>
      </c>
      <c r="R2431" s="4">
        <f t="shared" ca="1" si="221"/>
        <v>-62.027691368973819</v>
      </c>
      <c r="S2431" s="4">
        <f t="shared" ca="1" si="222"/>
        <v>-29.832852744777988</v>
      </c>
    </row>
    <row r="2432" spans="15:19" x14ac:dyDescent="0.2">
      <c r="O2432" s="4">
        <f t="shared" ca="1" si="218"/>
        <v>0.21717694457115921</v>
      </c>
      <c r="P2432" s="4">
        <f t="shared" ca="1" si="219"/>
        <v>-0.78176296633040865</v>
      </c>
      <c r="Q2432" s="4">
        <f t="shared" ca="1" si="220"/>
        <v>1946.9477585194059</v>
      </c>
      <c r="R2432" s="4">
        <f t="shared" ca="1" si="221"/>
        <v>23.27771451940589</v>
      </c>
      <c r="S2432" s="4">
        <f t="shared" ca="1" si="222"/>
        <v>12.003978364088162</v>
      </c>
    </row>
    <row r="2433" spans="15:19" x14ac:dyDescent="0.2">
      <c r="O2433" s="4">
        <f t="shared" ca="1" si="218"/>
        <v>6.43047623319557E-2</v>
      </c>
      <c r="P2433" s="4">
        <f t="shared" ca="1" si="219"/>
        <v>-1.5196080055826031</v>
      </c>
      <c r="Q2433" s="4">
        <f t="shared" ca="1" si="220"/>
        <v>1969.3007412239724</v>
      </c>
      <c r="R2433" s="4">
        <f t="shared" ca="1" si="221"/>
        <v>45.630697223972447</v>
      </c>
      <c r="S2433" s="4">
        <f t="shared" ca="1" si="222"/>
        <v>23.946289357587737</v>
      </c>
    </row>
    <row r="2434" spans="15:19" x14ac:dyDescent="0.2">
      <c r="O2434" s="4">
        <f t="shared" ca="1" si="218"/>
        <v>0.75744696033747227</v>
      </c>
      <c r="P2434" s="4">
        <f t="shared" ca="1" si="219"/>
        <v>0.69811371867937599</v>
      </c>
      <c r="Q2434" s="4">
        <f t="shared" ca="1" si="220"/>
        <v>1902.1149600520735</v>
      </c>
      <c r="R2434" s="4">
        <f t="shared" ca="1" si="221"/>
        <v>-21.555083947926505</v>
      </c>
      <c r="S2434" s="4">
        <f t="shared" ca="1" si="222"/>
        <v>-10.72226145156765</v>
      </c>
    </row>
    <row r="2435" spans="15:19" x14ac:dyDescent="0.2">
      <c r="O2435" s="4">
        <f t="shared" ref="O2435:O2498" ca="1" si="223">RAND()</f>
        <v>0.47046270832354942</v>
      </c>
      <c r="P2435" s="4">
        <f t="shared" ref="P2435:P2498" ca="1" si="224">NORMSINV(O2435)</f>
        <v>-7.4106784764271044E-2</v>
      </c>
      <c r="Q2435" s="4">
        <f t="shared" ref="Q2435:Q2498" ca="1" si="225">$B$4*(1+$B$17-$B$6/SQRT(252)*P2435)</f>
        <v>1925.5093459180839</v>
      </c>
      <c r="R2435" s="4">
        <f t="shared" ref="R2435:R2498" ca="1" si="226">Q2435-$B$4</f>
        <v>1.8393019180839474</v>
      </c>
      <c r="S2435" s="4">
        <f t="shared" ref="S2435:S2498" ca="1" si="227">R2435*$B$12+0.5*$B$13*R2435^2</f>
        <v>0.93244977475447943</v>
      </c>
    </row>
    <row r="2436" spans="15:19" x14ac:dyDescent="0.2">
      <c r="O2436" s="4">
        <f t="shared" ca="1" si="223"/>
        <v>0.17686071732233022</v>
      </c>
      <c r="P2436" s="4">
        <f t="shared" ca="1" si="224"/>
        <v>-0.9273950984214625</v>
      </c>
      <c r="Q2436" s="4">
        <f t="shared" ca="1" si="225"/>
        <v>1951.3596774951839</v>
      </c>
      <c r="R2436" s="4">
        <f t="shared" ca="1" si="226"/>
        <v>27.689633495183898</v>
      </c>
      <c r="S2436" s="4">
        <f t="shared" ca="1" si="227"/>
        <v>14.328870100927135</v>
      </c>
    </row>
    <row r="2437" spans="15:19" x14ac:dyDescent="0.2">
      <c r="O2437" s="4">
        <f t="shared" ca="1" si="223"/>
        <v>0.16367351154798016</v>
      </c>
      <c r="P2437" s="4">
        <f t="shared" ca="1" si="224"/>
        <v>-0.97947158250807986</v>
      </c>
      <c r="Q2437" s="4">
        <f t="shared" ca="1" si="225"/>
        <v>1952.9373322684446</v>
      </c>
      <c r="R2437" s="4">
        <f t="shared" ca="1" si="226"/>
        <v>29.267288268444645</v>
      </c>
      <c r="S2437" s="4">
        <f t="shared" ca="1" si="227"/>
        <v>15.164072972954409</v>
      </c>
    </row>
    <row r="2438" spans="15:19" x14ac:dyDescent="0.2">
      <c r="O2438" s="4">
        <f t="shared" ca="1" si="223"/>
        <v>0.77063684712615299</v>
      </c>
      <c r="P2438" s="4">
        <f t="shared" ca="1" si="224"/>
        <v>0.7409457971672051</v>
      </c>
      <c r="Q2438" s="4">
        <f t="shared" ca="1" si="225"/>
        <v>1900.8173641359861</v>
      </c>
      <c r="R2438" s="4">
        <f t="shared" ca="1" si="226"/>
        <v>-22.852679864013908</v>
      </c>
      <c r="S2438" s="4">
        <f t="shared" ca="1" si="227"/>
        <v>-11.355660528586302</v>
      </c>
    </row>
    <row r="2439" spans="15:19" x14ac:dyDescent="0.2">
      <c r="O2439" s="4">
        <f t="shared" ca="1" si="223"/>
        <v>0.1798376141881034</v>
      </c>
      <c r="P2439" s="4">
        <f t="shared" ca="1" si="224"/>
        <v>-0.91598411155598813</v>
      </c>
      <c r="Q2439" s="4">
        <f t="shared" ca="1" si="225"/>
        <v>1951.0139821547309</v>
      </c>
      <c r="R2439" s="4">
        <f t="shared" ca="1" si="226"/>
        <v>27.343938154730949</v>
      </c>
      <c r="S2439" s="4">
        <f t="shared" ca="1" si="227"/>
        <v>14.146131302867413</v>
      </c>
    </row>
    <row r="2440" spans="15:19" x14ac:dyDescent="0.2">
      <c r="O2440" s="4">
        <f t="shared" ca="1" si="223"/>
        <v>0.14893937747587416</v>
      </c>
      <c r="P2440" s="4">
        <f t="shared" ca="1" si="224"/>
        <v>-1.0409930906480491</v>
      </c>
      <c r="Q2440" s="4">
        <f t="shared" ca="1" si="225"/>
        <v>1954.8011236260515</v>
      </c>
      <c r="R2440" s="4">
        <f t="shared" ca="1" si="226"/>
        <v>31.131079626051587</v>
      </c>
      <c r="S2440" s="4">
        <f t="shared" ca="1" si="227"/>
        <v>16.153366178703514</v>
      </c>
    </row>
    <row r="2441" spans="15:19" x14ac:dyDescent="0.2">
      <c r="O2441" s="4">
        <f t="shared" ca="1" si="223"/>
        <v>0.26226127961344847</v>
      </c>
      <c r="P2441" s="4">
        <f t="shared" ca="1" si="224"/>
        <v>-0.63638953636521878</v>
      </c>
      <c r="Q2441" s="4">
        <f t="shared" ca="1" si="225"/>
        <v>1942.5436769130449</v>
      </c>
      <c r="R2441" s="4">
        <f t="shared" ca="1" si="226"/>
        <v>18.873632913044958</v>
      </c>
      <c r="S2441" s="4">
        <f t="shared" ca="1" si="227"/>
        <v>9.6990216110791945</v>
      </c>
    </row>
    <row r="2442" spans="15:19" x14ac:dyDescent="0.2">
      <c r="O2442" s="4">
        <f t="shared" ca="1" si="223"/>
        <v>0.77402385979844879</v>
      </c>
      <c r="P2442" s="4">
        <f t="shared" ca="1" si="224"/>
        <v>0.75216426548416815</v>
      </c>
      <c r="Q2442" s="4">
        <f t="shared" ca="1" si="225"/>
        <v>1900.4775011364125</v>
      </c>
      <c r="R2442" s="4">
        <f t="shared" ca="1" si="226"/>
        <v>-23.192542863587505</v>
      </c>
      <c r="S2442" s="4">
        <f t="shared" ca="1" si="227"/>
        <v>-11.521332254100779</v>
      </c>
    </row>
    <row r="2443" spans="15:19" x14ac:dyDescent="0.2">
      <c r="O2443" s="4">
        <f t="shared" ca="1" si="223"/>
        <v>0.37612092933069985</v>
      </c>
      <c r="P2443" s="4">
        <f t="shared" ca="1" si="224"/>
        <v>-0.31568467663448613</v>
      </c>
      <c r="Q2443" s="4">
        <f t="shared" ca="1" si="225"/>
        <v>1932.8279374264762</v>
      </c>
      <c r="R2443" s="4">
        <f t="shared" ca="1" si="226"/>
        <v>9.1578934264762211</v>
      </c>
      <c r="S2443" s="4">
        <f t="shared" ca="1" si="227"/>
        <v>4.6699550328261097</v>
      </c>
    </row>
    <row r="2444" spans="15:19" x14ac:dyDescent="0.2">
      <c r="O2444" s="4">
        <f t="shared" ca="1" si="223"/>
        <v>0.2777277938198186</v>
      </c>
      <c r="P2444" s="4">
        <f t="shared" ca="1" si="224"/>
        <v>-0.58960486750084018</v>
      </c>
      <c r="Q2444" s="4">
        <f t="shared" ca="1" si="225"/>
        <v>1941.1263374469911</v>
      </c>
      <c r="R2444" s="4">
        <f t="shared" ca="1" si="226"/>
        <v>17.45629344699114</v>
      </c>
      <c r="S2444" s="4">
        <f t="shared" ca="1" si="227"/>
        <v>8.9605897478559466</v>
      </c>
    </row>
    <row r="2445" spans="15:19" x14ac:dyDescent="0.2">
      <c r="O2445" s="4">
        <f t="shared" ca="1" si="223"/>
        <v>0.90183204664795624</v>
      </c>
      <c r="P2445" s="4">
        <f t="shared" ca="1" si="224"/>
        <v>1.29206132880813</v>
      </c>
      <c r="Q2445" s="4">
        <f t="shared" ca="1" si="225"/>
        <v>1884.1213435739005</v>
      </c>
      <c r="R2445" s="4">
        <f t="shared" ca="1" si="226"/>
        <v>-39.548700426099458</v>
      </c>
      <c r="S2445" s="4">
        <f t="shared" ca="1" si="227"/>
        <v>-19.383242675431749</v>
      </c>
    </row>
    <row r="2446" spans="15:19" x14ac:dyDescent="0.2">
      <c r="O2446" s="4">
        <f t="shared" ca="1" si="223"/>
        <v>0.87723635336512873</v>
      </c>
      <c r="P2446" s="4">
        <f t="shared" ca="1" si="224"/>
        <v>1.1612818618829421</v>
      </c>
      <c r="Q2446" s="4">
        <f t="shared" ca="1" si="225"/>
        <v>1888.0833017179223</v>
      </c>
      <c r="R2446" s="4">
        <f t="shared" ca="1" si="226"/>
        <v>-35.586742282077694</v>
      </c>
      <c r="S2446" s="4">
        <f t="shared" ca="1" si="227"/>
        <v>-17.498838439290015</v>
      </c>
    </row>
    <row r="2447" spans="15:19" x14ac:dyDescent="0.2">
      <c r="O2447" s="4">
        <f t="shared" ca="1" si="223"/>
        <v>0.73728855404489169</v>
      </c>
      <c r="P2447" s="4">
        <f t="shared" ca="1" si="224"/>
        <v>0.63500846841756386</v>
      </c>
      <c r="Q2447" s="4">
        <f t="shared" ca="1" si="225"/>
        <v>1904.0267308069456</v>
      </c>
      <c r="R2447" s="4">
        <f t="shared" ca="1" si="226"/>
        <v>-19.643313193054382</v>
      </c>
      <c r="S2447" s="4">
        <f t="shared" ca="1" si="227"/>
        <v>-9.7865659117433967</v>
      </c>
    </row>
    <row r="2448" spans="15:19" x14ac:dyDescent="0.2">
      <c r="O2448" s="4">
        <f t="shared" ca="1" si="223"/>
        <v>0.529564629893859</v>
      </c>
      <c r="P2448" s="4">
        <f t="shared" ca="1" si="224"/>
        <v>7.4175500114732326E-2</v>
      </c>
      <c r="Q2448" s="4">
        <f t="shared" ca="1" si="225"/>
        <v>1921.017140681259</v>
      </c>
      <c r="R2448" s="4">
        <f t="shared" ca="1" si="226"/>
        <v>-2.6529033187409823</v>
      </c>
      <c r="S2448" s="4">
        <f t="shared" ca="1" si="227"/>
        <v>-1.3400607340007997</v>
      </c>
    </row>
    <row r="2449" spans="15:19" x14ac:dyDescent="0.2">
      <c r="O2449" s="4">
        <f t="shared" ca="1" si="223"/>
        <v>0.97113073886816592</v>
      </c>
      <c r="P2449" s="4">
        <f t="shared" ca="1" si="224"/>
        <v>1.8976779249574067</v>
      </c>
      <c r="Q2449" s="4">
        <f t="shared" ca="1" si="225"/>
        <v>1865.7742156823269</v>
      </c>
      <c r="R2449" s="4">
        <f t="shared" ca="1" si="226"/>
        <v>-57.895828317673022</v>
      </c>
      <c r="S2449" s="4">
        <f t="shared" ca="1" si="227"/>
        <v>-27.942969075784767</v>
      </c>
    </row>
    <row r="2450" spans="15:19" x14ac:dyDescent="0.2">
      <c r="O2450" s="4">
        <f t="shared" ca="1" si="223"/>
        <v>0.60512466121510333</v>
      </c>
      <c r="P2450" s="4">
        <f t="shared" ca="1" si="224"/>
        <v>0.26663438602909562</v>
      </c>
      <c r="Q2450" s="4">
        <f t="shared" ca="1" si="225"/>
        <v>1915.1866072774649</v>
      </c>
      <c r="R2450" s="4">
        <f t="shared" ca="1" si="226"/>
        <v>-8.4834367225350888</v>
      </c>
      <c r="S2450" s="4">
        <f t="shared" ca="1" si="227"/>
        <v>-4.2651025209815812</v>
      </c>
    </row>
    <row r="2451" spans="15:19" x14ac:dyDescent="0.2">
      <c r="O2451" s="4">
        <f t="shared" ca="1" si="223"/>
        <v>0.53003198756795933</v>
      </c>
      <c r="P2451" s="4">
        <f t="shared" ca="1" si="224"/>
        <v>7.5350270742199438E-2</v>
      </c>
      <c r="Q2451" s="4">
        <f t="shared" ca="1" si="225"/>
        <v>1920.9815510572585</v>
      </c>
      <c r="R2451" s="4">
        <f t="shared" ca="1" si="226"/>
        <v>-2.6884929427415045</v>
      </c>
      <c r="S2451" s="4">
        <f t="shared" ca="1" si="227"/>
        <v>-1.3579991671053477</v>
      </c>
    </row>
    <row r="2452" spans="15:19" x14ac:dyDescent="0.2">
      <c r="O2452" s="4">
        <f t="shared" ca="1" si="223"/>
        <v>0.75948147839902613</v>
      </c>
      <c r="P2452" s="4">
        <f t="shared" ca="1" si="224"/>
        <v>0.70463559166992751</v>
      </c>
      <c r="Q2452" s="4">
        <f t="shared" ca="1" si="225"/>
        <v>1901.9173801993893</v>
      </c>
      <c r="R2452" s="4">
        <f t="shared" ca="1" si="226"/>
        <v>-21.752663800610662</v>
      </c>
      <c r="S2452" s="4">
        <f t="shared" ca="1" si="227"/>
        <v>-10.818795123388835</v>
      </c>
    </row>
    <row r="2453" spans="15:19" x14ac:dyDescent="0.2">
      <c r="O2453" s="4">
        <f t="shared" ca="1" si="223"/>
        <v>0.7407234935988728</v>
      </c>
      <c r="P2453" s="4">
        <f t="shared" ca="1" si="224"/>
        <v>0.64557749983444168</v>
      </c>
      <c r="Q2453" s="4">
        <f t="shared" ca="1" si="225"/>
        <v>1903.7065424694256</v>
      </c>
      <c r="R2453" s="4">
        <f t="shared" ca="1" si="226"/>
        <v>-19.963501530574376</v>
      </c>
      <c r="S2453" s="4">
        <f t="shared" ca="1" si="227"/>
        <v>-9.9434860789692419</v>
      </c>
    </row>
    <row r="2454" spans="15:19" x14ac:dyDescent="0.2">
      <c r="O2454" s="4">
        <f t="shared" ca="1" si="223"/>
        <v>0.45713069079250834</v>
      </c>
      <c r="P2454" s="4">
        <f t="shared" ca="1" si="224"/>
        <v>-0.10766506611771098</v>
      </c>
      <c r="Q2454" s="4">
        <f t="shared" ca="1" si="225"/>
        <v>1926.5259925617324</v>
      </c>
      <c r="R2454" s="4">
        <f t="shared" ca="1" si="226"/>
        <v>2.8559485617324754</v>
      </c>
      <c r="S2454" s="4">
        <f t="shared" ca="1" si="227"/>
        <v>1.4490293723010068</v>
      </c>
    </row>
    <row r="2455" spans="15:19" x14ac:dyDescent="0.2">
      <c r="O2455" s="4">
        <f t="shared" ca="1" si="223"/>
        <v>0.21639954818730578</v>
      </c>
      <c r="P2455" s="4">
        <f t="shared" ca="1" si="224"/>
        <v>-0.78441081178137551</v>
      </c>
      <c r="Q2455" s="4">
        <f t="shared" ca="1" si="225"/>
        <v>1947.0279748797814</v>
      </c>
      <c r="R2455" s="4">
        <f t="shared" ca="1" si="226"/>
        <v>23.357930879781406</v>
      </c>
      <c r="S2455" s="4">
        <f t="shared" ca="1" si="227"/>
        <v>12.04610749367858</v>
      </c>
    </row>
    <row r="2456" spans="15:19" x14ac:dyDescent="0.2">
      <c r="O2456" s="4">
        <f t="shared" ca="1" si="223"/>
        <v>0.95068881279667694</v>
      </c>
      <c r="P2456" s="4">
        <f t="shared" ca="1" si="224"/>
        <v>1.651569340641061</v>
      </c>
      <c r="Q2456" s="4">
        <f t="shared" ca="1" si="225"/>
        <v>1873.2300643172166</v>
      </c>
      <c r="R2456" s="4">
        <f t="shared" ca="1" si="226"/>
        <v>-50.43997968278336</v>
      </c>
      <c r="S2456" s="4">
        <f t="shared" ca="1" si="227"/>
        <v>-24.497549685723346</v>
      </c>
    </row>
    <row r="2457" spans="15:19" x14ac:dyDescent="0.2">
      <c r="O2457" s="4">
        <f t="shared" ca="1" si="223"/>
        <v>0.11026823770428229</v>
      </c>
      <c r="P2457" s="4">
        <f t="shared" ca="1" si="224"/>
        <v>-1.2251028396588768</v>
      </c>
      <c r="Q2457" s="4">
        <f t="shared" ca="1" si="225"/>
        <v>1960.3787202980468</v>
      </c>
      <c r="R2457" s="4">
        <f t="shared" ca="1" si="226"/>
        <v>36.708676298046839</v>
      </c>
      <c r="S2457" s="4">
        <f t="shared" ca="1" si="227"/>
        <v>19.130828238252011</v>
      </c>
    </row>
    <row r="2458" spans="15:19" x14ac:dyDescent="0.2">
      <c r="O2458" s="4">
        <f t="shared" ca="1" si="223"/>
        <v>0.21832373776758929</v>
      </c>
      <c r="P2458" s="4">
        <f t="shared" ca="1" si="224"/>
        <v>-0.77786691339178549</v>
      </c>
      <c r="Q2458" s="4">
        <f t="shared" ca="1" si="225"/>
        <v>1946.8297277686113</v>
      </c>
      <c r="R2458" s="4">
        <f t="shared" ca="1" si="226"/>
        <v>23.15968376861133</v>
      </c>
      <c r="S2458" s="4">
        <f t="shared" ca="1" si="227"/>
        <v>11.941998878825995</v>
      </c>
    </row>
    <row r="2459" spans="15:19" x14ac:dyDescent="0.2">
      <c r="O2459" s="4">
        <f t="shared" ca="1" si="223"/>
        <v>1.8023050498968463E-2</v>
      </c>
      <c r="P2459" s="4">
        <f t="shared" ca="1" si="224"/>
        <v>-2.0964070110121771</v>
      </c>
      <c r="Q2459" s="4">
        <f t="shared" ca="1" si="225"/>
        <v>1986.7748414841647</v>
      </c>
      <c r="R2459" s="4">
        <f t="shared" ca="1" si="226"/>
        <v>63.104797484164692</v>
      </c>
      <c r="S2459" s="4">
        <f t="shared" ca="1" si="227"/>
        <v>33.565303958252869</v>
      </c>
    </row>
    <row r="2460" spans="15:19" x14ac:dyDescent="0.2">
      <c r="O2460" s="4">
        <f t="shared" ca="1" si="223"/>
        <v>0.71756776938500422</v>
      </c>
      <c r="P2460" s="4">
        <f t="shared" ca="1" si="224"/>
        <v>0.57563123909637171</v>
      </c>
      <c r="Q2460" s="4">
        <f t="shared" ca="1" si="225"/>
        <v>1905.8255613329416</v>
      </c>
      <c r="R2460" s="4">
        <f t="shared" ca="1" si="226"/>
        <v>-17.844482667058401</v>
      </c>
      <c r="S2460" s="4">
        <f t="shared" ca="1" si="227"/>
        <v>-8.903430664249548</v>
      </c>
    </row>
    <row r="2461" spans="15:19" x14ac:dyDescent="0.2">
      <c r="O2461" s="4">
        <f t="shared" ca="1" si="223"/>
        <v>0.15547225221979744</v>
      </c>
      <c r="P2461" s="4">
        <f t="shared" ca="1" si="224"/>
        <v>-1.0132421658972093</v>
      </c>
      <c r="Q2461" s="4">
        <f t="shared" ca="1" si="225"/>
        <v>1953.9604105928383</v>
      </c>
      <c r="R2461" s="4">
        <f t="shared" ca="1" si="226"/>
        <v>30.290366592838382</v>
      </c>
      <c r="S2461" s="4">
        <f t="shared" ca="1" si="227"/>
        <v>15.706768843106634</v>
      </c>
    </row>
    <row r="2462" spans="15:19" x14ac:dyDescent="0.2">
      <c r="O2462" s="4">
        <f t="shared" ca="1" si="223"/>
        <v>0.57778385167800994</v>
      </c>
      <c r="P2462" s="4">
        <f t="shared" ca="1" si="224"/>
        <v>0.19622725459200219</v>
      </c>
      <c r="Q2462" s="4">
        <f t="shared" ca="1" si="225"/>
        <v>1917.3195881983454</v>
      </c>
      <c r="R2462" s="4">
        <f t="shared" ca="1" si="226"/>
        <v>-6.3504558016545616</v>
      </c>
      <c r="S2462" s="4">
        <f t="shared" ca="1" si="227"/>
        <v>-3.1982465235786663</v>
      </c>
    </row>
    <row r="2463" spans="15:19" x14ac:dyDescent="0.2">
      <c r="O2463" s="4">
        <f t="shared" ca="1" si="223"/>
        <v>0.75599901095410571</v>
      </c>
      <c r="P2463" s="4">
        <f t="shared" ca="1" si="224"/>
        <v>0.69349019317284966</v>
      </c>
      <c r="Q2463" s="4">
        <f t="shared" ca="1" si="225"/>
        <v>1902.2550295520139</v>
      </c>
      <c r="R2463" s="4">
        <f t="shared" ca="1" si="226"/>
        <v>-21.415014447986096</v>
      </c>
      <c r="S2463" s="4">
        <f t="shared" ca="1" si="227"/>
        <v>-10.653806967065398</v>
      </c>
    </row>
    <row r="2464" spans="15:19" x14ac:dyDescent="0.2">
      <c r="O2464" s="4">
        <f t="shared" ca="1" si="223"/>
        <v>0.8355305246957665</v>
      </c>
      <c r="P2464" s="4">
        <f t="shared" ca="1" si="224"/>
        <v>0.97625331102804547</v>
      </c>
      <c r="Q2464" s="4">
        <f t="shared" ca="1" si="225"/>
        <v>1893.6887334509893</v>
      </c>
      <c r="R2464" s="4">
        <f t="shared" ca="1" si="226"/>
        <v>-29.981310549010686</v>
      </c>
      <c r="S2464" s="4">
        <f t="shared" ca="1" si="227"/>
        <v>-14.810927092686214</v>
      </c>
    </row>
    <row r="2465" spans="15:19" x14ac:dyDescent="0.2">
      <c r="O2465" s="4">
        <f t="shared" ca="1" si="223"/>
        <v>0.67476798503869351</v>
      </c>
      <c r="P2465" s="4">
        <f t="shared" ca="1" si="224"/>
        <v>0.45311764540001803</v>
      </c>
      <c r="Q2465" s="4">
        <f t="shared" ca="1" si="225"/>
        <v>1909.5371052144919</v>
      </c>
      <c r="R2465" s="4">
        <f t="shared" ca="1" si="226"/>
        <v>-14.132938785508031</v>
      </c>
      <c r="S2465" s="4">
        <f t="shared" ca="1" si="227"/>
        <v>-7.0729240536816151</v>
      </c>
    </row>
    <row r="2466" spans="15:19" x14ac:dyDescent="0.2">
      <c r="O2466" s="4">
        <f t="shared" ca="1" si="223"/>
        <v>0.86420653550099191</v>
      </c>
      <c r="P2466" s="4">
        <f t="shared" ca="1" si="224"/>
        <v>1.0994153714691124</v>
      </c>
      <c r="Q2466" s="4">
        <f t="shared" ca="1" si="225"/>
        <v>1889.9575442981991</v>
      </c>
      <c r="R2466" s="4">
        <f t="shared" ca="1" si="226"/>
        <v>-33.71249970180088</v>
      </c>
      <c r="S2466" s="4">
        <f t="shared" ca="1" si="227"/>
        <v>-16.602950099585133</v>
      </c>
    </row>
    <row r="2467" spans="15:19" x14ac:dyDescent="0.2">
      <c r="O2467" s="4">
        <f t="shared" ca="1" si="223"/>
        <v>0.8489863679896158</v>
      </c>
      <c r="P2467" s="4">
        <f t="shared" ca="1" si="224"/>
        <v>1.032095751279424</v>
      </c>
      <c r="Q2467" s="4">
        <f t="shared" ca="1" si="225"/>
        <v>1891.9969892029221</v>
      </c>
      <c r="R2467" s="4">
        <f t="shared" ca="1" si="226"/>
        <v>-31.673054797077839</v>
      </c>
      <c r="S2467" s="4">
        <f t="shared" ca="1" si="227"/>
        <v>-15.624845889949782</v>
      </c>
    </row>
    <row r="2468" spans="15:19" x14ac:dyDescent="0.2">
      <c r="O2468" s="4">
        <f t="shared" ca="1" si="223"/>
        <v>0.97462110497430876</v>
      </c>
      <c r="P2468" s="4">
        <f t="shared" ca="1" si="224"/>
        <v>1.9535218561530525</v>
      </c>
      <c r="Q2468" s="4">
        <f t="shared" ca="1" si="225"/>
        <v>1864.0824262661693</v>
      </c>
      <c r="R2468" s="4">
        <f t="shared" ca="1" si="226"/>
        <v>-59.587617733830712</v>
      </c>
      <c r="S2468" s="4">
        <f t="shared" ca="1" si="227"/>
        <v>-28.718461489049425</v>
      </c>
    </row>
    <row r="2469" spans="15:19" x14ac:dyDescent="0.2">
      <c r="O2469" s="4">
        <f t="shared" ca="1" si="223"/>
        <v>0.387180198864715</v>
      </c>
      <c r="P2469" s="4">
        <f t="shared" ca="1" si="224"/>
        <v>-0.28667602363738837</v>
      </c>
      <c r="Q2469" s="4">
        <f t="shared" ca="1" si="225"/>
        <v>1931.949121571884</v>
      </c>
      <c r="R2469" s="4">
        <f t="shared" ca="1" si="226"/>
        <v>8.279077571884045</v>
      </c>
      <c r="S2469" s="4">
        <f t="shared" ca="1" si="227"/>
        <v>4.218851956672335</v>
      </c>
    </row>
    <row r="2470" spans="15:19" x14ac:dyDescent="0.2">
      <c r="O2470" s="4">
        <f t="shared" ca="1" si="223"/>
        <v>0.17619904211715942</v>
      </c>
      <c r="P2470" s="4">
        <f t="shared" ca="1" si="224"/>
        <v>-0.92994785415614134</v>
      </c>
      <c r="Q2470" s="4">
        <f t="shared" ca="1" si="225"/>
        <v>1951.4370131168262</v>
      </c>
      <c r="R2470" s="4">
        <f t="shared" ca="1" si="226"/>
        <v>27.766969116826203</v>
      </c>
      <c r="S2470" s="4">
        <f t="shared" ca="1" si="227"/>
        <v>14.369763976721597</v>
      </c>
    </row>
    <row r="2471" spans="15:19" x14ac:dyDescent="0.2">
      <c r="O2471" s="4">
        <f t="shared" ca="1" si="223"/>
        <v>9.6984335328625382E-2</v>
      </c>
      <c r="P2471" s="4">
        <f t="shared" ca="1" si="224"/>
        <v>-1.2989279092058907</v>
      </c>
      <c r="Q2471" s="4">
        <f t="shared" ca="1" si="225"/>
        <v>1962.6152475022143</v>
      </c>
      <c r="R2471" s="4">
        <f t="shared" ca="1" si="226"/>
        <v>38.945203502214326</v>
      </c>
      <c r="S2471" s="4">
        <f t="shared" ca="1" si="227"/>
        <v>20.331857126535112</v>
      </c>
    </row>
    <row r="2472" spans="15:19" x14ac:dyDescent="0.2">
      <c r="O2472" s="4">
        <f t="shared" ca="1" si="223"/>
        <v>5.9522205503086068E-2</v>
      </c>
      <c r="P2472" s="4">
        <f t="shared" ca="1" si="224"/>
        <v>-1.5587970992191629</v>
      </c>
      <c r="Q2472" s="4">
        <f t="shared" ca="1" si="225"/>
        <v>1970.4879730757355</v>
      </c>
      <c r="R2472" s="4">
        <f t="shared" ca="1" si="226"/>
        <v>46.817929075735492</v>
      </c>
      <c r="S2472" s="4">
        <f t="shared" ca="1" si="227"/>
        <v>24.591956835043021</v>
      </c>
    </row>
    <row r="2473" spans="15:19" x14ac:dyDescent="0.2">
      <c r="O2473" s="4">
        <f t="shared" ca="1" si="223"/>
        <v>0.37471906942499955</v>
      </c>
      <c r="P2473" s="4">
        <f t="shared" ca="1" si="224"/>
        <v>-0.31938031146007761</v>
      </c>
      <c r="Q2473" s="4">
        <f t="shared" ca="1" si="225"/>
        <v>1932.939896519435</v>
      </c>
      <c r="R2473" s="4">
        <f t="shared" ca="1" si="226"/>
        <v>9.2698525194350623</v>
      </c>
      <c r="S2473" s="4">
        <f t="shared" ca="1" si="227"/>
        <v>4.7274696686985322</v>
      </c>
    </row>
    <row r="2474" spans="15:19" x14ac:dyDescent="0.2">
      <c r="O2474" s="4">
        <f t="shared" ca="1" si="223"/>
        <v>0.6496594297728272</v>
      </c>
      <c r="P2474" s="4">
        <f t="shared" ca="1" si="224"/>
        <v>0.38440116059137408</v>
      </c>
      <c r="Q2474" s="4">
        <f t="shared" ca="1" si="225"/>
        <v>1911.6188680708271</v>
      </c>
      <c r="R2474" s="4">
        <f t="shared" ca="1" si="226"/>
        <v>-12.051175929172814</v>
      </c>
      <c r="S2474" s="4">
        <f t="shared" ca="1" si="227"/>
        <v>-6.0413042893655922</v>
      </c>
    </row>
    <row r="2475" spans="15:19" x14ac:dyDescent="0.2">
      <c r="O2475" s="4">
        <f t="shared" ca="1" si="223"/>
        <v>0.65032007551151705</v>
      </c>
      <c r="P2475" s="4">
        <f t="shared" ca="1" si="224"/>
        <v>0.38618474748588755</v>
      </c>
      <c r="Q2475" s="4">
        <f t="shared" ca="1" si="225"/>
        <v>1911.5648343850471</v>
      </c>
      <c r="R2475" s="4">
        <f t="shared" ca="1" si="226"/>
        <v>-12.105209614952855</v>
      </c>
      <c r="S2475" s="4">
        <f t="shared" ca="1" si="227"/>
        <v>-6.0681253397765627</v>
      </c>
    </row>
    <row r="2476" spans="15:19" x14ac:dyDescent="0.2">
      <c r="O2476" s="4">
        <f t="shared" ca="1" si="223"/>
        <v>0.11070814352309266</v>
      </c>
      <c r="P2476" s="4">
        <f t="shared" ca="1" si="224"/>
        <v>-1.2227707739369671</v>
      </c>
      <c r="Q2476" s="4">
        <f t="shared" ca="1" si="225"/>
        <v>1960.3080704705428</v>
      </c>
      <c r="R2476" s="4">
        <f t="shared" ca="1" si="226"/>
        <v>36.638026470542854</v>
      </c>
      <c r="S2476" s="4">
        <f t="shared" ca="1" si="227"/>
        <v>19.092955198555362</v>
      </c>
    </row>
    <row r="2477" spans="15:19" x14ac:dyDescent="0.2">
      <c r="O2477" s="4">
        <f t="shared" ca="1" si="223"/>
        <v>0.9712197481416821</v>
      </c>
      <c r="P2477" s="4">
        <f t="shared" ca="1" si="224"/>
        <v>1.8990302125915777</v>
      </c>
      <c r="Q2477" s="4">
        <f t="shared" ca="1" si="225"/>
        <v>1865.7332481884901</v>
      </c>
      <c r="R2477" s="4">
        <f t="shared" ca="1" si="226"/>
        <v>-57.93679581150991</v>
      </c>
      <c r="S2477" s="4">
        <f t="shared" ca="1" si="227"/>
        <v>-27.961775527403599</v>
      </c>
    </row>
    <row r="2478" spans="15:19" x14ac:dyDescent="0.2">
      <c r="O2478" s="4">
        <f t="shared" ca="1" si="223"/>
        <v>0.19010887830873258</v>
      </c>
      <c r="P2478" s="4">
        <f t="shared" ca="1" si="224"/>
        <v>-0.87749514151130659</v>
      </c>
      <c r="Q2478" s="4">
        <f t="shared" ca="1" si="225"/>
        <v>1949.847960516099</v>
      </c>
      <c r="R2478" s="4">
        <f t="shared" ca="1" si="226"/>
        <v>26.177916516099003</v>
      </c>
      <c r="S2478" s="4">
        <f t="shared" ca="1" si="227"/>
        <v>13.530475498346483</v>
      </c>
    </row>
    <row r="2479" spans="15:19" x14ac:dyDescent="0.2">
      <c r="O2479" s="4">
        <f t="shared" ca="1" si="223"/>
        <v>0.22659285243206029</v>
      </c>
      <c r="P2479" s="4">
        <f t="shared" ca="1" si="224"/>
        <v>-0.75011457037044349</v>
      </c>
      <c r="Q2479" s="4">
        <f t="shared" ca="1" si="225"/>
        <v>1945.9889717689559</v>
      </c>
      <c r="R2479" s="4">
        <f t="shared" ca="1" si="226"/>
        <v>22.318927768955973</v>
      </c>
      <c r="S2479" s="4">
        <f t="shared" ca="1" si="227"/>
        <v>11.500835088620072</v>
      </c>
    </row>
    <row r="2480" spans="15:19" x14ac:dyDescent="0.2">
      <c r="O2480" s="4">
        <f t="shared" ca="1" si="223"/>
        <v>0.90788561078903074</v>
      </c>
      <c r="P2480" s="4">
        <f t="shared" ca="1" si="224"/>
        <v>1.3278466312301296</v>
      </c>
      <c r="Q2480" s="4">
        <f t="shared" ca="1" si="225"/>
        <v>1883.0372294258575</v>
      </c>
      <c r="R2480" s="4">
        <f t="shared" ca="1" si="226"/>
        <v>-40.632814574142458</v>
      </c>
      <c r="S2480" s="4">
        <f t="shared" ca="1" si="227"/>
        <v>-19.896647011123584</v>
      </c>
    </row>
    <row r="2481" spans="15:19" x14ac:dyDescent="0.2">
      <c r="O2481" s="4">
        <f t="shared" ca="1" si="223"/>
        <v>7.2546580137659245E-2</v>
      </c>
      <c r="P2481" s="4">
        <f t="shared" ca="1" si="224"/>
        <v>-1.4570841237302228</v>
      </c>
      <c r="Q2481" s="4">
        <f t="shared" ca="1" si="225"/>
        <v>1967.4065829992521</v>
      </c>
      <c r="R2481" s="4">
        <f t="shared" ca="1" si="226"/>
        <v>43.736538999252161</v>
      </c>
      <c r="S2481" s="4">
        <f t="shared" ca="1" si="227"/>
        <v>22.918540988896783</v>
      </c>
    </row>
    <row r="2482" spans="15:19" x14ac:dyDescent="0.2">
      <c r="O2482" s="4">
        <f t="shared" ca="1" si="223"/>
        <v>0.53321772074259177</v>
      </c>
      <c r="P2482" s="4">
        <f t="shared" ca="1" si="224"/>
        <v>8.3360923929235956E-2</v>
      </c>
      <c r="Q2482" s="4">
        <f t="shared" ca="1" si="225"/>
        <v>1920.7388686746222</v>
      </c>
      <c r="R2482" s="4">
        <f t="shared" ca="1" si="226"/>
        <v>-2.9311753253778079</v>
      </c>
      <c r="S2482" s="4">
        <f t="shared" ca="1" si="227"/>
        <v>-1.4802922074817986</v>
      </c>
    </row>
    <row r="2483" spans="15:19" x14ac:dyDescent="0.2">
      <c r="O2483" s="4">
        <f t="shared" ca="1" si="223"/>
        <v>0.98649641105985897</v>
      </c>
      <c r="P2483" s="4">
        <f t="shared" ca="1" si="224"/>
        <v>2.2114140485950036</v>
      </c>
      <c r="Q2483" s="4">
        <f t="shared" ca="1" si="225"/>
        <v>1856.269593746295</v>
      </c>
      <c r="R2483" s="4">
        <f t="shared" ca="1" si="226"/>
        <v>-67.400450253705003</v>
      </c>
      <c r="S2483" s="4">
        <f t="shared" ca="1" si="227"/>
        <v>-32.269525596756189</v>
      </c>
    </row>
    <row r="2484" spans="15:19" x14ac:dyDescent="0.2">
      <c r="O2484" s="4">
        <f t="shared" ca="1" si="223"/>
        <v>0.90226772681703127</v>
      </c>
      <c r="P2484" s="4">
        <f t="shared" ca="1" si="224"/>
        <v>1.2945817645618742</v>
      </c>
      <c r="Q2484" s="4">
        <f t="shared" ca="1" si="225"/>
        <v>1884.0449870846458</v>
      </c>
      <c r="R2484" s="4">
        <f t="shared" ca="1" si="226"/>
        <v>-39.625056915354207</v>
      </c>
      <c r="S2484" s="4">
        <f t="shared" ca="1" si="227"/>
        <v>-19.41943416962603</v>
      </c>
    </row>
    <row r="2485" spans="15:19" x14ac:dyDescent="0.2">
      <c r="O2485" s="4">
        <f t="shared" ca="1" si="223"/>
        <v>0.1322536131843085</v>
      </c>
      <c r="P2485" s="4">
        <f t="shared" ca="1" si="224"/>
        <v>-1.1158012319283273</v>
      </c>
      <c r="Q2485" s="4">
        <f t="shared" ca="1" si="225"/>
        <v>1957.0674329447313</v>
      </c>
      <c r="R2485" s="4">
        <f t="shared" ca="1" si="226"/>
        <v>33.397388944731347</v>
      </c>
      <c r="S2485" s="4">
        <f t="shared" ca="1" si="227"/>
        <v>17.36012455592174</v>
      </c>
    </row>
    <row r="2486" spans="15:19" x14ac:dyDescent="0.2">
      <c r="O2486" s="4">
        <f t="shared" ca="1" si="223"/>
        <v>0.35042834046350191</v>
      </c>
      <c r="P2486" s="4">
        <f t="shared" ca="1" si="224"/>
        <v>-0.38416429387811563</v>
      </c>
      <c r="Q2486" s="4">
        <f t="shared" ca="1" si="225"/>
        <v>1934.9025243904457</v>
      </c>
      <c r="R2486" s="4">
        <f t="shared" ca="1" si="226"/>
        <v>11.232480390445744</v>
      </c>
      <c r="S2486" s="4">
        <f t="shared" ca="1" si="227"/>
        <v>5.7373509554404993</v>
      </c>
    </row>
    <row r="2487" spans="15:19" x14ac:dyDescent="0.2">
      <c r="O2487" s="4">
        <f t="shared" ca="1" si="223"/>
        <v>0.60068789567127179</v>
      </c>
      <c r="P2487" s="4">
        <f t="shared" ca="1" si="224"/>
        <v>0.25512803889740687</v>
      </c>
      <c r="Q2487" s="4">
        <f t="shared" ca="1" si="225"/>
        <v>1915.5351915529488</v>
      </c>
      <c r="R2487" s="4">
        <f t="shared" ca="1" si="226"/>
        <v>-8.1348524470511165</v>
      </c>
      <c r="S2487" s="4">
        <f t="shared" ca="1" si="227"/>
        <v>-4.0910038472335497</v>
      </c>
    </row>
    <row r="2488" spans="15:19" x14ac:dyDescent="0.2">
      <c r="O2488" s="4">
        <f t="shared" ca="1" si="223"/>
        <v>0.75877537198700173</v>
      </c>
      <c r="P2488" s="4">
        <f t="shared" ca="1" si="224"/>
        <v>0.70236870597162615</v>
      </c>
      <c r="Q2488" s="4">
        <f t="shared" ca="1" si="225"/>
        <v>1901.986055400972</v>
      </c>
      <c r="R2488" s="4">
        <f t="shared" ca="1" si="226"/>
        <v>-21.683988599027998</v>
      </c>
      <c r="S2488" s="4">
        <f t="shared" ca="1" si="227"/>
        <v>-10.785245359672251</v>
      </c>
    </row>
    <row r="2489" spans="15:19" x14ac:dyDescent="0.2">
      <c r="O2489" s="4">
        <f t="shared" ca="1" si="223"/>
        <v>0.78194927041040552</v>
      </c>
      <c r="P2489" s="4">
        <f t="shared" ca="1" si="224"/>
        <v>0.77879334404304978</v>
      </c>
      <c r="Q2489" s="4">
        <f t="shared" ca="1" si="225"/>
        <v>1899.6707743837756</v>
      </c>
      <c r="R2489" s="4">
        <f t="shared" ca="1" si="226"/>
        <v>-23.99926961622441</v>
      </c>
      <c r="S2489" s="4">
        <f t="shared" ca="1" si="227"/>
        <v>-11.914207747275528</v>
      </c>
    </row>
    <row r="2490" spans="15:19" x14ac:dyDescent="0.2">
      <c r="O2490" s="4">
        <f t="shared" ca="1" si="223"/>
        <v>0.58496900029539123</v>
      </c>
      <c r="P2490" s="4">
        <f t="shared" ca="1" si="224"/>
        <v>0.21462205217697933</v>
      </c>
      <c r="Q2490" s="4">
        <f t="shared" ca="1" si="225"/>
        <v>1916.7623186222193</v>
      </c>
      <c r="R2490" s="4">
        <f t="shared" ca="1" si="226"/>
        <v>-6.9077253777807073</v>
      </c>
      <c r="S2490" s="4">
        <f t="shared" ca="1" si="227"/>
        <v>-3.4773342588809815</v>
      </c>
    </row>
    <row r="2491" spans="15:19" x14ac:dyDescent="0.2">
      <c r="O2491" s="4">
        <f t="shared" ca="1" si="223"/>
        <v>0.89561764739689853</v>
      </c>
      <c r="P2491" s="4">
        <f t="shared" ca="1" si="224"/>
        <v>1.2569694305428225</v>
      </c>
      <c r="Q2491" s="4">
        <f t="shared" ca="1" si="225"/>
        <v>1885.1844510738031</v>
      </c>
      <c r="R2491" s="4">
        <f t="shared" ca="1" si="226"/>
        <v>-38.485592926196887</v>
      </c>
      <c r="S2491" s="4">
        <f t="shared" ca="1" si="227"/>
        <v>-18.878857237732724</v>
      </c>
    </row>
    <row r="2492" spans="15:19" x14ac:dyDescent="0.2">
      <c r="O2492" s="4">
        <f t="shared" ca="1" si="223"/>
        <v>8.5945982443575986E-2</v>
      </c>
      <c r="P2492" s="4">
        <f t="shared" ca="1" si="224"/>
        <v>-1.3661497530169433</v>
      </c>
      <c r="Q2492" s="4">
        <f t="shared" ca="1" si="225"/>
        <v>1964.651730275888</v>
      </c>
      <c r="R2492" s="4">
        <f t="shared" ca="1" si="226"/>
        <v>40.981686275888023</v>
      </c>
      <c r="S2492" s="4">
        <f t="shared" ca="1" si="227"/>
        <v>21.429003203392732</v>
      </c>
    </row>
    <row r="2493" spans="15:19" x14ac:dyDescent="0.2">
      <c r="O2493" s="4">
        <f t="shared" ca="1" si="223"/>
        <v>0.62833485303833214</v>
      </c>
      <c r="P2493" s="4">
        <f t="shared" ca="1" si="224"/>
        <v>0.32744637742157884</v>
      </c>
      <c r="Q2493" s="4">
        <f t="shared" ca="1" si="225"/>
        <v>1913.3443106982206</v>
      </c>
      <c r="R2493" s="4">
        <f t="shared" ca="1" si="226"/>
        <v>-10.325733301779337</v>
      </c>
      <c r="S2493" s="4">
        <f t="shared" ca="1" si="227"/>
        <v>-5.1835853033761179</v>
      </c>
    </row>
    <row r="2494" spans="15:19" x14ac:dyDescent="0.2">
      <c r="O2494" s="4">
        <f t="shared" ca="1" si="223"/>
        <v>0.97117708998765129</v>
      </c>
      <c r="P2494" s="4">
        <f t="shared" ca="1" si="224"/>
        <v>1.8983816885527882</v>
      </c>
      <c r="Q2494" s="4">
        <f t="shared" ca="1" si="225"/>
        <v>1865.7528951954514</v>
      </c>
      <c r="R2494" s="4">
        <f t="shared" ca="1" si="226"/>
        <v>-57.91714880454856</v>
      </c>
      <c r="S2494" s="4">
        <f t="shared" ca="1" si="227"/>
        <v>-27.952756584194987</v>
      </c>
    </row>
    <row r="2495" spans="15:19" x14ac:dyDescent="0.2">
      <c r="O2495" s="4">
        <f t="shared" ca="1" si="223"/>
        <v>0.93954645528783365</v>
      </c>
      <c r="P2495" s="4">
        <f t="shared" ca="1" si="224"/>
        <v>1.5509774443720279</v>
      </c>
      <c r="Q2495" s="4">
        <f t="shared" ca="1" si="225"/>
        <v>1876.2774913485077</v>
      </c>
      <c r="R2495" s="4">
        <f t="shared" ca="1" si="226"/>
        <v>-47.392552651492224</v>
      </c>
      <c r="S2495" s="4">
        <f t="shared" ca="1" si="227"/>
        <v>-23.076274875965957</v>
      </c>
    </row>
    <row r="2496" spans="15:19" x14ac:dyDescent="0.2">
      <c r="O2496" s="4">
        <f t="shared" ca="1" si="223"/>
        <v>0.1783413559341831</v>
      </c>
      <c r="P2496" s="4">
        <f t="shared" ca="1" si="224"/>
        <v>-0.92170453989637613</v>
      </c>
      <c r="Q2496" s="4">
        <f t="shared" ca="1" si="225"/>
        <v>1951.1872822773219</v>
      </c>
      <c r="R2496" s="4">
        <f t="shared" ca="1" si="226"/>
        <v>27.517238277321894</v>
      </c>
      <c r="S2496" s="4">
        <f t="shared" ca="1" si="227"/>
        <v>14.237727712122018</v>
      </c>
    </row>
    <row r="2497" spans="15:19" x14ac:dyDescent="0.2">
      <c r="O2497" s="4">
        <f t="shared" ca="1" si="223"/>
        <v>0.87609105259811704</v>
      </c>
      <c r="P2497" s="4">
        <f t="shared" ca="1" si="224"/>
        <v>1.1556657692812493</v>
      </c>
      <c r="Q2497" s="4">
        <f t="shared" ca="1" si="225"/>
        <v>1888.2534409939415</v>
      </c>
      <c r="R2497" s="4">
        <f t="shared" ca="1" si="226"/>
        <v>-35.416603006058494</v>
      </c>
      <c r="S2497" s="4">
        <f t="shared" ca="1" si="227"/>
        <v>-17.417629853858738</v>
      </c>
    </row>
    <row r="2498" spans="15:19" x14ac:dyDescent="0.2">
      <c r="O2498" s="4">
        <f t="shared" ca="1" si="223"/>
        <v>0.82351958571342521</v>
      </c>
      <c r="P2498" s="4">
        <f t="shared" ca="1" si="224"/>
        <v>0.9288615751914453</v>
      </c>
      <c r="Q2498" s="4">
        <f t="shared" ca="1" si="225"/>
        <v>1895.1244639840136</v>
      </c>
      <c r="R2498" s="4">
        <f t="shared" ca="1" si="226"/>
        <v>-28.545580015986388</v>
      </c>
      <c r="S2498" s="4">
        <f t="shared" ca="1" si="227"/>
        <v>-14.118351790404024</v>
      </c>
    </row>
    <row r="2499" spans="15:19" x14ac:dyDescent="0.2">
      <c r="O2499" s="4">
        <f t="shared" ref="O2499:O2562" ca="1" si="228">RAND()</f>
        <v>0.66021297887890318</v>
      </c>
      <c r="P2499" s="4">
        <f t="shared" ref="P2499:P2562" ca="1" si="229">NORMSINV(O2499)</f>
        <v>0.41304445700602754</v>
      </c>
      <c r="Q2499" s="4">
        <f t="shared" ref="Q2499:Q2562" ca="1" si="230">$B$4*(1+$B$17-$B$6/SQRT(252)*P2499)</f>
        <v>1910.7511206776787</v>
      </c>
      <c r="R2499" s="4">
        <f t="shared" ref="R2499:R2562" ca="1" si="231">Q2499-$B$4</f>
        <v>-12.918923322321234</v>
      </c>
      <c r="S2499" s="4">
        <f t="shared" ref="S2499:S2562" ca="1" si="232">R2499*$B$12+0.5*$B$13*R2499^2</f>
        <v>-6.4717462497333642</v>
      </c>
    </row>
    <row r="2500" spans="15:19" x14ac:dyDescent="0.2">
      <c r="O2500" s="4">
        <f t="shared" ca="1" si="228"/>
        <v>0.55421791196045822</v>
      </c>
      <c r="P2500" s="4">
        <f t="shared" ca="1" si="229"/>
        <v>0.13632523422105078</v>
      </c>
      <c r="Q2500" s="4">
        <f t="shared" ca="1" si="230"/>
        <v>1919.134317245894</v>
      </c>
      <c r="R2500" s="4">
        <f t="shared" ca="1" si="231"/>
        <v>-4.5357267541060082</v>
      </c>
      <c r="S2500" s="4">
        <f t="shared" ca="1" si="232"/>
        <v>-2.2876547491793735</v>
      </c>
    </row>
    <row r="2501" spans="15:19" x14ac:dyDescent="0.2">
      <c r="O2501" s="4">
        <f t="shared" ca="1" si="228"/>
        <v>0.24337027068111372</v>
      </c>
      <c r="P2501" s="4">
        <f t="shared" ca="1" si="229"/>
        <v>-0.69550234620124496</v>
      </c>
      <c r="Q2501" s="4">
        <f t="shared" ca="1" si="230"/>
        <v>1944.3344968624779</v>
      </c>
      <c r="R2501" s="4">
        <f t="shared" ca="1" si="231"/>
        <v>20.664452862477901</v>
      </c>
      <c r="S2501" s="4">
        <f t="shared" ca="1" si="232"/>
        <v>10.634374988220245</v>
      </c>
    </row>
    <row r="2502" spans="15:19" x14ac:dyDescent="0.2">
      <c r="O2502" s="4">
        <f t="shared" ca="1" si="228"/>
        <v>0.63425685481440119</v>
      </c>
      <c r="P2502" s="4">
        <f t="shared" ca="1" si="229"/>
        <v>0.34314910564481677</v>
      </c>
      <c r="Q2502" s="4">
        <f t="shared" ca="1" si="230"/>
        <v>1912.8685972438832</v>
      </c>
      <c r="R2502" s="4">
        <f t="shared" ca="1" si="231"/>
        <v>-10.801446756116775</v>
      </c>
      <c r="S2502" s="4">
        <f t="shared" ca="1" si="232"/>
        <v>-5.4203048708690034</v>
      </c>
    </row>
    <row r="2503" spans="15:19" x14ac:dyDescent="0.2">
      <c r="O2503" s="4">
        <f t="shared" ca="1" si="228"/>
        <v>0.18197173654331822</v>
      </c>
      <c r="P2503" s="4">
        <f t="shared" ca="1" si="229"/>
        <v>-0.90787650319632229</v>
      </c>
      <c r="Q2503" s="4">
        <f t="shared" ca="1" si="230"/>
        <v>1950.7683625194447</v>
      </c>
      <c r="R2503" s="4">
        <f t="shared" ca="1" si="231"/>
        <v>27.098318519444774</v>
      </c>
      <c r="S2503" s="4">
        <f t="shared" ca="1" si="232"/>
        <v>14.016352872469941</v>
      </c>
    </row>
    <row r="2504" spans="15:19" x14ac:dyDescent="0.2">
      <c r="O2504" s="4">
        <f t="shared" ca="1" si="228"/>
        <v>0.43653985390456618</v>
      </c>
      <c r="P2504" s="4">
        <f t="shared" ca="1" si="229"/>
        <v>-0.15974784774985962</v>
      </c>
      <c r="Q2504" s="4">
        <f t="shared" ca="1" si="230"/>
        <v>1928.103838118855</v>
      </c>
      <c r="R2504" s="4">
        <f t="shared" ca="1" si="231"/>
        <v>4.4337941188550758</v>
      </c>
      <c r="S2504" s="4">
        <f t="shared" ca="1" si="232"/>
        <v>2.2524323942621383</v>
      </c>
    </row>
    <row r="2505" spans="15:19" x14ac:dyDescent="0.2">
      <c r="O2505" s="4">
        <f t="shared" ca="1" si="228"/>
        <v>0.4505920961508556</v>
      </c>
      <c r="P2505" s="4">
        <f t="shared" ca="1" si="229"/>
        <v>-0.12416555749142259</v>
      </c>
      <c r="Q2505" s="4">
        <f t="shared" ca="1" si="230"/>
        <v>1927.0258742152939</v>
      </c>
      <c r="R2505" s="4">
        <f t="shared" ca="1" si="231"/>
        <v>3.3558302152939632</v>
      </c>
      <c r="S2505" s="4">
        <f t="shared" ca="1" si="232"/>
        <v>1.7033383743623129</v>
      </c>
    </row>
    <row r="2506" spans="15:19" x14ac:dyDescent="0.2">
      <c r="O2506" s="4">
        <f t="shared" ca="1" si="228"/>
        <v>0.88196022500789728</v>
      </c>
      <c r="P2506" s="4">
        <f t="shared" ca="1" si="229"/>
        <v>1.1848429433872794</v>
      </c>
      <c r="Q2506" s="4">
        <f t="shared" ca="1" si="230"/>
        <v>1887.3695197998366</v>
      </c>
      <c r="R2506" s="4">
        <f t="shared" ca="1" si="231"/>
        <v>-36.300524200163409</v>
      </c>
      <c r="S2506" s="4">
        <f t="shared" ca="1" si="232"/>
        <v>-17.839274370353433</v>
      </c>
    </row>
    <row r="2507" spans="15:19" x14ac:dyDescent="0.2">
      <c r="O2507" s="4">
        <f t="shared" ca="1" si="228"/>
        <v>1.131143492095199E-2</v>
      </c>
      <c r="P2507" s="4">
        <f t="shared" ca="1" si="229"/>
        <v>-2.279744104718449</v>
      </c>
      <c r="Q2507" s="4">
        <f t="shared" ca="1" si="230"/>
        <v>1992.3290305980131</v>
      </c>
      <c r="R2507" s="4">
        <f t="shared" ca="1" si="231"/>
        <v>68.658986598013144</v>
      </c>
      <c r="S2507" s="4">
        <f t="shared" ca="1" si="232"/>
        <v>36.674798829552486</v>
      </c>
    </row>
    <row r="2508" spans="15:19" x14ac:dyDescent="0.2">
      <c r="O2508" s="4">
        <f t="shared" ca="1" si="228"/>
        <v>0.64604412669278322</v>
      </c>
      <c r="P2508" s="4">
        <f t="shared" ca="1" si="229"/>
        <v>0.37466214790217933</v>
      </c>
      <c r="Q2508" s="4">
        <f t="shared" ca="1" si="230"/>
        <v>1911.9139110278436</v>
      </c>
      <c r="R2508" s="4">
        <f t="shared" ca="1" si="231"/>
        <v>-11.756132972156365</v>
      </c>
      <c r="S2508" s="4">
        <f t="shared" ca="1" si="232"/>
        <v>-5.8948099816383719</v>
      </c>
    </row>
    <row r="2509" spans="15:19" x14ac:dyDescent="0.2">
      <c r="O2509" s="4">
        <f t="shared" ca="1" si="228"/>
        <v>0.60529216888178228</v>
      </c>
      <c r="P2509" s="4">
        <f t="shared" ca="1" si="229"/>
        <v>0.26706948461499336</v>
      </c>
      <c r="Q2509" s="4">
        <f t="shared" ca="1" si="230"/>
        <v>1915.173425985123</v>
      </c>
      <c r="R2509" s="4">
        <f t="shared" ca="1" si="231"/>
        <v>-8.4966180148769581</v>
      </c>
      <c r="S2509" s="4">
        <f t="shared" ca="1" si="232"/>
        <v>-4.2716839104208617</v>
      </c>
    </row>
    <row r="2510" spans="15:19" x14ac:dyDescent="0.2">
      <c r="O2510" s="4">
        <f t="shared" ca="1" si="228"/>
        <v>0.95325981197836351</v>
      </c>
      <c r="P2510" s="4">
        <f t="shared" ca="1" si="229"/>
        <v>1.6773176854285607</v>
      </c>
      <c r="Q2510" s="4">
        <f t="shared" ca="1" si="230"/>
        <v>1872.45001935508</v>
      </c>
      <c r="R2510" s="4">
        <f t="shared" ca="1" si="231"/>
        <v>-51.220024644919931</v>
      </c>
      <c r="S2510" s="4">
        <f t="shared" ca="1" si="232"/>
        <v>-24.860135751156122</v>
      </c>
    </row>
    <row r="2511" spans="15:19" x14ac:dyDescent="0.2">
      <c r="O2511" s="4">
        <f t="shared" ca="1" si="228"/>
        <v>0.37874211283386894</v>
      </c>
      <c r="P2511" s="4">
        <f t="shared" ca="1" si="229"/>
        <v>-0.30878612328694383</v>
      </c>
      <c r="Q2511" s="4">
        <f t="shared" ca="1" si="230"/>
        <v>1932.6189460591013</v>
      </c>
      <c r="R2511" s="4">
        <f t="shared" ca="1" si="231"/>
        <v>8.9489020591013286</v>
      </c>
      <c r="S2511" s="4">
        <f t="shared" ca="1" si="232"/>
        <v>4.5626211389221849</v>
      </c>
    </row>
    <row r="2512" spans="15:19" x14ac:dyDescent="0.2">
      <c r="O2512" s="4">
        <f t="shared" ca="1" si="228"/>
        <v>0.63976590949907886</v>
      </c>
      <c r="P2512" s="4">
        <f t="shared" ca="1" si="229"/>
        <v>0.35783314981846059</v>
      </c>
      <c r="Q2512" s="4">
        <f t="shared" ca="1" si="230"/>
        <v>1912.4237447775993</v>
      </c>
      <c r="R2512" s="4">
        <f t="shared" ca="1" si="231"/>
        <v>-11.246299222400694</v>
      </c>
      <c r="S2512" s="4">
        <f t="shared" ca="1" si="232"/>
        <v>-5.6415010139951605</v>
      </c>
    </row>
    <row r="2513" spans="15:19" x14ac:dyDescent="0.2">
      <c r="O2513" s="4">
        <f t="shared" ca="1" si="228"/>
        <v>0.54119130952275774</v>
      </c>
      <c r="P2513" s="4">
        <f t="shared" ca="1" si="229"/>
        <v>0.10343544626891882</v>
      </c>
      <c r="Q2513" s="4">
        <f t="shared" ca="1" si="230"/>
        <v>1920.1307119116302</v>
      </c>
      <c r="R2513" s="4">
        <f t="shared" ca="1" si="231"/>
        <v>-3.539332088369747</v>
      </c>
      <c r="S2513" s="4">
        <f t="shared" ca="1" si="232"/>
        <v>-1.7865452666199537</v>
      </c>
    </row>
    <row r="2514" spans="15:19" x14ac:dyDescent="0.2">
      <c r="O2514" s="4">
        <f t="shared" ca="1" si="228"/>
        <v>0.68545652701500948</v>
      </c>
      <c r="P2514" s="4">
        <f t="shared" ca="1" si="229"/>
        <v>0.48301237999848895</v>
      </c>
      <c r="Q2514" s="4">
        <f t="shared" ca="1" si="230"/>
        <v>1908.6314455571276</v>
      </c>
      <c r="R2514" s="4">
        <f t="shared" ca="1" si="231"/>
        <v>-15.038598442872399</v>
      </c>
      <c r="S2514" s="4">
        <f t="shared" ca="1" si="232"/>
        <v>-7.5206232840267448</v>
      </c>
    </row>
    <row r="2515" spans="15:19" x14ac:dyDescent="0.2">
      <c r="O2515" s="4">
        <f t="shared" ca="1" si="228"/>
        <v>0.30819164861330939</v>
      </c>
      <c r="P2515" s="4">
        <f t="shared" ca="1" si="229"/>
        <v>-0.50098270157752811</v>
      </c>
      <c r="Q2515" s="4">
        <f t="shared" ca="1" si="230"/>
        <v>1938.4415328650794</v>
      </c>
      <c r="R2515" s="4">
        <f t="shared" ca="1" si="231"/>
        <v>14.771488865079391</v>
      </c>
      <c r="S2515" s="4">
        <f t="shared" ca="1" si="232"/>
        <v>7.5662935851783377</v>
      </c>
    </row>
    <row r="2516" spans="15:19" x14ac:dyDescent="0.2">
      <c r="O2516" s="4">
        <f t="shared" ca="1" si="228"/>
        <v>0.57966066351283796</v>
      </c>
      <c r="P2516" s="4">
        <f t="shared" ca="1" si="229"/>
        <v>0.20102545135731295</v>
      </c>
      <c r="Q2516" s="4">
        <f t="shared" ca="1" si="230"/>
        <v>1917.1742270403756</v>
      </c>
      <c r="R2516" s="4">
        <f t="shared" ca="1" si="231"/>
        <v>-6.4958169596243351</v>
      </c>
      <c r="S2516" s="4">
        <f t="shared" ca="1" si="232"/>
        <v>-3.2710696251958984</v>
      </c>
    </row>
    <row r="2517" spans="15:19" x14ac:dyDescent="0.2">
      <c r="O2517" s="4">
        <f t="shared" ca="1" si="228"/>
        <v>0.62261216607507786</v>
      </c>
      <c r="P2517" s="4">
        <f t="shared" ca="1" si="229"/>
        <v>0.31234852225064763</v>
      </c>
      <c r="Q2517" s="4">
        <f t="shared" ca="1" si="230"/>
        <v>1913.8016995502946</v>
      </c>
      <c r="R2517" s="4">
        <f t="shared" ca="1" si="231"/>
        <v>-9.8683444497053188</v>
      </c>
      <c r="S2517" s="4">
        <f t="shared" ca="1" si="232"/>
        <v>-4.9558105000212125</v>
      </c>
    </row>
    <row r="2518" spans="15:19" x14ac:dyDescent="0.2">
      <c r="O2518" s="4">
        <f t="shared" ca="1" si="228"/>
        <v>0.38584981624784376</v>
      </c>
      <c r="P2518" s="4">
        <f t="shared" ca="1" si="229"/>
        <v>-0.29015242253902507</v>
      </c>
      <c r="Q2518" s="4">
        <f t="shared" ca="1" si="230"/>
        <v>1932.0544389222607</v>
      </c>
      <c r="R2518" s="4">
        <f t="shared" ca="1" si="231"/>
        <v>8.3843949222607534</v>
      </c>
      <c r="S2518" s="4">
        <f t="shared" ca="1" si="232"/>
        <v>4.2728790182722642</v>
      </c>
    </row>
    <row r="2519" spans="15:19" x14ac:dyDescent="0.2">
      <c r="O2519" s="4">
        <f t="shared" ca="1" si="228"/>
        <v>0.48818147529652289</v>
      </c>
      <c r="P2519" s="4">
        <f t="shared" ca="1" si="229"/>
        <v>-2.9628982713884748E-2</v>
      </c>
      <c r="Q2519" s="4">
        <f t="shared" ca="1" si="230"/>
        <v>1924.161892879737</v>
      </c>
      <c r="R2519" s="4">
        <f t="shared" ca="1" si="231"/>
        <v>0.49184887973706282</v>
      </c>
      <c r="S2519" s="4">
        <f t="shared" ca="1" si="232"/>
        <v>0.24907719681838253</v>
      </c>
    </row>
    <row r="2520" spans="15:19" x14ac:dyDescent="0.2">
      <c r="O2520" s="4">
        <f t="shared" ca="1" si="228"/>
        <v>0.21060850706635503</v>
      </c>
      <c r="P2520" s="4">
        <f t="shared" ca="1" si="229"/>
        <v>-0.80431164481469186</v>
      </c>
      <c r="Q2520" s="4">
        <f t="shared" ca="1" si="230"/>
        <v>1947.6308697329487</v>
      </c>
      <c r="R2520" s="4">
        <f t="shared" ca="1" si="231"/>
        <v>23.960825732948706</v>
      </c>
      <c r="S2520" s="4">
        <f t="shared" ca="1" si="232"/>
        <v>12.36291174010965</v>
      </c>
    </row>
    <row r="2521" spans="15:19" x14ac:dyDescent="0.2">
      <c r="O2521" s="4">
        <f t="shared" ca="1" si="228"/>
        <v>0.31106513978864259</v>
      </c>
      <c r="P2521" s="4">
        <f t="shared" ca="1" si="229"/>
        <v>-0.49283344129139078</v>
      </c>
      <c r="Q2521" s="4">
        <f t="shared" ca="1" si="230"/>
        <v>1938.1946513865298</v>
      </c>
      <c r="R2521" s="4">
        <f t="shared" ca="1" si="231"/>
        <v>14.524607386529851</v>
      </c>
      <c r="S2521" s="4">
        <f t="shared" ca="1" si="232"/>
        <v>7.4383755678011561</v>
      </c>
    </row>
    <row r="2522" spans="15:19" x14ac:dyDescent="0.2">
      <c r="O2522" s="4">
        <f t="shared" ca="1" si="228"/>
        <v>8.7840560599851125E-2</v>
      </c>
      <c r="P2522" s="4">
        <f t="shared" ca="1" si="229"/>
        <v>-1.3541732183444659</v>
      </c>
      <c r="Q2522" s="4">
        <f t="shared" ca="1" si="230"/>
        <v>1964.2889016897316</v>
      </c>
      <c r="R2522" s="4">
        <f t="shared" ca="1" si="231"/>
        <v>40.618857689731612</v>
      </c>
      <c r="S2522" s="4">
        <f t="shared" ca="1" si="232"/>
        <v>21.233283716573105</v>
      </c>
    </row>
    <row r="2523" spans="15:19" x14ac:dyDescent="0.2">
      <c r="O2523" s="4">
        <f t="shared" ca="1" si="228"/>
        <v>0.13275647480445241</v>
      </c>
      <c r="P2523" s="4">
        <f t="shared" ca="1" si="229"/>
        <v>-1.1134552681983365</v>
      </c>
      <c r="Q2523" s="4">
        <f t="shared" ca="1" si="230"/>
        <v>1956.99636207769</v>
      </c>
      <c r="R2523" s="4">
        <f t="shared" ca="1" si="231"/>
        <v>33.326318077690075</v>
      </c>
      <c r="S2523" s="4">
        <f t="shared" ca="1" si="232"/>
        <v>17.322217419150785</v>
      </c>
    </row>
    <row r="2524" spans="15:19" x14ac:dyDescent="0.2">
      <c r="O2524" s="4">
        <f t="shared" ca="1" si="228"/>
        <v>0.59056402734470848</v>
      </c>
      <c r="P2524" s="4">
        <f t="shared" ca="1" si="229"/>
        <v>0.22899610261803932</v>
      </c>
      <c r="Q2524" s="4">
        <f t="shared" ca="1" si="230"/>
        <v>1916.3268574023007</v>
      </c>
      <c r="R2524" s="4">
        <f t="shared" ca="1" si="231"/>
        <v>-7.3431865976992867</v>
      </c>
      <c r="S2524" s="4">
        <f t="shared" ca="1" si="232"/>
        <v>-3.6952428362676568</v>
      </c>
    </row>
    <row r="2525" spans="15:19" x14ac:dyDescent="0.2">
      <c r="O2525" s="4">
        <f t="shared" ca="1" si="228"/>
        <v>0.4604424516163993</v>
      </c>
      <c r="P2525" s="4">
        <f t="shared" ca="1" si="229"/>
        <v>-9.9319113293694389E-2</v>
      </c>
      <c r="Q2525" s="4">
        <f t="shared" ca="1" si="230"/>
        <v>1926.2731522914808</v>
      </c>
      <c r="R2525" s="4">
        <f t="shared" ca="1" si="231"/>
        <v>2.6031082914807939</v>
      </c>
      <c r="S2525" s="4">
        <f t="shared" ca="1" si="232"/>
        <v>1.3204772857529998</v>
      </c>
    </row>
    <row r="2526" spans="15:19" x14ac:dyDescent="0.2">
      <c r="O2526" s="4">
        <f t="shared" ca="1" si="228"/>
        <v>0.74114365638874724</v>
      </c>
      <c r="P2526" s="4">
        <f t="shared" ca="1" si="229"/>
        <v>0.64687524697073484</v>
      </c>
      <c r="Q2526" s="4">
        <f t="shared" ca="1" si="230"/>
        <v>1903.6672272775502</v>
      </c>
      <c r="R2526" s="4">
        <f t="shared" ca="1" si="231"/>
        <v>-20.002816722449779</v>
      </c>
      <c r="S2526" s="4">
        <f t="shared" ca="1" si="232"/>
        <v>-9.9627481930393458</v>
      </c>
    </row>
    <row r="2527" spans="15:19" x14ac:dyDescent="0.2">
      <c r="O2527" s="4">
        <f t="shared" ca="1" si="228"/>
        <v>0.7087624153282841</v>
      </c>
      <c r="P2527" s="4">
        <f t="shared" ca="1" si="229"/>
        <v>0.54977286947286264</v>
      </c>
      <c r="Q2527" s="4">
        <f t="shared" ca="1" si="230"/>
        <v>1906.6089394926003</v>
      </c>
      <c r="R2527" s="4">
        <f t="shared" ca="1" si="231"/>
        <v>-17.061104507399705</v>
      </c>
      <c r="S2527" s="4">
        <f t="shared" ca="1" si="232"/>
        <v>-8.5180079794222312</v>
      </c>
    </row>
    <row r="2528" spans="15:19" x14ac:dyDescent="0.2">
      <c r="O2528" s="4">
        <f t="shared" ca="1" si="228"/>
        <v>0.82979138474065495</v>
      </c>
      <c r="P2528" s="4">
        <f t="shared" ca="1" si="229"/>
        <v>0.95334118532938206</v>
      </c>
      <c r="Q2528" s="4">
        <f t="shared" ca="1" si="230"/>
        <v>1894.3828552817549</v>
      </c>
      <c r="R2528" s="4">
        <f t="shared" ca="1" si="231"/>
        <v>-29.287188718245034</v>
      </c>
      <c r="S2528" s="4">
        <f t="shared" ca="1" si="232"/>
        <v>-14.476302471612787</v>
      </c>
    </row>
    <row r="2529" spans="15:19" x14ac:dyDescent="0.2">
      <c r="O2529" s="4">
        <f t="shared" ca="1" si="228"/>
        <v>0.59562692789110572</v>
      </c>
      <c r="P2529" s="4">
        <f t="shared" ca="1" si="229"/>
        <v>0.24204390368268308</v>
      </c>
      <c r="Q2529" s="4">
        <f t="shared" ca="1" si="230"/>
        <v>1915.9315748483564</v>
      </c>
      <c r="R2529" s="4">
        <f t="shared" ca="1" si="231"/>
        <v>-7.7384691516435851</v>
      </c>
      <c r="S2529" s="4">
        <f t="shared" ca="1" si="232"/>
        <v>-3.8929119873704994</v>
      </c>
    </row>
    <row r="2530" spans="15:19" x14ac:dyDescent="0.2">
      <c r="O2530" s="4">
        <f t="shared" ca="1" si="228"/>
        <v>5.3128295130200232E-2</v>
      </c>
      <c r="P2530" s="4">
        <f t="shared" ca="1" si="229"/>
        <v>-1.615249891060476</v>
      </c>
      <c r="Q2530" s="4">
        <f t="shared" ca="1" si="230"/>
        <v>1972.1982078981207</v>
      </c>
      <c r="R2530" s="4">
        <f t="shared" ca="1" si="231"/>
        <v>48.528163898120738</v>
      </c>
      <c r="S2530" s="4">
        <f t="shared" ca="1" si="232"/>
        <v>25.524072874773495</v>
      </c>
    </row>
    <row r="2531" spans="15:19" x14ac:dyDescent="0.2">
      <c r="O2531" s="4">
        <f t="shared" ca="1" si="228"/>
        <v>0.8087711618206872</v>
      </c>
      <c r="P2531" s="4">
        <f t="shared" ca="1" si="229"/>
        <v>0.87337690241828281</v>
      </c>
      <c r="Q2531" s="4">
        <f t="shared" ca="1" si="230"/>
        <v>1896.8053696822128</v>
      </c>
      <c r="R2531" s="4">
        <f t="shared" ca="1" si="231"/>
        <v>-26.864674317787149</v>
      </c>
      <c r="S2531" s="4">
        <f t="shared" ca="1" si="232"/>
        <v>-13.305375050092179</v>
      </c>
    </row>
    <row r="2532" spans="15:19" x14ac:dyDescent="0.2">
      <c r="O2532" s="4">
        <f t="shared" ca="1" si="228"/>
        <v>0.76859533447024597</v>
      </c>
      <c r="P2532" s="4">
        <f t="shared" ca="1" si="229"/>
        <v>0.73422875491664252</v>
      </c>
      <c r="Q2532" s="4">
        <f t="shared" ca="1" si="230"/>
        <v>1901.0208566327369</v>
      </c>
      <c r="R2532" s="4">
        <f t="shared" ca="1" si="231"/>
        <v>-22.649187367263039</v>
      </c>
      <c r="S2532" s="4">
        <f t="shared" ca="1" si="232"/>
        <v>-11.256419804970147</v>
      </c>
    </row>
    <row r="2533" spans="15:19" x14ac:dyDescent="0.2">
      <c r="O2533" s="4">
        <f t="shared" ca="1" si="228"/>
        <v>0.77064030354334712</v>
      </c>
      <c r="P2533" s="4">
        <f t="shared" ca="1" si="229"/>
        <v>0.74095719787742653</v>
      </c>
      <c r="Q2533" s="4">
        <f t="shared" ca="1" si="230"/>
        <v>1900.8170187519761</v>
      </c>
      <c r="R2533" s="4">
        <f t="shared" ca="1" si="231"/>
        <v>-22.853025248023869</v>
      </c>
      <c r="S2533" s="4">
        <f t="shared" ca="1" si="232"/>
        <v>-11.355828939352328</v>
      </c>
    </row>
    <row r="2534" spans="15:19" x14ac:dyDescent="0.2">
      <c r="O2534" s="4">
        <f t="shared" ca="1" si="228"/>
        <v>0.13497193263023433</v>
      </c>
      <c r="P2534" s="4">
        <f t="shared" ca="1" si="229"/>
        <v>-1.1031918375477137</v>
      </c>
      <c r="Q2534" s="4">
        <f t="shared" ca="1" si="230"/>
        <v>1956.6854319018153</v>
      </c>
      <c r="R2534" s="4">
        <f t="shared" ca="1" si="231"/>
        <v>33.015387901815302</v>
      </c>
      <c r="S2534" s="4">
        <f t="shared" ca="1" si="232"/>
        <v>17.15642464183658</v>
      </c>
    </row>
    <row r="2535" spans="15:19" x14ac:dyDescent="0.2">
      <c r="O2535" s="4">
        <f t="shared" ca="1" si="228"/>
        <v>0.52948801587098104</v>
      </c>
      <c r="P2535" s="4">
        <f t="shared" ca="1" si="229"/>
        <v>7.398292957513708E-2</v>
      </c>
      <c r="Q2535" s="4">
        <f t="shared" ca="1" si="230"/>
        <v>1921.022974597206</v>
      </c>
      <c r="R2535" s="4">
        <f t="shared" ca="1" si="231"/>
        <v>-2.6470694027939317</v>
      </c>
      <c r="S2535" s="4">
        <f t="shared" ca="1" si="232"/>
        <v>-1.3371201350214985</v>
      </c>
    </row>
    <row r="2536" spans="15:19" x14ac:dyDescent="0.2">
      <c r="O2536" s="4">
        <f t="shared" ca="1" si="228"/>
        <v>0.17289468995415058</v>
      </c>
      <c r="P2536" s="4">
        <f t="shared" ca="1" si="229"/>
        <v>-0.9427879432544829</v>
      </c>
      <c r="Q2536" s="4">
        <f t="shared" ca="1" si="230"/>
        <v>1951.8260030459737</v>
      </c>
      <c r="R2536" s="4">
        <f t="shared" ca="1" si="231"/>
        <v>28.155959045973759</v>
      </c>
      <c r="S2536" s="4">
        <f t="shared" ca="1" si="232"/>
        <v>14.575529651411117</v>
      </c>
    </row>
    <row r="2537" spans="15:19" x14ac:dyDescent="0.2">
      <c r="O2537" s="4">
        <f t="shared" ca="1" si="228"/>
        <v>0.6787993264770642</v>
      </c>
      <c r="P2537" s="4">
        <f t="shared" ca="1" si="229"/>
        <v>0.46434394083682423</v>
      </c>
      <c r="Q2537" s="4">
        <f t="shared" ca="1" si="230"/>
        <v>1909.1970050926702</v>
      </c>
      <c r="R2537" s="4">
        <f t="shared" ca="1" si="231"/>
        <v>-14.473038907329737</v>
      </c>
      <c r="S2537" s="4">
        <f t="shared" ca="1" si="232"/>
        <v>-7.2411257322315716</v>
      </c>
    </row>
    <row r="2538" spans="15:19" x14ac:dyDescent="0.2">
      <c r="O2538" s="4">
        <f t="shared" ca="1" si="228"/>
        <v>0.43829140908516273</v>
      </c>
      <c r="P2538" s="4">
        <f t="shared" ca="1" si="229"/>
        <v>-0.15530253379747572</v>
      </c>
      <c r="Q2538" s="4">
        <f t="shared" ca="1" si="230"/>
        <v>1927.9691675300353</v>
      </c>
      <c r="R2538" s="4">
        <f t="shared" ca="1" si="231"/>
        <v>4.299123530035331</v>
      </c>
      <c r="S2538" s="4">
        <f t="shared" ca="1" si="232"/>
        <v>2.1837820823668999</v>
      </c>
    </row>
    <row r="2539" spans="15:19" x14ac:dyDescent="0.2">
      <c r="O2539" s="4">
        <f t="shared" ca="1" si="228"/>
        <v>0.31450047782281809</v>
      </c>
      <c r="P2539" s="4">
        <f t="shared" ca="1" si="229"/>
        <v>-0.4831334908029461</v>
      </c>
      <c r="Q2539" s="4">
        <f t="shared" ca="1" si="230"/>
        <v>1937.9007918171505</v>
      </c>
      <c r="R2539" s="4">
        <f t="shared" ca="1" si="231"/>
        <v>14.230747817150586</v>
      </c>
      <c r="S2539" s="4">
        <f t="shared" ca="1" si="232"/>
        <v>7.2861812257216485</v>
      </c>
    </row>
    <row r="2540" spans="15:19" x14ac:dyDescent="0.2">
      <c r="O2540" s="4">
        <f t="shared" ca="1" si="228"/>
        <v>9.9913513928211684E-2</v>
      </c>
      <c r="P2540" s="4">
        <f t="shared" ca="1" si="229"/>
        <v>-1.2820445240592446</v>
      </c>
      <c r="Q2540" s="4">
        <f t="shared" ca="1" si="230"/>
        <v>1962.1037660988025</v>
      </c>
      <c r="R2540" s="4">
        <f t="shared" ca="1" si="231"/>
        <v>38.433722098802491</v>
      </c>
      <c r="S2540" s="4">
        <f t="shared" ca="1" si="232"/>
        <v>20.056829292653674</v>
      </c>
    </row>
    <row r="2541" spans="15:19" x14ac:dyDescent="0.2">
      <c r="O2541" s="4">
        <f t="shared" ca="1" si="228"/>
        <v>0.55028234860684755</v>
      </c>
      <c r="P2541" s="4">
        <f t="shared" ca="1" si="229"/>
        <v>0.12637473191395707</v>
      </c>
      <c r="Q2541" s="4">
        <f t="shared" ca="1" si="230"/>
        <v>1919.435767271495</v>
      </c>
      <c r="R2541" s="4">
        <f t="shared" ca="1" si="231"/>
        <v>-4.2342767285049376</v>
      </c>
      <c r="S2541" s="4">
        <f t="shared" ca="1" si="232"/>
        <v>-2.1361339696930712</v>
      </c>
    </row>
    <row r="2542" spans="15:19" x14ac:dyDescent="0.2">
      <c r="O2542" s="4">
        <f t="shared" ca="1" si="228"/>
        <v>0.49340953626130579</v>
      </c>
      <c r="P2542" s="4">
        <f t="shared" ca="1" si="229"/>
        <v>-1.6520594213964263E-2</v>
      </c>
      <c r="Q2542" s="4">
        <f t="shared" ca="1" si="230"/>
        <v>1923.7647748321313</v>
      </c>
      <c r="R2542" s="4">
        <f t="shared" ca="1" si="231"/>
        <v>9.4730832131290299E-2</v>
      </c>
      <c r="S2542" s="4">
        <f t="shared" ca="1" si="232"/>
        <v>4.7957328115366515E-2</v>
      </c>
    </row>
    <row r="2543" spans="15:19" x14ac:dyDescent="0.2">
      <c r="O2543" s="4">
        <f t="shared" ca="1" si="228"/>
        <v>0.62841378599770292</v>
      </c>
      <c r="P2543" s="4">
        <f t="shared" ca="1" si="229"/>
        <v>0.32765513677315405</v>
      </c>
      <c r="Q2543" s="4">
        <f t="shared" ca="1" si="230"/>
        <v>1913.3379863429334</v>
      </c>
      <c r="R2543" s="4">
        <f t="shared" ca="1" si="231"/>
        <v>-10.332057657066571</v>
      </c>
      <c r="S2543" s="4">
        <f t="shared" ca="1" si="232"/>
        <v>-5.1867335715105733</v>
      </c>
    </row>
    <row r="2544" spans="15:19" x14ac:dyDescent="0.2">
      <c r="O2544" s="4">
        <f t="shared" ca="1" si="228"/>
        <v>0.18760929421326078</v>
      </c>
      <c r="P2544" s="4">
        <f t="shared" ca="1" si="229"/>
        <v>-0.88674057393087236</v>
      </c>
      <c r="Q2544" s="4">
        <f t="shared" ca="1" si="230"/>
        <v>1950.1280504807614</v>
      </c>
      <c r="R2544" s="4">
        <f t="shared" ca="1" si="231"/>
        <v>26.458006480761469</v>
      </c>
      <c r="S2544" s="4">
        <f t="shared" ca="1" si="232"/>
        <v>13.678261119575581</v>
      </c>
    </row>
    <row r="2545" spans="15:19" x14ac:dyDescent="0.2">
      <c r="O2545" s="4">
        <f t="shared" ca="1" si="228"/>
        <v>0.62236693142308064</v>
      </c>
      <c r="P2545" s="4">
        <f t="shared" ca="1" si="229"/>
        <v>0.31170314558453122</v>
      </c>
      <c r="Q2545" s="4">
        <f t="shared" ca="1" si="230"/>
        <v>1913.8212512077405</v>
      </c>
      <c r="R2545" s="4">
        <f t="shared" ca="1" si="231"/>
        <v>-9.8487927922594736</v>
      </c>
      <c r="S2545" s="4">
        <f t="shared" ca="1" si="232"/>
        <v>-4.9460701858064571</v>
      </c>
    </row>
    <row r="2546" spans="15:19" x14ac:dyDescent="0.2">
      <c r="O2546" s="4">
        <f t="shared" ca="1" si="228"/>
        <v>0.91349620690149169</v>
      </c>
      <c r="P2546" s="4">
        <f t="shared" ca="1" si="229"/>
        <v>1.3626032431150359</v>
      </c>
      <c r="Q2546" s="4">
        <f t="shared" ca="1" si="230"/>
        <v>1881.9842794119629</v>
      </c>
      <c r="R2546" s="4">
        <f t="shared" ca="1" si="231"/>
        <v>-41.685764588037046</v>
      </c>
      <c r="S2546" s="4">
        <f t="shared" ca="1" si="232"/>
        <v>-20.394376940327426</v>
      </c>
    </row>
    <row r="2547" spans="15:19" x14ac:dyDescent="0.2">
      <c r="O2547" s="4">
        <f t="shared" ca="1" si="228"/>
        <v>0.86284477172705421</v>
      </c>
      <c r="P2547" s="4">
        <f t="shared" ca="1" si="229"/>
        <v>1.0931898409573026</v>
      </c>
      <c r="Q2547" s="4">
        <f t="shared" ca="1" si="230"/>
        <v>1890.146146468647</v>
      </c>
      <c r="R2547" s="4">
        <f t="shared" ca="1" si="231"/>
        <v>-33.523897531352986</v>
      </c>
      <c r="S2547" s="4">
        <f t="shared" ca="1" si="232"/>
        <v>-16.512639850104335</v>
      </c>
    </row>
    <row r="2548" spans="15:19" x14ac:dyDescent="0.2">
      <c r="O2548" s="4">
        <f t="shared" ca="1" si="228"/>
        <v>0.46116164908496793</v>
      </c>
      <c r="P2548" s="4">
        <f t="shared" ca="1" si="229"/>
        <v>-9.7507601127475044E-2</v>
      </c>
      <c r="Q2548" s="4">
        <f t="shared" ca="1" si="230"/>
        <v>1926.2182726108344</v>
      </c>
      <c r="R2548" s="4">
        <f t="shared" ca="1" si="231"/>
        <v>2.5482286108344852</v>
      </c>
      <c r="S2548" s="4">
        <f t="shared" ca="1" si="232"/>
        <v>1.2925815738824742</v>
      </c>
    </row>
    <row r="2549" spans="15:19" x14ac:dyDescent="0.2">
      <c r="O2549" s="4">
        <f t="shared" ca="1" si="228"/>
        <v>4.7765612769956167E-2</v>
      </c>
      <c r="P2549" s="4">
        <f t="shared" ca="1" si="229"/>
        <v>-1.6669154135847779</v>
      </c>
      <c r="Q2549" s="4">
        <f t="shared" ca="1" si="230"/>
        <v>1973.7634126090973</v>
      </c>
      <c r="R2549" s="4">
        <f t="shared" ca="1" si="231"/>
        <v>50.093368609097297</v>
      </c>
      <c r="S2549" s="4">
        <f t="shared" ca="1" si="232"/>
        <v>26.379231211510355</v>
      </c>
    </row>
    <row r="2550" spans="15:19" x14ac:dyDescent="0.2">
      <c r="O2550" s="4">
        <f t="shared" ca="1" si="228"/>
        <v>0.7325240099051834</v>
      </c>
      <c r="P2550" s="4">
        <f t="shared" ca="1" si="229"/>
        <v>0.62046455908874742</v>
      </c>
      <c r="Q2550" s="4">
        <f t="shared" ca="1" si="230"/>
        <v>1904.4673378943269</v>
      </c>
      <c r="R2550" s="4">
        <f t="shared" ca="1" si="231"/>
        <v>-19.202706105673087</v>
      </c>
      <c r="S2550" s="4">
        <f t="shared" ca="1" si="232"/>
        <v>-9.570493616649939</v>
      </c>
    </row>
    <row r="2551" spans="15:19" x14ac:dyDescent="0.2">
      <c r="O2551" s="4">
        <f t="shared" ca="1" si="228"/>
        <v>0.43338022173460333</v>
      </c>
      <c r="P2551" s="4">
        <f t="shared" ca="1" si="229"/>
        <v>-0.1677748059431298</v>
      </c>
      <c r="Q2551" s="4">
        <f t="shared" ca="1" si="230"/>
        <v>1928.3470144609312</v>
      </c>
      <c r="R2551" s="4">
        <f t="shared" ca="1" si="231"/>
        <v>4.6769704609312157</v>
      </c>
      <c r="S2551" s="4">
        <f t="shared" ca="1" si="232"/>
        <v>2.3764325114999578</v>
      </c>
    </row>
    <row r="2552" spans="15:19" x14ac:dyDescent="0.2">
      <c r="O2552" s="4">
        <f t="shared" ca="1" si="228"/>
        <v>0.25944182522655757</v>
      </c>
      <c r="P2552" s="4">
        <f t="shared" ca="1" si="229"/>
        <v>-0.64506718141334363</v>
      </c>
      <c r="Q2552" s="4">
        <f t="shared" ca="1" si="230"/>
        <v>1942.8065657844993</v>
      </c>
      <c r="R2552" s="4">
        <f t="shared" ca="1" si="231"/>
        <v>19.136521784499337</v>
      </c>
      <c r="S2552" s="4">
        <f t="shared" ca="1" si="232"/>
        <v>9.8361661503110742</v>
      </c>
    </row>
    <row r="2553" spans="15:19" x14ac:dyDescent="0.2">
      <c r="O2553" s="4">
        <f t="shared" ca="1" si="228"/>
        <v>1.7980122141616373E-2</v>
      </c>
      <c r="P2553" s="4">
        <f t="shared" ca="1" si="229"/>
        <v>-2.0973766741377489</v>
      </c>
      <c r="Q2553" s="4">
        <f t="shared" ca="1" si="230"/>
        <v>1986.8042173855017</v>
      </c>
      <c r="R2553" s="4">
        <f t="shared" ca="1" si="231"/>
        <v>63.134173385501754</v>
      </c>
      <c r="S2553" s="4">
        <f t="shared" ca="1" si="232"/>
        <v>33.581683896065563</v>
      </c>
    </row>
    <row r="2554" spans="15:19" x14ac:dyDescent="0.2">
      <c r="O2554" s="4">
        <f t="shared" ca="1" si="228"/>
        <v>0.40066785958445728</v>
      </c>
      <c r="P2554" s="4">
        <f t="shared" ca="1" si="229"/>
        <v>-0.25161880853785329</v>
      </c>
      <c r="Q2554" s="4">
        <f t="shared" ca="1" si="230"/>
        <v>1930.8870647969488</v>
      </c>
      <c r="R2554" s="4">
        <f t="shared" ca="1" si="231"/>
        <v>7.2170207969488729</v>
      </c>
      <c r="S2554" s="4">
        <f t="shared" ca="1" si="232"/>
        <v>3.6745289764987499</v>
      </c>
    </row>
    <row r="2555" spans="15:19" x14ac:dyDescent="0.2">
      <c r="O2555" s="4">
        <f t="shared" ca="1" si="228"/>
        <v>0.24626535392506577</v>
      </c>
      <c r="P2555" s="4">
        <f t="shared" ca="1" si="229"/>
        <v>-0.68628927960282615</v>
      </c>
      <c r="Q2555" s="4">
        <f t="shared" ca="1" si="230"/>
        <v>1944.0553874189297</v>
      </c>
      <c r="R2555" s="4">
        <f t="shared" ca="1" si="231"/>
        <v>20.385343418929779</v>
      </c>
      <c r="S2555" s="4">
        <f t="shared" ca="1" si="232"/>
        <v>10.488423104879933</v>
      </c>
    </row>
    <row r="2556" spans="15:19" x14ac:dyDescent="0.2">
      <c r="O2556" s="4">
        <f t="shared" ca="1" si="228"/>
        <v>0.96177527645346339</v>
      </c>
      <c r="P2556" s="4">
        <f t="shared" ca="1" si="229"/>
        <v>1.7716694297224624</v>
      </c>
      <c r="Q2556" s="4">
        <f t="shared" ca="1" si="230"/>
        <v>1869.591637450819</v>
      </c>
      <c r="R2556" s="4">
        <f t="shared" ca="1" si="231"/>
        <v>-54.078406549180954</v>
      </c>
      <c r="S2556" s="4">
        <f t="shared" ca="1" si="232"/>
        <v>-26.184555698875393</v>
      </c>
    </row>
    <row r="2557" spans="15:19" x14ac:dyDescent="0.2">
      <c r="O2557" s="4">
        <f t="shared" ca="1" si="228"/>
        <v>0.17170346179935914</v>
      </c>
      <c r="P2557" s="4">
        <f t="shared" ca="1" si="229"/>
        <v>-0.94745510355881524</v>
      </c>
      <c r="Q2557" s="4">
        <f t="shared" ca="1" si="230"/>
        <v>1951.9673944601761</v>
      </c>
      <c r="R2557" s="4">
        <f t="shared" ca="1" si="231"/>
        <v>28.297350460176176</v>
      </c>
      <c r="S2557" s="4">
        <f t="shared" ca="1" si="232"/>
        <v>14.650352602156486</v>
      </c>
    </row>
    <row r="2558" spans="15:19" x14ac:dyDescent="0.2">
      <c r="O2558" s="4">
        <f t="shared" ca="1" si="228"/>
        <v>0.19378984814041622</v>
      </c>
      <c r="P2558" s="4">
        <f t="shared" ca="1" si="229"/>
        <v>-0.86401491669730579</v>
      </c>
      <c r="Q2558" s="4">
        <f t="shared" ca="1" si="230"/>
        <v>1949.4395777038671</v>
      </c>
      <c r="R2558" s="4">
        <f t="shared" ca="1" si="231"/>
        <v>25.769533703867182</v>
      </c>
      <c r="S2558" s="4">
        <f t="shared" ca="1" si="232"/>
        <v>13.315112370693868</v>
      </c>
    </row>
    <row r="2559" spans="15:19" x14ac:dyDescent="0.2">
      <c r="O2559" s="4">
        <f t="shared" ca="1" si="228"/>
        <v>0.6592243126038313</v>
      </c>
      <c r="P2559" s="4">
        <f t="shared" ca="1" si="229"/>
        <v>0.41034706052143871</v>
      </c>
      <c r="Q2559" s="4">
        <f t="shared" ca="1" si="230"/>
        <v>1910.8328381844176</v>
      </c>
      <c r="R2559" s="4">
        <f t="shared" ca="1" si="231"/>
        <v>-12.837205815582365</v>
      </c>
      <c r="S2559" s="4">
        <f t="shared" ca="1" si="232"/>
        <v>-6.4312368168572913</v>
      </c>
    </row>
    <row r="2560" spans="15:19" x14ac:dyDescent="0.2">
      <c r="O2560" s="4">
        <f t="shared" ca="1" si="228"/>
        <v>0.84261989976198337</v>
      </c>
      <c r="P2560" s="4">
        <f t="shared" ca="1" si="229"/>
        <v>1.0052838269991997</v>
      </c>
      <c r="Q2560" s="4">
        <f t="shared" ca="1" si="230"/>
        <v>1892.809255258569</v>
      </c>
      <c r="R2560" s="4">
        <f t="shared" ca="1" si="231"/>
        <v>-30.860788741430952</v>
      </c>
      <c r="S2560" s="4">
        <f t="shared" ca="1" si="232"/>
        <v>-15.234345578975343</v>
      </c>
    </row>
    <row r="2561" spans="15:19" x14ac:dyDescent="0.2">
      <c r="O2561" s="4">
        <f t="shared" ca="1" si="228"/>
        <v>0.1711252019211571</v>
      </c>
      <c r="P2561" s="4">
        <f t="shared" ca="1" si="229"/>
        <v>-0.94972814708860698</v>
      </c>
      <c r="Q2561" s="4">
        <f t="shared" ca="1" si="230"/>
        <v>1952.0362562129903</v>
      </c>
      <c r="R2561" s="4">
        <f t="shared" ca="1" si="231"/>
        <v>28.366212212990376</v>
      </c>
      <c r="S2561" s="4">
        <f t="shared" ca="1" si="232"/>
        <v>14.686799460605164</v>
      </c>
    </row>
    <row r="2562" spans="15:19" x14ac:dyDescent="0.2">
      <c r="O2562" s="4">
        <f t="shared" ca="1" si="228"/>
        <v>0.42861304313542992</v>
      </c>
      <c r="P2562" s="4">
        <f t="shared" ca="1" si="229"/>
        <v>-0.17990635470488878</v>
      </c>
      <c r="Q2562" s="4">
        <f t="shared" ca="1" si="230"/>
        <v>1928.7145391920403</v>
      </c>
      <c r="R2562" s="4">
        <f t="shared" ca="1" si="231"/>
        <v>5.0444951920403582</v>
      </c>
      <c r="S2562" s="4">
        <f t="shared" ca="1" si="232"/>
        <v>2.5639315393659521</v>
      </c>
    </row>
    <row r="2563" spans="15:19" x14ac:dyDescent="0.2">
      <c r="O2563" s="4">
        <f t="shared" ref="O2563:O2626" ca="1" si="233">RAND()</f>
        <v>0.91820252478450037</v>
      </c>
      <c r="P2563" s="4">
        <f t="shared" ref="P2563:P2626" ca="1" si="234">NORMSINV(O2563)</f>
        <v>1.3930821493050971</v>
      </c>
      <c r="Q2563" s="4">
        <f t="shared" ref="Q2563:Q2626" ca="1" si="235">$B$4*(1+$B$17-$B$6/SQRT(252)*P2563)</f>
        <v>1881.0609223021679</v>
      </c>
      <c r="R2563" s="4">
        <f t="shared" ref="R2563:R2626" ca="1" si="236">Q2563-$B$4</f>
        <v>-42.609121697832052</v>
      </c>
      <c r="S2563" s="4">
        <f t="shared" ref="S2563:S2626" ca="1" si="237">R2563*$B$12+0.5*$B$13*R2563^2</f>
        <v>-20.830105412359536</v>
      </c>
    </row>
    <row r="2564" spans="15:19" x14ac:dyDescent="0.2">
      <c r="O2564" s="4">
        <f t="shared" ca="1" si="233"/>
        <v>1.4076709474085347E-2</v>
      </c>
      <c r="P2564" s="4">
        <f t="shared" ca="1" si="234"/>
        <v>-2.1951419203632017</v>
      </c>
      <c r="Q2564" s="4">
        <f t="shared" ca="1" si="235"/>
        <v>1989.7660111792231</v>
      </c>
      <c r="R2564" s="4">
        <f t="shared" ca="1" si="236"/>
        <v>66.09596717922318</v>
      </c>
      <c r="S2564" s="4">
        <f t="shared" ca="1" si="237"/>
        <v>35.236779903808404</v>
      </c>
    </row>
    <row r="2565" spans="15:19" x14ac:dyDescent="0.2">
      <c r="O2565" s="4">
        <f t="shared" ca="1" si="233"/>
        <v>0.38695107950494412</v>
      </c>
      <c r="P2565" s="4">
        <f t="shared" ca="1" si="234"/>
        <v>-0.28727448324563742</v>
      </c>
      <c r="Q2565" s="4">
        <f t="shared" ca="1" si="235"/>
        <v>1931.9672518791449</v>
      </c>
      <c r="R2565" s="4">
        <f t="shared" ca="1" si="236"/>
        <v>8.2972078791449349</v>
      </c>
      <c r="S2565" s="4">
        <f t="shared" ca="1" si="237"/>
        <v>4.228152033588497</v>
      </c>
    </row>
    <row r="2566" spans="15:19" x14ac:dyDescent="0.2">
      <c r="O2566" s="4">
        <f t="shared" ca="1" si="233"/>
        <v>9.2634713852450479E-2</v>
      </c>
      <c r="P2566" s="4">
        <f t="shared" ca="1" si="234"/>
        <v>-1.3247037536338639</v>
      </c>
      <c r="Q2566" s="4">
        <f t="shared" ca="1" si="235"/>
        <v>1963.3961255647382</v>
      </c>
      <c r="R2566" s="4">
        <f t="shared" ca="1" si="236"/>
        <v>39.726081564738251</v>
      </c>
      <c r="S2566" s="4">
        <f t="shared" ca="1" si="237"/>
        <v>20.75215260416212</v>
      </c>
    </row>
    <row r="2567" spans="15:19" x14ac:dyDescent="0.2">
      <c r="O2567" s="4">
        <f t="shared" ca="1" si="233"/>
        <v>0.97803064084013147</v>
      </c>
      <c r="P2567" s="4">
        <f t="shared" ca="1" si="234"/>
        <v>2.0146749524689049</v>
      </c>
      <c r="Q2567" s="4">
        <f t="shared" ca="1" si="235"/>
        <v>1862.2297959284167</v>
      </c>
      <c r="R2567" s="4">
        <f t="shared" ca="1" si="236"/>
        <v>-61.440248071583255</v>
      </c>
      <c r="S2567" s="4">
        <f t="shared" ca="1" si="237"/>
        <v>-29.565008092939316</v>
      </c>
    </row>
    <row r="2568" spans="15:19" x14ac:dyDescent="0.2">
      <c r="O2568" s="4">
        <f t="shared" ca="1" si="233"/>
        <v>0.37361723845032357</v>
      </c>
      <c r="P2568" s="4">
        <f t="shared" ca="1" si="234"/>
        <v>-0.3222880610791366</v>
      </c>
      <c r="Q2568" s="4">
        <f t="shared" ca="1" si="235"/>
        <v>1933.0279866650433</v>
      </c>
      <c r="R2568" s="4">
        <f t="shared" ca="1" si="236"/>
        <v>9.3579426650433106</v>
      </c>
      <c r="S2568" s="4">
        <f t="shared" ca="1" si="237"/>
        <v>4.7727297333867167</v>
      </c>
    </row>
    <row r="2569" spans="15:19" x14ac:dyDescent="0.2">
      <c r="O2569" s="4">
        <f t="shared" ca="1" si="233"/>
        <v>0.61344297342691445</v>
      </c>
      <c r="P2569" s="4">
        <f t="shared" ca="1" si="234"/>
        <v>0.28830399005549384</v>
      </c>
      <c r="Q2569" s="4">
        <f t="shared" ca="1" si="235"/>
        <v>1914.5301275855936</v>
      </c>
      <c r="R2569" s="4">
        <f t="shared" ca="1" si="236"/>
        <v>-9.1399164144063434</v>
      </c>
      <c r="S2569" s="4">
        <f t="shared" ca="1" si="237"/>
        <v>-4.5927094352760944</v>
      </c>
    </row>
    <row r="2570" spans="15:19" x14ac:dyDescent="0.2">
      <c r="O2570" s="4">
        <f t="shared" ca="1" si="233"/>
        <v>0.51219478293733278</v>
      </c>
      <c r="P2570" s="4">
        <f t="shared" ca="1" si="234"/>
        <v>3.0572549641871078E-2</v>
      </c>
      <c r="Q2570" s="4">
        <f t="shared" ca="1" si="235"/>
        <v>1922.3380901299072</v>
      </c>
      <c r="R2570" s="4">
        <f t="shared" ca="1" si="236"/>
        <v>-1.3319538700927751</v>
      </c>
      <c r="S2570" s="4">
        <f t="shared" ca="1" si="237"/>
        <v>-0.67352591343713231</v>
      </c>
    </row>
    <row r="2571" spans="15:19" x14ac:dyDescent="0.2">
      <c r="O2571" s="4">
        <f t="shared" ca="1" si="233"/>
        <v>7.7314489346718585E-2</v>
      </c>
      <c r="P2571" s="4">
        <f t="shared" ca="1" si="234"/>
        <v>-1.4233698126466712</v>
      </c>
      <c r="Q2571" s="4">
        <f t="shared" ca="1" si="235"/>
        <v>1966.3852094418573</v>
      </c>
      <c r="R2571" s="4">
        <f t="shared" ca="1" si="236"/>
        <v>42.71516544185738</v>
      </c>
      <c r="S2571" s="4">
        <f t="shared" ca="1" si="237"/>
        <v>22.365567686932192</v>
      </c>
    </row>
    <row r="2572" spans="15:19" x14ac:dyDescent="0.2">
      <c r="O2572" s="4">
        <f t="shared" ca="1" si="233"/>
        <v>0.16067039317164156</v>
      </c>
      <c r="P2572" s="4">
        <f t="shared" ca="1" si="234"/>
        <v>-0.9917063626941206</v>
      </c>
      <c r="Q2572" s="4">
        <f t="shared" ca="1" si="235"/>
        <v>1953.3079843909686</v>
      </c>
      <c r="R2572" s="4">
        <f t="shared" ca="1" si="236"/>
        <v>29.637940390968652</v>
      </c>
      <c r="S2572" s="4">
        <f t="shared" ca="1" si="237"/>
        <v>15.360588391956405</v>
      </c>
    </row>
    <row r="2573" spans="15:19" x14ac:dyDescent="0.2">
      <c r="O2573" s="4">
        <f t="shared" ca="1" si="233"/>
        <v>4.3965413740828518E-2</v>
      </c>
      <c r="P2573" s="4">
        <f t="shared" ca="1" si="234"/>
        <v>-1.7064150660426614</v>
      </c>
      <c r="Q2573" s="4">
        <f t="shared" ca="1" si="235"/>
        <v>1974.9600528265637</v>
      </c>
      <c r="R2573" s="4">
        <f t="shared" ca="1" si="236"/>
        <v>51.290008826563735</v>
      </c>
      <c r="S2573" s="4">
        <f t="shared" ca="1" si="237"/>
        <v>27.034367615712302</v>
      </c>
    </row>
    <row r="2574" spans="15:19" x14ac:dyDescent="0.2">
      <c r="O2574" s="4">
        <f t="shared" ca="1" si="233"/>
        <v>0.82021799369561355</v>
      </c>
      <c r="P2574" s="4">
        <f t="shared" ca="1" si="234"/>
        <v>0.91619617258212305</v>
      </c>
      <c r="Q2574" s="4">
        <f t="shared" ca="1" si="235"/>
        <v>1895.5081617937319</v>
      </c>
      <c r="R2574" s="4">
        <f t="shared" ca="1" si="236"/>
        <v>-28.161882206268047</v>
      </c>
      <c r="S2574" s="4">
        <f t="shared" ca="1" si="237"/>
        <v>-13.932977428414011</v>
      </c>
    </row>
    <row r="2575" spans="15:19" x14ac:dyDescent="0.2">
      <c r="O2575" s="4">
        <f t="shared" ca="1" si="233"/>
        <v>0.79924130346114641</v>
      </c>
      <c r="P2575" s="4">
        <f t="shared" ca="1" si="234"/>
        <v>0.8389143169991542</v>
      </c>
      <c r="Q2575" s="4">
        <f t="shared" ca="1" si="235"/>
        <v>1897.8494121773811</v>
      </c>
      <c r="R2575" s="4">
        <f t="shared" ca="1" si="236"/>
        <v>-25.820631822618907</v>
      </c>
      <c r="S2575" s="4">
        <f t="shared" ca="1" si="237"/>
        <v>-12.79926163983218</v>
      </c>
    </row>
    <row r="2576" spans="15:19" x14ac:dyDescent="0.2">
      <c r="O2576" s="4">
        <f t="shared" ca="1" si="233"/>
        <v>0.80929998701221906</v>
      </c>
      <c r="P2576" s="4">
        <f t="shared" ca="1" si="234"/>
        <v>0.87531961193183461</v>
      </c>
      <c r="Q2576" s="4">
        <f t="shared" ca="1" si="235"/>
        <v>1896.7465153837543</v>
      </c>
      <c r="R2576" s="4">
        <f t="shared" ca="1" si="236"/>
        <v>-26.923528616245676</v>
      </c>
      <c r="S2576" s="4">
        <f t="shared" ca="1" si="237"/>
        <v>-13.333879026850312</v>
      </c>
    </row>
    <row r="2577" spans="15:19" x14ac:dyDescent="0.2">
      <c r="O2577" s="4">
        <f t="shared" ca="1" si="233"/>
        <v>9.483626909295817E-2</v>
      </c>
      <c r="P2577" s="4">
        <f t="shared" ca="1" si="234"/>
        <v>-1.3115484438919878</v>
      </c>
      <c r="Q2577" s="4">
        <f t="shared" ca="1" si="235"/>
        <v>1962.9975860401908</v>
      </c>
      <c r="R2577" s="4">
        <f t="shared" ca="1" si="236"/>
        <v>39.327542040190792</v>
      </c>
      <c r="S2577" s="4">
        <f t="shared" ca="1" si="237"/>
        <v>20.537582872772724</v>
      </c>
    </row>
    <row r="2578" spans="15:19" x14ac:dyDescent="0.2">
      <c r="O2578" s="4">
        <f t="shared" ca="1" si="233"/>
        <v>0.63971177601018758</v>
      </c>
      <c r="P2578" s="4">
        <f t="shared" ca="1" si="234"/>
        <v>0.35768848955991556</v>
      </c>
      <c r="Q2578" s="4">
        <f t="shared" ca="1" si="235"/>
        <v>1912.4281272537094</v>
      </c>
      <c r="R2578" s="4">
        <f t="shared" ca="1" si="236"/>
        <v>-11.241916746290599</v>
      </c>
      <c r="S2578" s="4">
        <f t="shared" ca="1" si="237"/>
        <v>-5.6393226799909488</v>
      </c>
    </row>
    <row r="2579" spans="15:19" x14ac:dyDescent="0.2">
      <c r="O2579" s="4">
        <f t="shared" ca="1" si="233"/>
        <v>0.16482568407082898</v>
      </c>
      <c r="P2579" s="4">
        <f t="shared" ca="1" si="234"/>
        <v>-0.97481634446183074</v>
      </c>
      <c r="Q2579" s="4">
        <f t="shared" ca="1" si="235"/>
        <v>1952.7963020385214</v>
      </c>
      <c r="R2579" s="4">
        <f t="shared" ca="1" si="236"/>
        <v>29.126258038521428</v>
      </c>
      <c r="S2579" s="4">
        <f t="shared" ca="1" si="237"/>
        <v>15.089329770206426</v>
      </c>
    </row>
    <row r="2580" spans="15:19" x14ac:dyDescent="0.2">
      <c r="O2580" s="4">
        <f t="shared" ca="1" si="233"/>
        <v>0.66562219061058148</v>
      </c>
      <c r="P2580" s="4">
        <f t="shared" ca="1" si="234"/>
        <v>0.42785647283685413</v>
      </c>
      <c r="Q2580" s="4">
        <f t="shared" ca="1" si="235"/>
        <v>1910.3023913157224</v>
      </c>
      <c r="R2580" s="4">
        <f t="shared" ca="1" si="236"/>
        <v>-13.367652684277573</v>
      </c>
      <c r="S2580" s="4">
        <f t="shared" ca="1" si="237"/>
        <v>-6.6940958391600347</v>
      </c>
    </row>
    <row r="2581" spans="15:19" x14ac:dyDescent="0.2">
      <c r="O2581" s="4">
        <f t="shared" ca="1" si="233"/>
        <v>0.90280135014588925</v>
      </c>
      <c r="P2581" s="4">
        <f t="shared" ca="1" si="234"/>
        <v>1.29768005616573</v>
      </c>
      <c r="Q2581" s="4">
        <f t="shared" ca="1" si="235"/>
        <v>1883.9511244780679</v>
      </c>
      <c r="R2581" s="4">
        <f t="shared" ca="1" si="236"/>
        <v>-39.718919521932094</v>
      </c>
      <c r="S2581" s="4">
        <f t="shared" ca="1" si="237"/>
        <v>-19.463916719892179</v>
      </c>
    </row>
    <row r="2582" spans="15:19" x14ac:dyDescent="0.2">
      <c r="O2582" s="4">
        <f t="shared" ca="1" si="233"/>
        <v>0.67883322492001397</v>
      </c>
      <c r="P2582" s="4">
        <f t="shared" ca="1" si="234"/>
        <v>0.46443858623328438</v>
      </c>
      <c r="Q2582" s="4">
        <f t="shared" ca="1" si="235"/>
        <v>1909.1941378145866</v>
      </c>
      <c r="R2582" s="4">
        <f t="shared" ca="1" si="236"/>
        <v>-14.475906185413351</v>
      </c>
      <c r="S2582" s="4">
        <f t="shared" ca="1" si="237"/>
        <v>-7.2425433878331011</v>
      </c>
    </row>
    <row r="2583" spans="15:19" x14ac:dyDescent="0.2">
      <c r="O2583" s="4">
        <f t="shared" ca="1" si="233"/>
        <v>0.29468849975870581</v>
      </c>
      <c r="P2583" s="4">
        <f t="shared" ca="1" si="234"/>
        <v>-0.53973905885397</v>
      </c>
      <c r="Q2583" s="4">
        <f t="shared" ca="1" si="235"/>
        <v>1939.6156549880261</v>
      </c>
      <c r="R2583" s="4">
        <f t="shared" ca="1" si="236"/>
        <v>15.945610988026147</v>
      </c>
      <c r="S2583" s="4">
        <f t="shared" ca="1" si="237"/>
        <v>8.1753269108800914</v>
      </c>
    </row>
    <row r="2584" spans="15:19" x14ac:dyDescent="0.2">
      <c r="O2584" s="4">
        <f t="shared" ca="1" si="233"/>
        <v>0.28117691702928971</v>
      </c>
      <c r="P2584" s="4">
        <f t="shared" ca="1" si="234"/>
        <v>-0.57934881453880227</v>
      </c>
      <c r="Q2584" s="4">
        <f t="shared" ca="1" si="235"/>
        <v>1940.8156307778643</v>
      </c>
      <c r="R2584" s="4">
        <f t="shared" ca="1" si="236"/>
        <v>17.14558677786431</v>
      </c>
      <c r="S2584" s="4">
        <f t="shared" ca="1" si="237"/>
        <v>8.7989305731285139</v>
      </c>
    </row>
    <row r="2585" spans="15:19" x14ac:dyDescent="0.2">
      <c r="O2585" s="4">
        <f t="shared" ca="1" si="233"/>
        <v>0.91960381552438653</v>
      </c>
      <c r="P2585" s="4">
        <f t="shared" ca="1" si="234"/>
        <v>1.4024116081539222</v>
      </c>
      <c r="Q2585" s="4">
        <f t="shared" ca="1" si="235"/>
        <v>1880.7782867605615</v>
      </c>
      <c r="R2585" s="4">
        <f t="shared" ca="1" si="236"/>
        <v>-42.891757239438448</v>
      </c>
      <c r="S2585" s="4">
        <f t="shared" ca="1" si="237"/>
        <v>-20.963341225027563</v>
      </c>
    </row>
    <row r="2586" spans="15:19" x14ac:dyDescent="0.2">
      <c r="O2586" s="4">
        <f t="shared" ca="1" si="233"/>
        <v>0.24501680499557865</v>
      </c>
      <c r="P2586" s="4">
        <f t="shared" ca="1" si="234"/>
        <v>-0.69025536790461084</v>
      </c>
      <c r="Q2586" s="4">
        <f t="shared" ca="1" si="235"/>
        <v>1944.1755398879418</v>
      </c>
      <c r="R2586" s="4">
        <f t="shared" ca="1" si="236"/>
        <v>20.505495887941834</v>
      </c>
      <c r="S2586" s="4">
        <f t="shared" ca="1" si="237"/>
        <v>10.551245447759491</v>
      </c>
    </row>
    <row r="2587" spans="15:19" x14ac:dyDescent="0.2">
      <c r="O2587" s="4">
        <f t="shared" ca="1" si="233"/>
        <v>0.93825068751210006</v>
      </c>
      <c r="P2587" s="4">
        <f t="shared" ca="1" si="234"/>
        <v>1.5402532890384362</v>
      </c>
      <c r="Q2587" s="4">
        <f t="shared" ca="1" si="235"/>
        <v>1876.6023791581972</v>
      </c>
      <c r="R2587" s="4">
        <f t="shared" ca="1" si="236"/>
        <v>-47.067664841802753</v>
      </c>
      <c r="S2587" s="4">
        <f t="shared" ca="1" si="237"/>
        <v>-22.924306021000209</v>
      </c>
    </row>
    <row r="2588" spans="15:19" x14ac:dyDescent="0.2">
      <c r="O2588" s="4">
        <f t="shared" ca="1" si="233"/>
        <v>0.35558881082308469</v>
      </c>
      <c r="P2588" s="4">
        <f t="shared" ca="1" si="234"/>
        <v>-0.37027496993868153</v>
      </c>
      <c r="Q2588" s="4">
        <f t="shared" ca="1" si="235"/>
        <v>1934.4817479383728</v>
      </c>
      <c r="R2588" s="4">
        <f t="shared" ca="1" si="236"/>
        <v>10.81170393837283</v>
      </c>
      <c r="S2588" s="4">
        <f t="shared" ca="1" si="237"/>
        <v>5.5205739526363491</v>
      </c>
    </row>
    <row r="2589" spans="15:19" x14ac:dyDescent="0.2">
      <c r="O2589" s="4">
        <f t="shared" ca="1" si="233"/>
        <v>0.3536184773715858</v>
      </c>
      <c r="P2589" s="4">
        <f t="shared" ca="1" si="234"/>
        <v>-0.3755695191050456</v>
      </c>
      <c r="Q2589" s="4">
        <f t="shared" ca="1" si="235"/>
        <v>1934.642146070295</v>
      </c>
      <c r="R2589" s="4">
        <f t="shared" ca="1" si="236"/>
        <v>10.972102070295023</v>
      </c>
      <c r="S2589" s="4">
        <f t="shared" ca="1" si="237"/>
        <v>5.6031913912687754</v>
      </c>
    </row>
    <row r="2590" spans="15:19" x14ac:dyDescent="0.2">
      <c r="O2590" s="4">
        <f t="shared" ca="1" si="233"/>
        <v>0.73055449511297244</v>
      </c>
      <c r="P2590" s="4">
        <f t="shared" ca="1" si="234"/>
        <v>0.61449086190971303</v>
      </c>
      <c r="Q2590" s="4">
        <f t="shared" ca="1" si="235"/>
        <v>1904.6483107851398</v>
      </c>
      <c r="R2590" s="4">
        <f t="shared" ca="1" si="236"/>
        <v>-19.021733214860205</v>
      </c>
      <c r="S2590" s="4">
        <f t="shared" ca="1" si="237"/>
        <v>-9.4816993036075417</v>
      </c>
    </row>
    <row r="2591" spans="15:19" x14ac:dyDescent="0.2">
      <c r="O2591" s="4">
        <f t="shared" ca="1" si="233"/>
        <v>1.8382342831273712E-2</v>
      </c>
      <c r="P2591" s="4">
        <f t="shared" ca="1" si="234"/>
        <v>-2.0883676238757678</v>
      </c>
      <c r="Q2591" s="4">
        <f t="shared" ca="1" si="235"/>
        <v>1986.5312886078079</v>
      </c>
      <c r="R2591" s="4">
        <f t="shared" ca="1" si="236"/>
        <v>62.861244607807976</v>
      </c>
      <c r="S2591" s="4">
        <f t="shared" ca="1" si="237"/>
        <v>33.429526470367328</v>
      </c>
    </row>
    <row r="2592" spans="15:19" x14ac:dyDescent="0.2">
      <c r="O2592" s="4">
        <f t="shared" ca="1" si="233"/>
        <v>0.90285847612953429</v>
      </c>
      <c r="P2592" s="4">
        <f t="shared" ca="1" si="234"/>
        <v>1.2980124764430094</v>
      </c>
      <c r="Q2592" s="4">
        <f t="shared" ca="1" si="235"/>
        <v>1883.941053820527</v>
      </c>
      <c r="R2592" s="4">
        <f t="shared" ca="1" si="236"/>
        <v>-39.72899017947293</v>
      </c>
      <c r="S2592" s="4">
        <f t="shared" ca="1" si="237"/>
        <v>-19.468688892268275</v>
      </c>
    </row>
    <row r="2593" spans="15:19" x14ac:dyDescent="0.2">
      <c r="O2593" s="4">
        <f t="shared" ca="1" si="233"/>
        <v>0.73006243563701578</v>
      </c>
      <c r="P2593" s="4">
        <f t="shared" ca="1" si="234"/>
        <v>0.61300183147063914</v>
      </c>
      <c r="Q2593" s="4">
        <f t="shared" ca="1" si="235"/>
        <v>1904.69342089618</v>
      </c>
      <c r="R2593" s="4">
        <f t="shared" ca="1" si="236"/>
        <v>-18.976623103819975</v>
      </c>
      <c r="S2593" s="4">
        <f t="shared" ca="1" si="237"/>
        <v>-9.4595618850098919</v>
      </c>
    </row>
    <row r="2594" spans="15:19" x14ac:dyDescent="0.2">
      <c r="O2594" s="4">
        <f t="shared" ca="1" si="233"/>
        <v>0.26948636205052345</v>
      </c>
      <c r="P2594" s="4">
        <f t="shared" ca="1" si="234"/>
        <v>-0.61436717144298159</v>
      </c>
      <c r="Q2594" s="4">
        <f t="shared" ca="1" si="235"/>
        <v>1941.8765103454969</v>
      </c>
      <c r="R2594" s="4">
        <f t="shared" ca="1" si="236"/>
        <v>18.206466345496892</v>
      </c>
      <c r="S2594" s="4">
        <f t="shared" ca="1" si="237"/>
        <v>9.3512250359685662</v>
      </c>
    </row>
    <row r="2595" spans="15:19" x14ac:dyDescent="0.2">
      <c r="O2595" s="4">
        <f t="shared" ca="1" si="233"/>
        <v>0.58831300183039803</v>
      </c>
      <c r="P2595" s="4">
        <f t="shared" ca="1" si="234"/>
        <v>0.22320752401646607</v>
      </c>
      <c r="Q2595" s="4">
        <f t="shared" ca="1" si="235"/>
        <v>1916.5022221340282</v>
      </c>
      <c r="R2595" s="4">
        <f t="shared" ca="1" si="236"/>
        <v>-7.1678218659717459</v>
      </c>
      <c r="S2595" s="4">
        <f t="shared" ca="1" si="237"/>
        <v>-3.6075073682225254</v>
      </c>
    </row>
    <row r="2596" spans="15:19" x14ac:dyDescent="0.2">
      <c r="O2596" s="4">
        <f t="shared" ca="1" si="233"/>
        <v>0.98167675855834968</v>
      </c>
      <c r="P2596" s="4">
        <f t="shared" ca="1" si="234"/>
        <v>2.0896807997418039</v>
      </c>
      <c r="Q2596" s="4">
        <f t="shared" ca="1" si="235"/>
        <v>1859.9574971154686</v>
      </c>
      <c r="R2596" s="4">
        <f t="shared" ca="1" si="236"/>
        <v>-63.712546884531321</v>
      </c>
      <c r="S2596" s="4">
        <f t="shared" ca="1" si="237"/>
        <v>-30.599503811479082</v>
      </c>
    </row>
    <row r="2597" spans="15:19" x14ac:dyDescent="0.2">
      <c r="O2597" s="4">
        <f t="shared" ca="1" si="233"/>
        <v>0.4849432449220854</v>
      </c>
      <c r="P2597" s="4">
        <f t="shared" ca="1" si="234"/>
        <v>-3.7750652569296869E-2</v>
      </c>
      <c r="Q2597" s="4">
        <f t="shared" ca="1" si="235"/>
        <v>1924.4079385074128</v>
      </c>
      <c r="R2597" s="4">
        <f t="shared" ca="1" si="236"/>
        <v>0.7378945074128751</v>
      </c>
      <c r="S2597" s="4">
        <f t="shared" ca="1" si="237"/>
        <v>0.3737510716916882</v>
      </c>
    </row>
    <row r="2598" spans="15:19" x14ac:dyDescent="0.2">
      <c r="O2598" s="4">
        <f t="shared" ca="1" si="233"/>
        <v>0.62378823642336423</v>
      </c>
      <c r="P2598" s="4">
        <f t="shared" ca="1" si="234"/>
        <v>0.31544536525453215</v>
      </c>
      <c r="Q2598" s="4">
        <f t="shared" ca="1" si="235"/>
        <v>1913.7078808289884</v>
      </c>
      <c r="R2598" s="4">
        <f t="shared" ca="1" si="236"/>
        <v>-9.9621631710115253</v>
      </c>
      <c r="S2598" s="4">
        <f t="shared" ca="1" si="237"/>
        <v>-5.0025451144421185</v>
      </c>
    </row>
    <row r="2599" spans="15:19" x14ac:dyDescent="0.2">
      <c r="O2599" s="4">
        <f t="shared" ca="1" si="233"/>
        <v>4.9946196821341049E-2</v>
      </c>
      <c r="P2599" s="4">
        <f t="shared" ca="1" si="234"/>
        <v>-1.6453755248886381</v>
      </c>
      <c r="Q2599" s="4">
        <f t="shared" ca="1" si="235"/>
        <v>1973.1108626373971</v>
      </c>
      <c r="R2599" s="4">
        <f t="shared" ca="1" si="236"/>
        <v>49.440818637397115</v>
      </c>
      <c r="S2599" s="4">
        <f t="shared" ca="1" si="237"/>
        <v>26.022464458241959</v>
      </c>
    </row>
    <row r="2600" spans="15:19" x14ac:dyDescent="0.2">
      <c r="O2600" s="4">
        <f t="shared" ca="1" si="233"/>
        <v>0.53184610283717959</v>
      </c>
      <c r="P2600" s="4">
        <f t="shared" ca="1" si="234"/>
        <v>7.9911310244093856E-2</v>
      </c>
      <c r="Q2600" s="4">
        <f t="shared" ca="1" si="235"/>
        <v>1920.8433745680543</v>
      </c>
      <c r="R2600" s="4">
        <f t="shared" ca="1" si="236"/>
        <v>-2.8266694319456747</v>
      </c>
      <c r="S2600" s="4">
        <f t="shared" ca="1" si="237"/>
        <v>-1.427635245841435</v>
      </c>
    </row>
    <row r="2601" spans="15:19" x14ac:dyDescent="0.2">
      <c r="O2601" s="4">
        <f t="shared" ca="1" si="233"/>
        <v>0.39762415154564046</v>
      </c>
      <c r="P2601" s="4">
        <f t="shared" ca="1" si="234"/>
        <v>-0.25950152816539168</v>
      </c>
      <c r="Q2601" s="4">
        <f t="shared" ca="1" si="235"/>
        <v>1931.1258714380804</v>
      </c>
      <c r="R2601" s="4">
        <f t="shared" ca="1" si="236"/>
        <v>7.455827438080405</v>
      </c>
      <c r="S2601" s="4">
        <f t="shared" ca="1" si="237"/>
        <v>3.7968415971494944</v>
      </c>
    </row>
    <row r="2602" spans="15:19" x14ac:dyDescent="0.2">
      <c r="O2602" s="4">
        <f t="shared" ca="1" si="233"/>
        <v>0.74068318156724555</v>
      </c>
      <c r="P2602" s="4">
        <f t="shared" ca="1" si="234"/>
        <v>0.6454530461675253</v>
      </c>
      <c r="Q2602" s="4">
        <f t="shared" ca="1" si="235"/>
        <v>1903.7103127877392</v>
      </c>
      <c r="R2602" s="4">
        <f t="shared" ca="1" si="236"/>
        <v>-19.959731212260749</v>
      </c>
      <c r="S2602" s="4">
        <f t="shared" ca="1" si="237"/>
        <v>-9.9416387803103454</v>
      </c>
    </row>
    <row r="2603" spans="15:19" x14ac:dyDescent="0.2">
      <c r="O2603" s="4">
        <f t="shared" ca="1" si="233"/>
        <v>0.34257973674700426</v>
      </c>
      <c r="P2603" s="4">
        <f t="shared" ca="1" si="234"/>
        <v>-0.40543270692578387</v>
      </c>
      <c r="Q2603" s="4">
        <f t="shared" ca="1" si="235"/>
        <v>1935.5468500194286</v>
      </c>
      <c r="R2603" s="4">
        <f t="shared" ca="1" si="236"/>
        <v>11.876806019428614</v>
      </c>
      <c r="S2603" s="4">
        <f t="shared" ca="1" si="237"/>
        <v>6.0695761222439071</v>
      </c>
    </row>
    <row r="2604" spans="15:19" x14ac:dyDescent="0.2">
      <c r="O2604" s="4">
        <f t="shared" ca="1" si="233"/>
        <v>0.214587356887743</v>
      </c>
      <c r="P2604" s="4">
        <f t="shared" ca="1" si="234"/>
        <v>-0.79060468208230872</v>
      </c>
      <c r="Q2604" s="4">
        <f t="shared" ca="1" si="235"/>
        <v>1947.2156179055467</v>
      </c>
      <c r="R2604" s="4">
        <f t="shared" ca="1" si="236"/>
        <v>23.545573905546689</v>
      </c>
      <c r="S2604" s="4">
        <f t="shared" ca="1" si="237"/>
        <v>12.144676894561988</v>
      </c>
    </row>
    <row r="2605" spans="15:19" x14ac:dyDescent="0.2">
      <c r="O2605" s="4">
        <f t="shared" ca="1" si="233"/>
        <v>0.4300002176169776</v>
      </c>
      <c r="P2605" s="4">
        <f t="shared" ca="1" si="234"/>
        <v>-0.17637361074526314</v>
      </c>
      <c r="Q2605" s="4">
        <f t="shared" ca="1" si="235"/>
        <v>1928.6075148706338</v>
      </c>
      <c r="R2605" s="4">
        <f t="shared" ca="1" si="236"/>
        <v>4.9374708706338879</v>
      </c>
      <c r="S2605" s="4">
        <f t="shared" ca="1" si="237"/>
        <v>2.5093199021724559</v>
      </c>
    </row>
    <row r="2606" spans="15:19" x14ac:dyDescent="0.2">
      <c r="O2606" s="4">
        <f t="shared" ca="1" si="233"/>
        <v>7.1680268282135806E-2</v>
      </c>
      <c r="P2606" s="4">
        <f t="shared" ca="1" si="234"/>
        <v>-1.4633905735403623</v>
      </c>
      <c r="Q2606" s="4">
        <f t="shared" ca="1" si="235"/>
        <v>1967.5976366162504</v>
      </c>
      <c r="R2606" s="4">
        <f t="shared" ca="1" si="236"/>
        <v>43.927592616250422</v>
      </c>
      <c r="S2606" s="4">
        <f t="shared" ca="1" si="237"/>
        <v>23.022072020220445</v>
      </c>
    </row>
    <row r="2607" spans="15:19" x14ac:dyDescent="0.2">
      <c r="O2607" s="4">
        <f t="shared" ca="1" si="233"/>
        <v>0.95366671042557161</v>
      </c>
      <c r="P2607" s="4">
        <f t="shared" ca="1" si="234"/>
        <v>1.6814961731243041</v>
      </c>
      <c r="Q2607" s="4">
        <f t="shared" ca="1" si="235"/>
        <v>1872.3234322558583</v>
      </c>
      <c r="R2607" s="4">
        <f t="shared" ca="1" si="236"/>
        <v>-51.346611744141683</v>
      </c>
      <c r="S2607" s="4">
        <f t="shared" ca="1" si="237"/>
        <v>-24.918930151408926</v>
      </c>
    </row>
    <row r="2608" spans="15:19" x14ac:dyDescent="0.2">
      <c r="O2608" s="4">
        <f t="shared" ca="1" si="233"/>
        <v>0.38214011144579063</v>
      </c>
      <c r="P2608" s="4">
        <f t="shared" ca="1" si="234"/>
        <v>-0.29986488139278406</v>
      </c>
      <c r="Q2608" s="4">
        <f t="shared" ca="1" si="235"/>
        <v>1932.348677432012</v>
      </c>
      <c r="R2608" s="4">
        <f t="shared" ca="1" si="236"/>
        <v>8.6786334320120204</v>
      </c>
      <c r="S2608" s="4">
        <f t="shared" ca="1" si="237"/>
        <v>4.4238691657156144</v>
      </c>
    </row>
    <row r="2609" spans="15:19" x14ac:dyDescent="0.2">
      <c r="O2609" s="4">
        <f t="shared" ca="1" si="233"/>
        <v>0.20302971439458661</v>
      </c>
      <c r="P2609" s="4">
        <f t="shared" ca="1" si="234"/>
        <v>-0.83084813057066442</v>
      </c>
      <c r="Q2609" s="4">
        <f t="shared" ca="1" si="235"/>
        <v>1948.4347913907327</v>
      </c>
      <c r="R2609" s="4">
        <f t="shared" ca="1" si="236"/>
        <v>24.764747390732737</v>
      </c>
      <c r="S2609" s="4">
        <f t="shared" ca="1" si="237"/>
        <v>12.785810287508786</v>
      </c>
    </row>
    <row r="2610" spans="15:19" x14ac:dyDescent="0.2">
      <c r="O2610" s="4">
        <f t="shared" ca="1" si="233"/>
        <v>0.58646817993076239</v>
      </c>
      <c r="P2610" s="4">
        <f t="shared" ca="1" si="234"/>
        <v>0.2184690888697427</v>
      </c>
      <c r="Q2610" s="4">
        <f t="shared" ca="1" si="235"/>
        <v>1916.6457728164164</v>
      </c>
      <c r="R2610" s="4">
        <f t="shared" ca="1" si="236"/>
        <v>-7.0242711835835507</v>
      </c>
      <c r="S2610" s="4">
        <f t="shared" ca="1" si="237"/>
        <v>-3.5356699226139834</v>
      </c>
    </row>
    <row r="2611" spans="15:19" x14ac:dyDescent="0.2">
      <c r="O2611" s="4">
        <f t="shared" ca="1" si="233"/>
        <v>0.59593196709470819</v>
      </c>
      <c r="P2611" s="4">
        <f t="shared" ca="1" si="234"/>
        <v>0.24283132768497687</v>
      </c>
      <c r="Q2611" s="4">
        <f t="shared" ca="1" si="235"/>
        <v>1915.9077198731679</v>
      </c>
      <c r="R2611" s="4">
        <f t="shared" ca="1" si="236"/>
        <v>-7.7623241268320271</v>
      </c>
      <c r="S2611" s="4">
        <f t="shared" ca="1" si="237"/>
        <v>-3.9048370870575475</v>
      </c>
    </row>
    <row r="2612" spans="15:19" x14ac:dyDescent="0.2">
      <c r="O2612" s="4">
        <f t="shared" ca="1" si="233"/>
        <v>1.6964326360964899E-2</v>
      </c>
      <c r="P2612" s="4">
        <f t="shared" ca="1" si="234"/>
        <v>-2.1209186046927111</v>
      </c>
      <c r="Q2612" s="4">
        <f t="shared" ca="1" si="235"/>
        <v>1987.5174191264261</v>
      </c>
      <c r="R2612" s="4">
        <f t="shared" ca="1" si="236"/>
        <v>63.847375126426186</v>
      </c>
      <c r="S2612" s="4">
        <f t="shared" ca="1" si="237"/>
        <v>33.979579201202831</v>
      </c>
    </row>
    <row r="2613" spans="15:19" x14ac:dyDescent="0.2">
      <c r="O2613" s="4">
        <f t="shared" ca="1" si="233"/>
        <v>0.34653138812287587</v>
      </c>
      <c r="P2613" s="4">
        <f t="shared" ca="1" si="234"/>
        <v>-0.39470206820232462</v>
      </c>
      <c r="Q2613" s="4">
        <f t="shared" ca="1" si="235"/>
        <v>1935.221765795731</v>
      </c>
      <c r="R2613" s="4">
        <f t="shared" ca="1" si="236"/>
        <v>11.551721795731055</v>
      </c>
      <c r="S2613" s="4">
        <f t="shared" ca="1" si="237"/>
        <v>5.9019149651745462</v>
      </c>
    </row>
    <row r="2614" spans="15:19" x14ac:dyDescent="0.2">
      <c r="O2614" s="4">
        <f t="shared" ca="1" si="233"/>
        <v>5.3838087542864455E-2</v>
      </c>
      <c r="P2614" s="4">
        <f t="shared" ca="1" si="234"/>
        <v>-1.6087264247251329</v>
      </c>
      <c r="Q2614" s="4">
        <f t="shared" ca="1" si="235"/>
        <v>1972.0005797751269</v>
      </c>
      <c r="R2614" s="4">
        <f t="shared" ca="1" si="236"/>
        <v>48.330535775126918</v>
      </c>
      <c r="S2614" s="4">
        <f t="shared" ca="1" si="237"/>
        <v>25.41623946282018</v>
      </c>
    </row>
    <row r="2615" spans="15:19" x14ac:dyDescent="0.2">
      <c r="O2615" s="4">
        <f t="shared" ca="1" si="233"/>
        <v>0.22791726961698322</v>
      </c>
      <c r="P2615" s="4">
        <f t="shared" ca="1" si="234"/>
        <v>-0.74572336929935346</v>
      </c>
      <c r="Q2615" s="4">
        <f t="shared" ca="1" si="235"/>
        <v>1945.8559405274723</v>
      </c>
      <c r="R2615" s="4">
        <f t="shared" ca="1" si="236"/>
        <v>22.185896527472323</v>
      </c>
      <c r="S2615" s="4">
        <f t="shared" ca="1" si="237"/>
        <v>11.431083304763993</v>
      </c>
    </row>
    <row r="2616" spans="15:19" x14ac:dyDescent="0.2">
      <c r="O2616" s="4">
        <f t="shared" ca="1" si="233"/>
        <v>0.23581217337861871</v>
      </c>
      <c r="P2616" s="4">
        <f t="shared" ca="1" si="234"/>
        <v>-0.71983864703346279</v>
      </c>
      <c r="Q2616" s="4">
        <f t="shared" ca="1" si="235"/>
        <v>1945.0717640156827</v>
      </c>
      <c r="R2616" s="4">
        <f t="shared" ca="1" si="236"/>
        <v>21.401720015682713</v>
      </c>
      <c r="S2616" s="4">
        <f t="shared" ca="1" si="237"/>
        <v>11.020211690664244</v>
      </c>
    </row>
    <row r="2617" spans="15:19" x14ac:dyDescent="0.2">
      <c r="O2617" s="4">
        <f t="shared" ca="1" si="233"/>
        <v>0.27579400820894573</v>
      </c>
      <c r="P2617" s="4">
        <f t="shared" ca="1" si="234"/>
        <v>-0.59538220692648092</v>
      </c>
      <c r="Q2617" s="4">
        <f t="shared" ca="1" si="235"/>
        <v>1941.3013616883827</v>
      </c>
      <c r="R2617" s="4">
        <f t="shared" ca="1" si="236"/>
        <v>17.631317688382751</v>
      </c>
      <c r="S2617" s="4">
        <f t="shared" ca="1" si="237"/>
        <v>9.051688619608262</v>
      </c>
    </row>
    <row r="2618" spans="15:19" x14ac:dyDescent="0.2">
      <c r="O2618" s="4">
        <f t="shared" ca="1" si="233"/>
        <v>0.7596451516193321</v>
      </c>
      <c r="P2618" s="4">
        <f t="shared" ca="1" si="234"/>
        <v>0.7051615654811616</v>
      </c>
      <c r="Q2618" s="4">
        <f t="shared" ca="1" si="235"/>
        <v>1901.9014458461309</v>
      </c>
      <c r="R2618" s="4">
        <f t="shared" ca="1" si="236"/>
        <v>-21.768598153869107</v>
      </c>
      <c r="S2618" s="4">
        <f t="shared" ca="1" si="237"/>
        <v>-10.826578953429834</v>
      </c>
    </row>
    <row r="2619" spans="15:19" x14ac:dyDescent="0.2">
      <c r="O2619" s="4">
        <f t="shared" ca="1" si="233"/>
        <v>0.32786136740934801</v>
      </c>
      <c r="P2619" s="4">
        <f t="shared" ca="1" si="234"/>
        <v>-0.44582628294291532</v>
      </c>
      <c r="Q2619" s="4">
        <f t="shared" ca="1" si="235"/>
        <v>1936.7705716114333</v>
      </c>
      <c r="R2619" s="4">
        <f t="shared" ca="1" si="236"/>
        <v>13.100527611433336</v>
      </c>
      <c r="S2619" s="4">
        <f t="shared" ca="1" si="237"/>
        <v>6.7014781723666506</v>
      </c>
    </row>
    <row r="2620" spans="15:19" x14ac:dyDescent="0.2">
      <c r="O2620" s="4">
        <f t="shared" ca="1" si="233"/>
        <v>5.3670317471357198E-2</v>
      </c>
      <c r="P2620" s="4">
        <f t="shared" ca="1" si="234"/>
        <v>-1.6102621664330552</v>
      </c>
      <c r="Q2620" s="4">
        <f t="shared" ca="1" si="235"/>
        <v>1972.047105001983</v>
      </c>
      <c r="R2620" s="4">
        <f t="shared" ca="1" si="236"/>
        <v>48.377061001983066</v>
      </c>
      <c r="S2620" s="4">
        <f t="shared" ca="1" si="237"/>
        <v>25.441622532386919</v>
      </c>
    </row>
    <row r="2621" spans="15:19" x14ac:dyDescent="0.2">
      <c r="O2621" s="4">
        <f t="shared" ca="1" si="233"/>
        <v>0.61115989338339471</v>
      </c>
      <c r="P2621" s="4">
        <f t="shared" ca="1" si="234"/>
        <v>0.28234339614467069</v>
      </c>
      <c r="Q2621" s="4">
        <f t="shared" ca="1" si="235"/>
        <v>1914.7107035134777</v>
      </c>
      <c r="R2621" s="4">
        <f t="shared" ca="1" si="236"/>
        <v>-8.959340486522251</v>
      </c>
      <c r="S2621" s="4">
        <f t="shared" ca="1" si="237"/>
        <v>-4.5026305521811212</v>
      </c>
    </row>
    <row r="2622" spans="15:19" x14ac:dyDescent="0.2">
      <c r="O2622" s="4">
        <f t="shared" ca="1" si="233"/>
        <v>0.6882252584415085</v>
      </c>
      <c r="P2622" s="4">
        <f t="shared" ca="1" si="234"/>
        <v>0.49082605091919856</v>
      </c>
      <c r="Q2622" s="4">
        <f t="shared" ca="1" si="235"/>
        <v>1908.3947307435037</v>
      </c>
      <c r="R2622" s="4">
        <f t="shared" ca="1" si="236"/>
        <v>-15.275313256496247</v>
      </c>
      <c r="S2622" s="4">
        <f t="shared" ca="1" si="237"/>
        <v>-7.6375296134887209</v>
      </c>
    </row>
    <row r="2623" spans="15:19" x14ac:dyDescent="0.2">
      <c r="O2623" s="4">
        <f t="shared" ca="1" si="233"/>
        <v>0.93382464881752014</v>
      </c>
      <c r="P2623" s="4">
        <f t="shared" ca="1" si="234"/>
        <v>1.5048964452856832</v>
      </c>
      <c r="Q2623" s="4">
        <f t="shared" ca="1" si="235"/>
        <v>1877.6735131698786</v>
      </c>
      <c r="R2623" s="4">
        <f t="shared" ca="1" si="236"/>
        <v>-45.996530830121401</v>
      </c>
      <c r="S2623" s="4">
        <f t="shared" ca="1" si="237"/>
        <v>-22.422665873022506</v>
      </c>
    </row>
    <row r="2624" spans="15:19" x14ac:dyDescent="0.2">
      <c r="O2624" s="4">
        <f t="shared" ca="1" si="233"/>
        <v>0.68737297596340419</v>
      </c>
      <c r="P2624" s="4">
        <f t="shared" ca="1" si="234"/>
        <v>0.48841764223296807</v>
      </c>
      <c r="Q2624" s="4">
        <f t="shared" ca="1" si="235"/>
        <v>1908.4676933777223</v>
      </c>
      <c r="R2624" s="4">
        <f t="shared" ca="1" si="236"/>
        <v>-15.202350622277663</v>
      </c>
      <c r="S2624" s="4">
        <f t="shared" ca="1" si="237"/>
        <v>-7.60150042569561</v>
      </c>
    </row>
    <row r="2625" spans="15:19" x14ac:dyDescent="0.2">
      <c r="O2625" s="4">
        <f t="shared" ca="1" si="233"/>
        <v>0.8905877870534743</v>
      </c>
      <c r="P2625" s="4">
        <f t="shared" ca="1" si="234"/>
        <v>1.2296600685122698</v>
      </c>
      <c r="Q2625" s="4">
        <f t="shared" ca="1" si="235"/>
        <v>1886.0117869840103</v>
      </c>
      <c r="R2625" s="4">
        <f t="shared" ca="1" si="236"/>
        <v>-37.658257015989648</v>
      </c>
      <c r="S2625" s="4">
        <f t="shared" ca="1" si="237"/>
        <v>-18.485695649639688</v>
      </c>
    </row>
    <row r="2626" spans="15:19" x14ac:dyDescent="0.2">
      <c r="O2626" s="4">
        <f t="shared" ca="1" si="233"/>
        <v>0.65925246846435182</v>
      </c>
      <c r="P2626" s="4">
        <f t="shared" ca="1" si="234"/>
        <v>0.4104238372947579</v>
      </c>
      <c r="Q2626" s="4">
        <f t="shared" ca="1" si="235"/>
        <v>1910.8305122354786</v>
      </c>
      <c r="R2626" s="4">
        <f t="shared" ca="1" si="236"/>
        <v>-12.839531764521325</v>
      </c>
      <c r="S2626" s="4">
        <f t="shared" ca="1" si="237"/>
        <v>-6.432389923686614</v>
      </c>
    </row>
    <row r="2627" spans="15:19" x14ac:dyDescent="0.2">
      <c r="O2627" s="4">
        <f t="shared" ref="O2627:O2690" ca="1" si="238">RAND()</f>
        <v>0.51060600626463604</v>
      </c>
      <c r="P2627" s="4">
        <f t="shared" ref="P2627:P2690" ca="1" si="239">NORMSINV(O2627)</f>
        <v>2.6588447615779692E-2</v>
      </c>
      <c r="Q2627" s="4">
        <f t="shared" ref="Q2627:Q2690" ca="1" si="240">$B$4*(1+$B$17-$B$6/SQRT(252)*P2627)</f>
        <v>1922.4587883238974</v>
      </c>
      <c r="R2627" s="4">
        <f t="shared" ref="R2627:R2690" ca="1" si="241">Q2627-$B$4</f>
        <v>-1.2112556761026099</v>
      </c>
      <c r="S2627" s="4">
        <f t="shared" ref="S2627:S2690" ca="1" si="242">R2627*$B$12+0.5*$B$13*R2627^2</f>
        <v>-0.6125522597067582</v>
      </c>
    </row>
    <row r="2628" spans="15:19" x14ac:dyDescent="0.2">
      <c r="O2628" s="4">
        <f t="shared" ca="1" si="238"/>
        <v>0.26800675730172474</v>
      </c>
      <c r="P2628" s="4">
        <f t="shared" ca="1" si="239"/>
        <v>-0.61885252757054299</v>
      </c>
      <c r="Q2628" s="4">
        <f t="shared" ca="1" si="240"/>
        <v>1942.012394010236</v>
      </c>
      <c r="R2628" s="4">
        <f t="shared" ca="1" si="241"/>
        <v>18.342350010236032</v>
      </c>
      <c r="S2628" s="4">
        <f t="shared" ca="1" si="242"/>
        <v>9.4220323413820246</v>
      </c>
    </row>
    <row r="2629" spans="15:19" x14ac:dyDescent="0.2">
      <c r="O2629" s="4">
        <f t="shared" ca="1" si="238"/>
        <v>0.17330205115321518</v>
      </c>
      <c r="P2629" s="4">
        <f t="shared" ca="1" si="239"/>
        <v>-0.94119663216659377</v>
      </c>
      <c r="Q2629" s="4">
        <f t="shared" ca="1" si="240"/>
        <v>1951.7777943472186</v>
      </c>
      <c r="R2629" s="4">
        <f t="shared" ca="1" si="241"/>
        <v>28.107750347218598</v>
      </c>
      <c r="S2629" s="4">
        <f t="shared" ca="1" si="242"/>
        <v>14.550021801245405</v>
      </c>
    </row>
    <row r="2630" spans="15:19" x14ac:dyDescent="0.2">
      <c r="O2630" s="4">
        <f t="shared" ca="1" si="238"/>
        <v>0.46312237325875849</v>
      </c>
      <c r="P2630" s="4">
        <f t="shared" ca="1" si="239"/>
        <v>-9.2570542996940175E-2</v>
      </c>
      <c r="Q2630" s="4">
        <f t="shared" ca="1" si="240"/>
        <v>1926.0687046539701</v>
      </c>
      <c r="R2630" s="4">
        <f t="shared" ca="1" si="241"/>
        <v>2.3986606539701825</v>
      </c>
      <c r="S2630" s="4">
        <f t="shared" ca="1" si="242"/>
        <v>1.2165676201730087</v>
      </c>
    </row>
    <row r="2631" spans="15:19" x14ac:dyDescent="0.2">
      <c r="O2631" s="4">
        <f t="shared" ca="1" si="238"/>
        <v>0.50266976149844578</v>
      </c>
      <c r="P2631" s="4">
        <f t="shared" ca="1" si="239"/>
        <v>6.6921496093608809E-3</v>
      </c>
      <c r="Q2631" s="4">
        <f t="shared" ca="1" si="240"/>
        <v>1923.0615457886261</v>
      </c>
      <c r="R2631" s="4">
        <f t="shared" ca="1" si="241"/>
        <v>-0.60849821137389881</v>
      </c>
      <c r="S2631" s="4">
        <f t="shared" ca="1" si="242"/>
        <v>-0.3078770292278879</v>
      </c>
    </row>
    <row r="2632" spans="15:19" x14ac:dyDescent="0.2">
      <c r="O2632" s="4">
        <f t="shared" ca="1" si="238"/>
        <v>0.44512971299064052</v>
      </c>
      <c r="P2632" s="4">
        <f t="shared" ca="1" si="239"/>
        <v>-0.13797594856987855</v>
      </c>
      <c r="Q2632" s="4">
        <f t="shared" ca="1" si="240"/>
        <v>1927.4442593998481</v>
      </c>
      <c r="R2632" s="4">
        <f t="shared" ca="1" si="241"/>
        <v>3.7742153998481172</v>
      </c>
      <c r="S2632" s="4">
        <f t="shared" ca="1" si="242"/>
        <v>1.9163433832529895</v>
      </c>
    </row>
    <row r="2633" spans="15:19" x14ac:dyDescent="0.2">
      <c r="O2633" s="4">
        <f t="shared" ca="1" si="238"/>
        <v>0.86974599344863035</v>
      </c>
      <c r="P2633" s="4">
        <f t="shared" ca="1" si="239"/>
        <v>1.1251912194855245</v>
      </c>
      <c r="Q2633" s="4">
        <f t="shared" ca="1" si="240"/>
        <v>1889.1766661269635</v>
      </c>
      <c r="R2633" s="4">
        <f t="shared" ca="1" si="241"/>
        <v>-34.493377873036479</v>
      </c>
      <c r="S2633" s="4">
        <f t="shared" ca="1" si="242"/>
        <v>-16.9765575757508</v>
      </c>
    </row>
    <row r="2634" spans="15:19" x14ac:dyDescent="0.2">
      <c r="O2634" s="4">
        <f t="shared" ca="1" si="238"/>
        <v>0.8181711471654215</v>
      </c>
      <c r="P2634" s="4">
        <f t="shared" ca="1" si="239"/>
        <v>0.90841745764568138</v>
      </c>
      <c r="Q2634" s="4">
        <f t="shared" ca="1" si="240"/>
        <v>1895.7438176173644</v>
      </c>
      <c r="R2634" s="4">
        <f t="shared" ca="1" si="241"/>
        <v>-27.926226382635605</v>
      </c>
      <c r="S2634" s="4">
        <f t="shared" ca="1" si="242"/>
        <v>-13.819066575451309</v>
      </c>
    </row>
    <row r="2635" spans="15:19" x14ac:dyDescent="0.2">
      <c r="O2635" s="4">
        <f t="shared" ca="1" si="238"/>
        <v>0.47777436514846805</v>
      </c>
      <c r="P2635" s="4">
        <f t="shared" ca="1" si="239"/>
        <v>-5.5740255233216747E-2</v>
      </c>
      <c r="Q2635" s="4">
        <f t="shared" ca="1" si="240"/>
        <v>1924.9529327213959</v>
      </c>
      <c r="R2635" s="4">
        <f t="shared" ca="1" si="241"/>
        <v>1.2828887213959206</v>
      </c>
      <c r="S2635" s="4">
        <f t="shared" ca="1" si="242"/>
        <v>0.65008079248918915</v>
      </c>
    </row>
    <row r="2636" spans="15:19" x14ac:dyDescent="0.2">
      <c r="O2636" s="4">
        <f t="shared" ca="1" si="238"/>
        <v>0.45395793809344642</v>
      </c>
      <c r="P2636" s="4">
        <f t="shared" ca="1" si="239"/>
        <v>-0.11566773768178334</v>
      </c>
      <c r="Q2636" s="4">
        <f t="shared" ca="1" si="240"/>
        <v>1926.768433141455</v>
      </c>
      <c r="R2636" s="4">
        <f t="shared" ca="1" si="241"/>
        <v>3.0983891414550726</v>
      </c>
      <c r="S2636" s="4">
        <f t="shared" ca="1" si="242"/>
        <v>1.5723428026169863</v>
      </c>
    </row>
    <row r="2637" spans="15:19" x14ac:dyDescent="0.2">
      <c r="O2637" s="4">
        <f t="shared" ca="1" si="238"/>
        <v>0.82341409382883302</v>
      </c>
      <c r="P2637" s="4">
        <f t="shared" ca="1" si="239"/>
        <v>0.92845459053798352</v>
      </c>
      <c r="Q2637" s="4">
        <f t="shared" ca="1" si="240"/>
        <v>1895.1367935660205</v>
      </c>
      <c r="R2637" s="4">
        <f t="shared" ca="1" si="241"/>
        <v>-28.533250433979447</v>
      </c>
      <c r="S2637" s="4">
        <f t="shared" ca="1" si="242"/>
        <v>-14.112396913498396</v>
      </c>
    </row>
    <row r="2638" spans="15:19" x14ac:dyDescent="0.2">
      <c r="O2638" s="4">
        <f t="shared" ca="1" si="238"/>
        <v>0.8074835736332826</v>
      </c>
      <c r="P2638" s="4">
        <f t="shared" ca="1" si="239"/>
        <v>0.86866049961108571</v>
      </c>
      <c r="Q2638" s="4">
        <f t="shared" ca="1" si="240"/>
        <v>1896.9482528958533</v>
      </c>
      <c r="R2638" s="4">
        <f t="shared" ca="1" si="241"/>
        <v>-26.721791104146632</v>
      </c>
      <c r="S2638" s="4">
        <f t="shared" ca="1" si="242"/>
        <v>-13.236162936653518</v>
      </c>
    </row>
    <row r="2639" spans="15:19" x14ac:dyDescent="0.2">
      <c r="O2639" s="4">
        <f t="shared" ca="1" si="238"/>
        <v>0.71429948654731434</v>
      </c>
      <c r="P2639" s="4">
        <f t="shared" ca="1" si="239"/>
        <v>0.56598934030782588</v>
      </c>
      <c r="Q2639" s="4">
        <f t="shared" ca="1" si="240"/>
        <v>1906.11766222865</v>
      </c>
      <c r="R2639" s="4">
        <f t="shared" ca="1" si="241"/>
        <v>-17.552381771349928</v>
      </c>
      <c r="S2639" s="4">
        <f t="shared" ca="1" si="242"/>
        <v>-8.7597752040113992</v>
      </c>
    </row>
    <row r="2640" spans="15:19" x14ac:dyDescent="0.2">
      <c r="O2640" s="4">
        <f t="shared" ca="1" si="238"/>
        <v>0.78983016615023949</v>
      </c>
      <c r="P2640" s="4">
        <f t="shared" ca="1" si="239"/>
        <v>0.80583209794383581</v>
      </c>
      <c r="Q2640" s="4">
        <f t="shared" ca="1" si="240"/>
        <v>1898.8516365348448</v>
      </c>
      <c r="R2640" s="4">
        <f t="shared" ca="1" si="241"/>
        <v>-24.818407465155133</v>
      </c>
      <c r="S2640" s="4">
        <f t="shared" ca="1" si="242"/>
        <v>-12.312585299908665</v>
      </c>
    </row>
    <row r="2641" spans="15:19" x14ac:dyDescent="0.2">
      <c r="O2641" s="4">
        <f t="shared" ca="1" si="238"/>
        <v>0.60151283957766022</v>
      </c>
      <c r="P2641" s="4">
        <f t="shared" ca="1" si="239"/>
        <v>0.25726485545919031</v>
      </c>
      <c r="Q2641" s="4">
        <f t="shared" ca="1" si="240"/>
        <v>1915.4704567900822</v>
      </c>
      <c r="R2641" s="4">
        <f t="shared" ca="1" si="241"/>
        <v>-8.1995872099178087</v>
      </c>
      <c r="S2641" s="4">
        <f t="shared" ca="1" si="242"/>
        <v>-4.1233427807941956</v>
      </c>
    </row>
    <row r="2642" spans="15:19" x14ac:dyDescent="0.2">
      <c r="O2642" s="4">
        <f t="shared" ca="1" si="238"/>
        <v>0.2092669974241812</v>
      </c>
      <c r="P2642" s="4">
        <f t="shared" ca="1" si="239"/>
        <v>-0.80896723188526021</v>
      </c>
      <c r="Q2642" s="4">
        <f t="shared" ca="1" si="240"/>
        <v>1947.7719105365484</v>
      </c>
      <c r="R2642" s="4">
        <f t="shared" ca="1" si="241"/>
        <v>24.101866536548414</v>
      </c>
      <c r="S2642" s="4">
        <f t="shared" ca="1" si="242"/>
        <v>12.437067417542126</v>
      </c>
    </row>
    <row r="2643" spans="15:19" x14ac:dyDescent="0.2">
      <c r="O2643" s="4">
        <f t="shared" ca="1" si="238"/>
        <v>0.41922139635621369</v>
      </c>
      <c r="P2643" s="4">
        <f t="shared" ca="1" si="239"/>
        <v>-0.20388573506067231</v>
      </c>
      <c r="Q2643" s="4">
        <f t="shared" ca="1" si="240"/>
        <v>1929.4409934552582</v>
      </c>
      <c r="R2643" s="4">
        <f t="shared" ca="1" si="241"/>
        <v>5.7709494552582328</v>
      </c>
      <c r="S2643" s="4">
        <f t="shared" ca="1" si="242"/>
        <v>2.9348681156892624</v>
      </c>
    </row>
    <row r="2644" spans="15:19" x14ac:dyDescent="0.2">
      <c r="O2644" s="4">
        <f t="shared" ca="1" si="238"/>
        <v>6.699785836726202E-2</v>
      </c>
      <c r="P2644" s="4">
        <f t="shared" ca="1" si="239"/>
        <v>-1.498529566720417</v>
      </c>
      <c r="Q2644" s="4">
        <f t="shared" ca="1" si="240"/>
        <v>1968.662170854504</v>
      </c>
      <c r="R2644" s="4">
        <f t="shared" ca="1" si="241"/>
        <v>44.992126854504022</v>
      </c>
      <c r="S2644" s="4">
        <f t="shared" ca="1" si="242"/>
        <v>23.599482072345694</v>
      </c>
    </row>
    <row r="2645" spans="15:19" x14ac:dyDescent="0.2">
      <c r="O2645" s="4">
        <f t="shared" ca="1" si="238"/>
        <v>0.92324684077476804</v>
      </c>
      <c r="P2645" s="4">
        <f t="shared" ca="1" si="239"/>
        <v>1.4272553051058294</v>
      </c>
      <c r="Q2645" s="4">
        <f t="shared" ca="1" si="240"/>
        <v>1880.0256480644387</v>
      </c>
      <c r="R2645" s="4">
        <f t="shared" ca="1" si="241"/>
        <v>-43.644395935561306</v>
      </c>
      <c r="S2645" s="4">
        <f t="shared" ca="1" si="242"/>
        <v>-21.317821700126565</v>
      </c>
    </row>
    <row r="2646" spans="15:19" x14ac:dyDescent="0.2">
      <c r="O2646" s="4">
        <f t="shared" ca="1" si="238"/>
        <v>0.94655085177024867</v>
      </c>
      <c r="P2646" s="4">
        <f t="shared" ca="1" si="239"/>
        <v>1.612292537443347</v>
      </c>
      <c r="Q2646" s="4">
        <f t="shared" ca="1" si="240"/>
        <v>1874.4199533262408</v>
      </c>
      <c r="R2646" s="4">
        <f t="shared" ca="1" si="241"/>
        <v>-49.250090673759132</v>
      </c>
      <c r="S2646" s="4">
        <f t="shared" ca="1" si="242"/>
        <v>-23.943502814513067</v>
      </c>
    </row>
    <row r="2647" spans="15:19" x14ac:dyDescent="0.2">
      <c r="O2647" s="4">
        <f t="shared" ca="1" si="238"/>
        <v>0.25109583757634379</v>
      </c>
      <c r="P2647" s="4">
        <f t="shared" ca="1" si="239"/>
        <v>-0.67104529463626594</v>
      </c>
      <c r="Q2647" s="4">
        <f t="shared" ca="1" si="240"/>
        <v>1943.5935715711855</v>
      </c>
      <c r="R2647" s="4">
        <f t="shared" ca="1" si="241"/>
        <v>19.923527571185559</v>
      </c>
      <c r="S2647" s="4">
        <f t="shared" ca="1" si="242"/>
        <v>10.247069693554026</v>
      </c>
    </row>
    <row r="2648" spans="15:19" x14ac:dyDescent="0.2">
      <c r="O2648" s="4">
        <f t="shared" ca="1" si="238"/>
        <v>0.20769422981646091</v>
      </c>
      <c r="P2648" s="4">
        <f t="shared" ca="1" si="239"/>
        <v>-0.81444780886868062</v>
      </c>
      <c r="Q2648" s="4">
        <f t="shared" ca="1" si="240"/>
        <v>1947.9379443729288</v>
      </c>
      <c r="R2648" s="4">
        <f t="shared" ca="1" si="241"/>
        <v>24.267900372928807</v>
      </c>
      <c r="S2648" s="4">
        <f t="shared" ca="1" si="242"/>
        <v>12.524384552068378</v>
      </c>
    </row>
    <row r="2649" spans="15:19" x14ac:dyDescent="0.2">
      <c r="O2649" s="4">
        <f t="shared" ca="1" si="238"/>
        <v>0.39007803186182388</v>
      </c>
      <c r="P2649" s="4">
        <f t="shared" ca="1" si="239"/>
        <v>-0.27911566242457964</v>
      </c>
      <c r="Q2649" s="4">
        <f t="shared" ca="1" si="240"/>
        <v>1931.7200807646145</v>
      </c>
      <c r="R2649" s="4">
        <f t="shared" ca="1" si="241"/>
        <v>8.0500367646145605</v>
      </c>
      <c r="S2649" s="4">
        <f t="shared" ca="1" si="242"/>
        <v>4.1013868040463546</v>
      </c>
    </row>
    <row r="2650" spans="15:19" x14ac:dyDescent="0.2">
      <c r="O2650" s="4">
        <f t="shared" ca="1" si="238"/>
        <v>0.91536663738441215</v>
      </c>
      <c r="P2650" s="4">
        <f t="shared" ca="1" si="239"/>
        <v>1.3745637765652581</v>
      </c>
      <c r="Q2650" s="4">
        <f t="shared" ca="1" si="240"/>
        <v>1881.6219355821243</v>
      </c>
      <c r="R2650" s="4">
        <f t="shared" ca="1" si="241"/>
        <v>-42.04810841787571</v>
      </c>
      <c r="S2650" s="4">
        <f t="shared" ca="1" si="242"/>
        <v>-20.565448271716811</v>
      </c>
    </row>
    <row r="2651" spans="15:19" x14ac:dyDescent="0.2">
      <c r="O2651" s="4">
        <f t="shared" ca="1" si="238"/>
        <v>0.64747574172790223</v>
      </c>
      <c r="P2651" s="4">
        <f t="shared" ca="1" si="239"/>
        <v>0.37851437568357377</v>
      </c>
      <c r="Q2651" s="4">
        <f t="shared" ca="1" si="240"/>
        <v>1911.7972079582414</v>
      </c>
      <c r="R2651" s="4">
        <f t="shared" ca="1" si="241"/>
        <v>-11.872836041758546</v>
      </c>
      <c r="S2651" s="4">
        <f t="shared" ca="1" si="242"/>
        <v>-5.9527636953728145</v>
      </c>
    </row>
    <row r="2652" spans="15:19" x14ac:dyDescent="0.2">
      <c r="O2652" s="4">
        <f t="shared" ca="1" si="238"/>
        <v>9.2529831143888241E-2</v>
      </c>
      <c r="P2652" s="4">
        <f t="shared" ca="1" si="239"/>
        <v>-1.3253362156497899</v>
      </c>
      <c r="Q2652" s="4">
        <f t="shared" ca="1" si="240"/>
        <v>1963.4152859734299</v>
      </c>
      <c r="R2652" s="4">
        <f t="shared" ca="1" si="241"/>
        <v>39.745241973429984</v>
      </c>
      <c r="S2652" s="4">
        <f t="shared" ca="1" si="242"/>
        <v>20.762471636263072</v>
      </c>
    </row>
    <row r="2653" spans="15:19" x14ac:dyDescent="0.2">
      <c r="O2653" s="4">
        <f t="shared" ca="1" si="238"/>
        <v>0.12026205993815064</v>
      </c>
      <c r="P2653" s="4">
        <f t="shared" ca="1" si="239"/>
        <v>-1.17367776439453</v>
      </c>
      <c r="Q2653" s="4">
        <f t="shared" ca="1" si="240"/>
        <v>1958.8207999261349</v>
      </c>
      <c r="R2653" s="4">
        <f t="shared" ca="1" si="241"/>
        <v>35.150755926134934</v>
      </c>
      <c r="S2653" s="4">
        <f t="shared" ca="1" si="242"/>
        <v>18.296621768134617</v>
      </c>
    </row>
    <row r="2654" spans="15:19" x14ac:dyDescent="0.2">
      <c r="O2654" s="4">
        <f t="shared" ca="1" si="238"/>
        <v>0.32356537162153443</v>
      </c>
      <c r="P2654" s="4">
        <f t="shared" ca="1" si="239"/>
        <v>-0.4577518346803553</v>
      </c>
      <c r="Q2654" s="4">
        <f t="shared" ca="1" si="240"/>
        <v>1937.1318556718365</v>
      </c>
      <c r="R2654" s="4">
        <f t="shared" ca="1" si="241"/>
        <v>13.461811671836585</v>
      </c>
      <c r="S2654" s="4">
        <f t="shared" ca="1" si="242"/>
        <v>6.8882701625787242</v>
      </c>
    </row>
    <row r="2655" spans="15:19" x14ac:dyDescent="0.2">
      <c r="O2655" s="4">
        <f t="shared" ca="1" si="238"/>
        <v>0.60121170791868039</v>
      </c>
      <c r="P2655" s="4">
        <f t="shared" ca="1" si="239"/>
        <v>0.25648471150567137</v>
      </c>
      <c r="Q2655" s="4">
        <f t="shared" ca="1" si="240"/>
        <v>1915.4940912165164</v>
      </c>
      <c r="R2655" s="4">
        <f t="shared" ca="1" si="241"/>
        <v>-8.1759527834835808</v>
      </c>
      <c r="S2655" s="4">
        <f t="shared" ca="1" si="242"/>
        <v>-4.1115363492119945</v>
      </c>
    </row>
    <row r="2656" spans="15:19" x14ac:dyDescent="0.2">
      <c r="O2656" s="4">
        <f t="shared" ca="1" si="238"/>
        <v>0.29442745771225165</v>
      </c>
      <c r="P2656" s="4">
        <f t="shared" ca="1" si="239"/>
        <v>-0.54049614992794304</v>
      </c>
      <c r="Q2656" s="4">
        <f t="shared" ca="1" si="240"/>
        <v>1939.6385910284978</v>
      </c>
      <c r="R2656" s="4">
        <f t="shared" ca="1" si="241"/>
        <v>15.968547028497824</v>
      </c>
      <c r="S2656" s="4">
        <f t="shared" ca="1" si="242"/>
        <v>8.1872353275542533</v>
      </c>
    </row>
    <row r="2657" spans="15:19" x14ac:dyDescent="0.2">
      <c r="O2657" s="4">
        <f t="shared" ca="1" si="238"/>
        <v>0.46103721839056711</v>
      </c>
      <c r="P2657" s="4">
        <f t="shared" ca="1" si="239"/>
        <v>-9.7820993685647312E-2</v>
      </c>
      <c r="Q2657" s="4">
        <f t="shared" ca="1" si="240"/>
        <v>1926.2277668244699</v>
      </c>
      <c r="R2657" s="4">
        <f t="shared" ca="1" si="241"/>
        <v>2.5577228244699199</v>
      </c>
      <c r="S2657" s="4">
        <f t="shared" ca="1" si="242"/>
        <v>1.2974073713119634</v>
      </c>
    </row>
    <row r="2658" spans="15:19" x14ac:dyDescent="0.2">
      <c r="O2658" s="4">
        <f t="shared" ca="1" si="238"/>
        <v>0.16119784865419806</v>
      </c>
      <c r="P2658" s="4">
        <f t="shared" ca="1" si="239"/>
        <v>-0.98954677304828997</v>
      </c>
      <c r="Q2658" s="4">
        <f t="shared" ca="1" si="240"/>
        <v>1953.242559718532</v>
      </c>
      <c r="R2658" s="4">
        <f t="shared" ca="1" si="241"/>
        <v>29.572515718532031</v>
      </c>
      <c r="S2658" s="4">
        <f t="shared" ca="1" si="242"/>
        <v>15.325892867120972</v>
      </c>
    </row>
    <row r="2659" spans="15:19" x14ac:dyDescent="0.2">
      <c r="O2659" s="4">
        <f t="shared" ca="1" si="238"/>
        <v>0.51690589146656529</v>
      </c>
      <c r="P2659" s="4">
        <f t="shared" ca="1" si="239"/>
        <v>4.2389476851024947E-2</v>
      </c>
      <c r="Q2659" s="4">
        <f t="shared" ca="1" si="240"/>
        <v>1921.9800968447657</v>
      </c>
      <c r="R2659" s="4">
        <f t="shared" ca="1" si="241"/>
        <v>-1.689947155234222</v>
      </c>
      <c r="S2659" s="4">
        <f t="shared" ca="1" si="242"/>
        <v>-0.85430524514421358</v>
      </c>
    </row>
    <row r="2660" spans="15:19" x14ac:dyDescent="0.2">
      <c r="O2660" s="4">
        <f t="shared" ca="1" si="238"/>
        <v>0.66317846074055098</v>
      </c>
      <c r="P2660" s="4">
        <f t="shared" ca="1" si="239"/>
        <v>0.42115338833806304</v>
      </c>
      <c r="Q2660" s="4">
        <f t="shared" ca="1" si="240"/>
        <v>1910.5054609630031</v>
      </c>
      <c r="R2660" s="4">
        <f t="shared" ca="1" si="241"/>
        <v>-13.164583036996873</v>
      </c>
      <c r="S2660" s="4">
        <f t="shared" ca="1" si="242"/>
        <v>-6.5934932395813375</v>
      </c>
    </row>
    <row r="2661" spans="15:19" x14ac:dyDescent="0.2">
      <c r="O2661" s="4">
        <f t="shared" ca="1" si="238"/>
        <v>0.18418095215165387</v>
      </c>
      <c r="P2661" s="4">
        <f t="shared" ca="1" si="239"/>
        <v>-0.89954600217045666</v>
      </c>
      <c r="Q2661" s="4">
        <f t="shared" ca="1" si="240"/>
        <v>1950.5159903607316</v>
      </c>
      <c r="R2661" s="4">
        <f t="shared" ca="1" si="241"/>
        <v>26.845946360731659</v>
      </c>
      <c r="S2661" s="4">
        <f t="shared" ca="1" si="242"/>
        <v>13.883057760881458</v>
      </c>
    </row>
    <row r="2662" spans="15:19" x14ac:dyDescent="0.2">
      <c r="O2662" s="4">
        <f t="shared" ca="1" si="238"/>
        <v>0.99715803161605288</v>
      </c>
      <c r="P2662" s="4">
        <f t="shared" ca="1" si="239"/>
        <v>2.7654784088069277</v>
      </c>
      <c r="Q2662" s="4">
        <f t="shared" ca="1" si="240"/>
        <v>1839.484238553576</v>
      </c>
      <c r="R2662" s="4">
        <f t="shared" ca="1" si="241"/>
        <v>-84.185805446423956</v>
      </c>
      <c r="S2662" s="4">
        <f t="shared" ca="1" si="242"/>
        <v>-39.730678004594864</v>
      </c>
    </row>
    <row r="2663" spans="15:19" x14ac:dyDescent="0.2">
      <c r="O2663" s="4">
        <f t="shared" ca="1" si="238"/>
        <v>0.43220410862383551</v>
      </c>
      <c r="P2663" s="4">
        <f t="shared" ca="1" si="239"/>
        <v>-0.17076542410334788</v>
      </c>
      <c r="Q2663" s="4">
        <f t="shared" ca="1" si="240"/>
        <v>1928.4376151053145</v>
      </c>
      <c r="R2663" s="4">
        <f t="shared" ca="1" si="241"/>
        <v>4.7675711053145733</v>
      </c>
      <c r="S2663" s="4">
        <f t="shared" ca="1" si="242"/>
        <v>2.4226437667383256</v>
      </c>
    </row>
    <row r="2664" spans="15:19" x14ac:dyDescent="0.2">
      <c r="O2664" s="4">
        <f t="shared" ca="1" si="238"/>
        <v>0.98385074967992547</v>
      </c>
      <c r="P2664" s="4">
        <f t="shared" ca="1" si="239"/>
        <v>2.1406967517388029</v>
      </c>
      <c r="Q2664" s="4">
        <f t="shared" ca="1" si="240"/>
        <v>1858.4119711147764</v>
      </c>
      <c r="R2664" s="4">
        <f t="shared" ca="1" si="241"/>
        <v>-65.258072885223555</v>
      </c>
      <c r="S2664" s="4">
        <f t="shared" ca="1" si="242"/>
        <v>-31.300724142127216</v>
      </c>
    </row>
    <row r="2665" spans="15:19" x14ac:dyDescent="0.2">
      <c r="O2665" s="4">
        <f t="shared" ca="1" si="238"/>
        <v>0.40573765432387554</v>
      </c>
      <c r="P2665" s="4">
        <f t="shared" ca="1" si="239"/>
        <v>-0.23852321919659975</v>
      </c>
      <c r="Q2665" s="4">
        <f t="shared" ca="1" si="240"/>
        <v>1930.4903344992865</v>
      </c>
      <c r="R2665" s="4">
        <f t="shared" ca="1" si="241"/>
        <v>6.820290499286557</v>
      </c>
      <c r="S2665" s="4">
        <f t="shared" ca="1" si="242"/>
        <v>3.4714332345039884</v>
      </c>
    </row>
    <row r="2666" spans="15:19" x14ac:dyDescent="0.2">
      <c r="O2666" s="4">
        <f t="shared" ca="1" si="238"/>
        <v>0.79088583805088386</v>
      </c>
      <c r="P2666" s="4">
        <f t="shared" ca="1" si="239"/>
        <v>0.80949874590167681</v>
      </c>
      <c r="Q2666" s="4">
        <f t="shared" ca="1" si="240"/>
        <v>1898.7405555977573</v>
      </c>
      <c r="R2666" s="4">
        <f t="shared" ca="1" si="241"/>
        <v>-24.929488402242669</v>
      </c>
      <c r="S2666" s="4">
        <f t="shared" ca="1" si="242"/>
        <v>-12.36656607628862</v>
      </c>
    </row>
    <row r="2667" spans="15:19" x14ac:dyDescent="0.2">
      <c r="O2667" s="4">
        <f t="shared" ca="1" si="238"/>
        <v>6.0639764269013963E-2</v>
      </c>
      <c r="P2667" s="4">
        <f t="shared" ca="1" si="239"/>
        <v>-1.5494252469630903</v>
      </c>
      <c r="Q2667" s="4">
        <f t="shared" ca="1" si="240"/>
        <v>1970.2040532277385</v>
      </c>
      <c r="R2667" s="4">
        <f t="shared" ca="1" si="241"/>
        <v>46.534009227738579</v>
      </c>
      <c r="S2667" s="4">
        <f t="shared" ca="1" si="242"/>
        <v>24.437444673697456</v>
      </c>
    </row>
    <row r="2668" spans="15:19" x14ac:dyDescent="0.2">
      <c r="O2668" s="4">
        <f t="shared" ca="1" si="238"/>
        <v>0.42270829271772947</v>
      </c>
      <c r="P2668" s="4">
        <f t="shared" ca="1" si="239"/>
        <v>-0.19496980583683413</v>
      </c>
      <c r="Q2668" s="4">
        <f t="shared" ca="1" si="240"/>
        <v>1929.1708857752801</v>
      </c>
      <c r="R2668" s="4">
        <f t="shared" ca="1" si="241"/>
        <v>5.5008417752801506</v>
      </c>
      <c r="S2668" s="4">
        <f t="shared" ca="1" si="242"/>
        <v>2.7968976005076494</v>
      </c>
    </row>
    <row r="2669" spans="15:19" x14ac:dyDescent="0.2">
      <c r="O2669" s="4">
        <f t="shared" ca="1" si="238"/>
        <v>0.58752572645429246</v>
      </c>
      <c r="P2669" s="4">
        <f t="shared" ca="1" si="239"/>
        <v>0.22118479605488628</v>
      </c>
      <c r="Q2669" s="4">
        <f t="shared" ca="1" si="240"/>
        <v>1916.5635005878173</v>
      </c>
      <c r="R2669" s="4">
        <f t="shared" ca="1" si="241"/>
        <v>-7.1065434121826456</v>
      </c>
      <c r="S2669" s="4">
        <f t="shared" ca="1" si="242"/>
        <v>-3.5768436826407908</v>
      </c>
    </row>
    <row r="2670" spans="15:19" x14ac:dyDescent="0.2">
      <c r="O2670" s="4">
        <f t="shared" ca="1" si="238"/>
        <v>0.58650916337856229</v>
      </c>
      <c r="P2670" s="4">
        <f t="shared" ca="1" si="239"/>
        <v>0.21857430142842232</v>
      </c>
      <c r="Q2670" s="4">
        <f t="shared" ca="1" si="240"/>
        <v>1916.6425854066226</v>
      </c>
      <c r="R2670" s="4">
        <f t="shared" ca="1" si="241"/>
        <v>-7.0274585933773324</v>
      </c>
      <c r="S2670" s="4">
        <f t="shared" ca="1" si="242"/>
        <v>-3.5372651886026563</v>
      </c>
    </row>
    <row r="2671" spans="15:19" x14ac:dyDescent="0.2">
      <c r="O2671" s="4">
        <f t="shared" ca="1" si="238"/>
        <v>0.19616631686061758</v>
      </c>
      <c r="P2671" s="4">
        <f t="shared" ca="1" si="239"/>
        <v>-0.8553947777129699</v>
      </c>
      <c r="Q2671" s="4">
        <f t="shared" ca="1" si="240"/>
        <v>1949.1784309760624</v>
      </c>
      <c r="R2671" s="4">
        <f t="shared" ca="1" si="241"/>
        <v>25.508386976062411</v>
      </c>
      <c r="S2671" s="4">
        <f t="shared" ca="1" si="242"/>
        <v>13.177466250259542</v>
      </c>
    </row>
    <row r="2672" spans="15:19" x14ac:dyDescent="0.2">
      <c r="O2672" s="4">
        <f t="shared" ca="1" si="238"/>
        <v>0.64455498951927626</v>
      </c>
      <c r="P2672" s="4">
        <f t="shared" ca="1" si="239"/>
        <v>0.37066102794506511</v>
      </c>
      <c r="Q2672" s="4">
        <f t="shared" ca="1" si="240"/>
        <v>1912.0351247792987</v>
      </c>
      <c r="R2672" s="4">
        <f t="shared" ca="1" si="241"/>
        <v>-11.634919220701249</v>
      </c>
      <c r="S2672" s="4">
        <f t="shared" ca="1" si="242"/>
        <v>-5.8346045637464821</v>
      </c>
    </row>
    <row r="2673" spans="15:19" x14ac:dyDescent="0.2">
      <c r="O2673" s="4">
        <f t="shared" ca="1" si="238"/>
        <v>0.9050428721078424</v>
      </c>
      <c r="P2673" s="4">
        <f t="shared" ca="1" si="239"/>
        <v>1.310832807745935</v>
      </c>
      <c r="Q2673" s="4">
        <f t="shared" ca="1" si="240"/>
        <v>1883.5526624529145</v>
      </c>
      <c r="R2673" s="4">
        <f t="shared" ca="1" si="241"/>
        <v>-40.117381547085415</v>
      </c>
      <c r="S2673" s="4">
        <f t="shared" ca="1" si="242"/>
        <v>-19.652672521910766</v>
      </c>
    </row>
    <row r="2674" spans="15:19" x14ac:dyDescent="0.2">
      <c r="O2674" s="4">
        <f t="shared" ca="1" si="238"/>
        <v>0.75013438991977566</v>
      </c>
      <c r="P2674" s="4">
        <f t="shared" ca="1" si="239"/>
        <v>0.67491271748223003</v>
      </c>
      <c r="Q2674" s="4">
        <f t="shared" ca="1" si="240"/>
        <v>1902.8178333532401</v>
      </c>
      <c r="R2674" s="4">
        <f t="shared" ca="1" si="241"/>
        <v>-20.852210646759886</v>
      </c>
      <c r="S2674" s="4">
        <f t="shared" ca="1" si="242"/>
        <v>-10.378593596091992</v>
      </c>
    </row>
    <row r="2675" spans="15:19" x14ac:dyDescent="0.2">
      <c r="O2675" s="4">
        <f t="shared" ca="1" si="238"/>
        <v>0.75430202458760587</v>
      </c>
      <c r="P2675" s="4">
        <f t="shared" ca="1" si="239"/>
        <v>0.68809024862076984</v>
      </c>
      <c r="Q2675" s="4">
        <f t="shared" ca="1" si="240"/>
        <v>1902.4186206324669</v>
      </c>
      <c r="R2675" s="4">
        <f t="shared" ca="1" si="241"/>
        <v>-21.251423367533107</v>
      </c>
      <c r="S2675" s="4">
        <f t="shared" ca="1" si="242"/>
        <v>-10.573836841371216</v>
      </c>
    </row>
    <row r="2676" spans="15:19" x14ac:dyDescent="0.2">
      <c r="O2676" s="4">
        <f t="shared" ca="1" si="238"/>
        <v>0.45728397525683717</v>
      </c>
      <c r="P2676" s="4">
        <f t="shared" ca="1" si="239"/>
        <v>-0.10727861357366378</v>
      </c>
      <c r="Q2676" s="4">
        <f t="shared" ca="1" si="240"/>
        <v>1926.5142849990686</v>
      </c>
      <c r="R2676" s="4">
        <f t="shared" ca="1" si="241"/>
        <v>2.8442409990686883</v>
      </c>
      <c r="S2676" s="4">
        <f t="shared" ca="1" si="242"/>
        <v>1.4430757235084499</v>
      </c>
    </row>
    <row r="2677" spans="15:19" x14ac:dyDescent="0.2">
      <c r="O2677" s="4">
        <f t="shared" ca="1" si="238"/>
        <v>0.32420236560655979</v>
      </c>
      <c r="P2677" s="4">
        <f t="shared" ca="1" si="239"/>
        <v>-0.45597948408412325</v>
      </c>
      <c r="Q2677" s="4">
        <f t="shared" ca="1" si="240"/>
        <v>1937.0781623892144</v>
      </c>
      <c r="R2677" s="4">
        <f t="shared" ca="1" si="241"/>
        <v>13.408118389214451</v>
      </c>
      <c r="S2677" s="4">
        <f t="shared" ca="1" si="242"/>
        <v>6.8605028040776412</v>
      </c>
    </row>
    <row r="2678" spans="15:19" x14ac:dyDescent="0.2">
      <c r="O2678" s="4">
        <f t="shared" ca="1" si="238"/>
        <v>0.5837430823623071</v>
      </c>
      <c r="P2678" s="4">
        <f t="shared" ca="1" si="239"/>
        <v>0.21147859237006358</v>
      </c>
      <c r="Q2678" s="4">
        <f t="shared" ca="1" si="240"/>
        <v>1916.8575495975031</v>
      </c>
      <c r="R2678" s="4">
        <f t="shared" ca="1" si="241"/>
        <v>-6.8124944024968954</v>
      </c>
      <c r="S2678" s="4">
        <f t="shared" ca="1" si="242"/>
        <v>-3.4296592789572484</v>
      </c>
    </row>
    <row r="2679" spans="15:19" x14ac:dyDescent="0.2">
      <c r="O2679" s="4">
        <f t="shared" ca="1" si="238"/>
        <v>0.29852299615934819</v>
      </c>
      <c r="P2679" s="4">
        <f t="shared" ca="1" si="239"/>
        <v>-0.52865328029569347</v>
      </c>
      <c r="Q2679" s="4">
        <f t="shared" ca="1" si="240"/>
        <v>1939.2798118188005</v>
      </c>
      <c r="R2679" s="4">
        <f t="shared" ca="1" si="241"/>
        <v>15.609767818800492</v>
      </c>
      <c r="S2679" s="4">
        <f t="shared" ca="1" si="242"/>
        <v>8.001005828456508</v>
      </c>
    </row>
    <row r="2680" spans="15:19" x14ac:dyDescent="0.2">
      <c r="O2680" s="4">
        <f t="shared" ca="1" si="238"/>
        <v>0.60985667375099162</v>
      </c>
      <c r="P2680" s="4">
        <f t="shared" ca="1" si="239"/>
        <v>0.27894549655840589</v>
      </c>
      <c r="Q2680" s="4">
        <f t="shared" ca="1" si="240"/>
        <v>1914.8136427305801</v>
      </c>
      <c r="R2680" s="4">
        <f t="shared" ca="1" si="241"/>
        <v>-8.8564012694198482</v>
      </c>
      <c r="S2680" s="4">
        <f t="shared" ca="1" si="242"/>
        <v>-4.4512682521326621</v>
      </c>
    </row>
    <row r="2681" spans="15:19" x14ac:dyDescent="0.2">
      <c r="O2681" s="4">
        <f t="shared" ca="1" si="238"/>
        <v>0.45417264464142848</v>
      </c>
      <c r="P2681" s="4">
        <f t="shared" ca="1" si="239"/>
        <v>-0.11512595283340132</v>
      </c>
      <c r="Q2681" s="4">
        <f t="shared" ca="1" si="240"/>
        <v>1926.7520197935282</v>
      </c>
      <c r="R2681" s="4">
        <f t="shared" ca="1" si="241"/>
        <v>3.0819757935282723</v>
      </c>
      <c r="S2681" s="4">
        <f t="shared" ca="1" si="242"/>
        <v>1.5639929118316007</v>
      </c>
    </row>
    <row r="2682" spans="15:19" x14ac:dyDescent="0.2">
      <c r="O2682" s="4">
        <f t="shared" ca="1" si="238"/>
        <v>0.20665010250995119</v>
      </c>
      <c r="P2682" s="4">
        <f t="shared" ca="1" si="239"/>
        <v>-0.81809979659634402</v>
      </c>
      <c r="Q2682" s="4">
        <f t="shared" ca="1" si="240"/>
        <v>1948.0485811789938</v>
      </c>
      <c r="R2682" s="4">
        <f t="shared" ca="1" si="241"/>
        <v>24.378537178993838</v>
      </c>
      <c r="S2682" s="4">
        <f t="shared" ca="1" si="242"/>
        <v>12.582580868750638</v>
      </c>
    </row>
    <row r="2683" spans="15:19" x14ac:dyDescent="0.2">
      <c r="O2683" s="4">
        <f t="shared" ca="1" si="238"/>
        <v>0.81935209968839728</v>
      </c>
      <c r="P2683" s="4">
        <f t="shared" ca="1" si="239"/>
        <v>0.91289873933969101</v>
      </c>
      <c r="Q2683" s="4">
        <f t="shared" ca="1" si="240"/>
        <v>1895.6080573874085</v>
      </c>
      <c r="R2683" s="4">
        <f t="shared" ca="1" si="241"/>
        <v>-28.061986612591454</v>
      </c>
      <c r="S2683" s="4">
        <f t="shared" ca="1" si="242"/>
        <v>-13.884695611553568</v>
      </c>
    </row>
    <row r="2684" spans="15:19" x14ac:dyDescent="0.2">
      <c r="O2684" s="4">
        <f t="shared" ca="1" si="238"/>
        <v>0.19785237220145313</v>
      </c>
      <c r="P2684" s="4">
        <f t="shared" ca="1" si="239"/>
        <v>-0.84931732251758207</v>
      </c>
      <c r="Q2684" s="4">
        <f t="shared" ca="1" si="240"/>
        <v>1948.994314740751</v>
      </c>
      <c r="R2684" s="4">
        <f t="shared" ca="1" si="241"/>
        <v>25.32427074075099</v>
      </c>
      <c r="S2684" s="4">
        <f t="shared" ca="1" si="242"/>
        <v>13.080454999801161</v>
      </c>
    </row>
    <row r="2685" spans="15:19" x14ac:dyDescent="0.2">
      <c r="O2685" s="4">
        <f t="shared" ca="1" si="238"/>
        <v>0.92626167727064113</v>
      </c>
      <c r="P2685" s="4">
        <f t="shared" ca="1" si="239"/>
        <v>1.4485022203829898</v>
      </c>
      <c r="Q2685" s="4">
        <f t="shared" ca="1" si="240"/>
        <v>1879.3819737094586</v>
      </c>
      <c r="R2685" s="4">
        <f t="shared" ca="1" si="241"/>
        <v>-44.288070290541327</v>
      </c>
      <c r="S2685" s="4">
        <f t="shared" ca="1" si="242"/>
        <v>-21.620615896672948</v>
      </c>
    </row>
    <row r="2686" spans="15:19" x14ac:dyDescent="0.2">
      <c r="O2686" s="4">
        <f t="shared" ca="1" si="238"/>
        <v>0.62177556016756774</v>
      </c>
      <c r="P2686" s="4">
        <f t="shared" ca="1" si="239"/>
        <v>0.31014738490701088</v>
      </c>
      <c r="Q2686" s="4">
        <f t="shared" ca="1" si="240"/>
        <v>1913.8683829083916</v>
      </c>
      <c r="R2686" s="4">
        <f t="shared" ca="1" si="241"/>
        <v>-9.8016610916083664</v>
      </c>
      <c r="S2686" s="4">
        <f t="shared" ca="1" si="242"/>
        <v>-4.9225886682395865</v>
      </c>
    </row>
    <row r="2687" spans="15:19" x14ac:dyDescent="0.2">
      <c r="O2687" s="4">
        <f t="shared" ca="1" si="238"/>
        <v>0.3603036613375783</v>
      </c>
      <c r="P2687" s="4">
        <f t="shared" ca="1" si="239"/>
        <v>-0.35764723789652197</v>
      </c>
      <c r="Q2687" s="4">
        <f t="shared" ca="1" si="240"/>
        <v>1934.0991913568139</v>
      </c>
      <c r="R2687" s="4">
        <f t="shared" ca="1" si="241"/>
        <v>10.429147356813928</v>
      </c>
      <c r="S2687" s="4">
        <f t="shared" ca="1" si="242"/>
        <v>5.3236122896527558</v>
      </c>
    </row>
    <row r="2688" spans="15:19" x14ac:dyDescent="0.2">
      <c r="O2688" s="4">
        <f t="shared" ca="1" si="238"/>
        <v>0.25504896915041819</v>
      </c>
      <c r="P2688" s="4">
        <f t="shared" ca="1" si="239"/>
        <v>-0.65868520070012693</v>
      </c>
      <c r="Q2688" s="4">
        <f t="shared" ca="1" si="240"/>
        <v>1943.219123074166</v>
      </c>
      <c r="R2688" s="4">
        <f t="shared" ca="1" si="241"/>
        <v>19.549079074166002</v>
      </c>
      <c r="S2688" s="4">
        <f t="shared" ca="1" si="242"/>
        <v>10.05150352698673</v>
      </c>
    </row>
    <row r="2689" spans="15:19" x14ac:dyDescent="0.2">
      <c r="O2689" s="4">
        <f t="shared" ca="1" si="238"/>
        <v>0.57200843055683048</v>
      </c>
      <c r="P2689" s="4">
        <f t="shared" ca="1" si="239"/>
        <v>0.18148979967361795</v>
      </c>
      <c r="Q2689" s="4">
        <f t="shared" ca="1" si="240"/>
        <v>1917.7660587407697</v>
      </c>
      <c r="R2689" s="4">
        <f t="shared" ca="1" si="241"/>
        <v>-5.9039852592302395</v>
      </c>
      <c r="S2689" s="4">
        <f t="shared" ca="1" si="242"/>
        <v>-2.9744659381254532</v>
      </c>
    </row>
    <row r="2690" spans="15:19" x14ac:dyDescent="0.2">
      <c r="O2690" s="4">
        <f t="shared" ca="1" si="238"/>
        <v>0.39824788148513257</v>
      </c>
      <c r="P2690" s="4">
        <f t="shared" ca="1" si="239"/>
        <v>-0.25788486875684424</v>
      </c>
      <c r="Q2690" s="4">
        <f t="shared" ca="1" si="240"/>
        <v>1931.0768948130767</v>
      </c>
      <c r="R2690" s="4">
        <f t="shared" ca="1" si="241"/>
        <v>7.4068508130767441</v>
      </c>
      <c r="S2690" s="4">
        <f t="shared" ca="1" si="242"/>
        <v>3.7717528344657336</v>
      </c>
    </row>
    <row r="2691" spans="15:19" x14ac:dyDescent="0.2">
      <c r="O2691" s="4">
        <f t="shared" ref="O2691:O2754" ca="1" si="243">RAND()</f>
        <v>0.5727001674176313</v>
      </c>
      <c r="P2691" s="4">
        <f t="shared" ref="P2691:P2754" ca="1" si="244">NORMSINV(O2691)</f>
        <v>0.1832528027519994</v>
      </c>
      <c r="Q2691" s="4">
        <f t="shared" ref="Q2691:Q2754" ca="1" si="245">$B$4*(1+$B$17-$B$6/SQRT(252)*P2691)</f>
        <v>1917.7126486407856</v>
      </c>
      <c r="R2691" s="4">
        <f t="shared" ref="R2691:R2754" ca="1" si="246">Q2691-$B$4</f>
        <v>-5.957395359214388</v>
      </c>
      <c r="S2691" s="4">
        <f t="shared" ref="S2691:S2754" ca="1" si="247">R2691*$B$12+0.5*$B$13*R2691^2</f>
        <v>-3.0012447683960084</v>
      </c>
    </row>
    <row r="2692" spans="15:19" x14ac:dyDescent="0.2">
      <c r="O2692" s="4">
        <f t="shared" ca="1" si="243"/>
        <v>0.35319339690369222</v>
      </c>
      <c r="P2692" s="4">
        <f t="shared" ca="1" si="244"/>
        <v>-0.37671314398709355</v>
      </c>
      <c r="Q2692" s="4">
        <f t="shared" ca="1" si="245"/>
        <v>1934.6767921353205</v>
      </c>
      <c r="R2692" s="4">
        <f t="shared" ca="1" si="246"/>
        <v>11.006748135320549</v>
      </c>
      <c r="S2692" s="4">
        <f t="shared" ca="1" si="247"/>
        <v>5.6210395440877621</v>
      </c>
    </row>
    <row r="2693" spans="15:19" x14ac:dyDescent="0.2">
      <c r="O2693" s="4">
        <f t="shared" ca="1" si="243"/>
        <v>0.71177560031088527</v>
      </c>
      <c r="P2693" s="4">
        <f t="shared" ca="1" si="244"/>
        <v>0.55857940413040508</v>
      </c>
      <c r="Q2693" s="4">
        <f t="shared" ca="1" si="245"/>
        <v>1906.3421459161511</v>
      </c>
      <c r="R2693" s="4">
        <f t="shared" ca="1" si="246"/>
        <v>-17.327898083848822</v>
      </c>
      <c r="S2693" s="4">
        <f t="shared" ca="1" si="247"/>
        <v>-8.6493267365571374</v>
      </c>
    </row>
    <row r="2694" spans="15:19" x14ac:dyDescent="0.2">
      <c r="O2694" s="4">
        <f t="shared" ca="1" si="243"/>
        <v>0.25905500344853594</v>
      </c>
      <c r="P2694" s="4">
        <f t="shared" ca="1" si="244"/>
        <v>-0.64626151525979902</v>
      </c>
      <c r="Q2694" s="4">
        <f t="shared" ca="1" si="245"/>
        <v>1942.8427480753503</v>
      </c>
      <c r="R2694" s="4">
        <f t="shared" ca="1" si="246"/>
        <v>19.172704075350339</v>
      </c>
      <c r="S2694" s="4">
        <f t="shared" ca="1" si="247"/>
        <v>9.8550462253266335</v>
      </c>
    </row>
    <row r="2695" spans="15:19" x14ac:dyDescent="0.2">
      <c r="O2695" s="4">
        <f t="shared" ca="1" si="243"/>
        <v>0.59762888720954888</v>
      </c>
      <c r="P2695" s="4">
        <f t="shared" ca="1" si="244"/>
        <v>0.24721449813852991</v>
      </c>
      <c r="Q2695" s="4">
        <f t="shared" ca="1" si="245"/>
        <v>1915.7749319188858</v>
      </c>
      <c r="R2695" s="4">
        <f t="shared" ca="1" si="246"/>
        <v>-7.8951120811141209</v>
      </c>
      <c r="S2695" s="4">
        <f t="shared" ca="1" si="247"/>
        <v>-3.9712093048302668</v>
      </c>
    </row>
    <row r="2696" spans="15:19" x14ac:dyDescent="0.2">
      <c r="O2696" s="4">
        <f t="shared" ca="1" si="243"/>
        <v>0.62015758189729198</v>
      </c>
      <c r="P2696" s="4">
        <f t="shared" ca="1" si="244"/>
        <v>0.30589468062539038</v>
      </c>
      <c r="Q2696" s="4">
        <f t="shared" ca="1" si="245"/>
        <v>1913.9972183957875</v>
      </c>
      <c r="R2696" s="4">
        <f t="shared" ca="1" si="246"/>
        <v>-9.6728256042124485</v>
      </c>
      <c r="S2696" s="4">
        <f t="shared" ca="1" si="247"/>
        <v>-4.8583922213050528</v>
      </c>
    </row>
    <row r="2697" spans="15:19" x14ac:dyDescent="0.2">
      <c r="O2697" s="4">
        <f t="shared" ca="1" si="243"/>
        <v>0.73401802785458481</v>
      </c>
      <c r="P2697" s="4">
        <f t="shared" ca="1" si="244"/>
        <v>0.6250108389347736</v>
      </c>
      <c r="Q2697" s="4">
        <f t="shared" ca="1" si="245"/>
        <v>1904.3296085482418</v>
      </c>
      <c r="R2697" s="4">
        <f t="shared" ca="1" si="246"/>
        <v>-19.34043545175814</v>
      </c>
      <c r="S2697" s="4">
        <f t="shared" ca="1" si="247"/>
        <v>-9.6380526248729321</v>
      </c>
    </row>
    <row r="2698" spans="15:19" x14ac:dyDescent="0.2">
      <c r="O2698" s="4">
        <f t="shared" ca="1" si="243"/>
        <v>0.62859821068917299</v>
      </c>
      <c r="P2698" s="4">
        <f t="shared" ca="1" si="244"/>
        <v>0.32814295294492951</v>
      </c>
      <c r="Q2698" s="4">
        <f t="shared" ca="1" si="245"/>
        <v>1913.3232079736681</v>
      </c>
      <c r="R2698" s="4">
        <f t="shared" ca="1" si="246"/>
        <v>-10.346836026331857</v>
      </c>
      <c r="S2698" s="4">
        <f t="shared" ca="1" si="247"/>
        <v>-5.194090126296957</v>
      </c>
    </row>
    <row r="2699" spans="15:19" x14ac:dyDescent="0.2">
      <c r="O2699" s="4">
        <f t="shared" ca="1" si="243"/>
        <v>0.11824876604552359</v>
      </c>
      <c r="P2699" s="4">
        <f t="shared" ca="1" si="244"/>
        <v>-1.1837866399996979</v>
      </c>
      <c r="Q2699" s="4">
        <f t="shared" ca="1" si="245"/>
        <v>1959.1270478637696</v>
      </c>
      <c r="R2699" s="4">
        <f t="shared" ca="1" si="246"/>
        <v>35.457003863769614</v>
      </c>
      <c r="S2699" s="4">
        <f t="shared" ca="1" si="247"/>
        <v>18.460449727428543</v>
      </c>
    </row>
    <row r="2700" spans="15:19" x14ac:dyDescent="0.2">
      <c r="O2700" s="4">
        <f t="shared" ca="1" si="243"/>
        <v>0.79092012259554023</v>
      </c>
      <c r="P2700" s="4">
        <f t="shared" ca="1" si="244"/>
        <v>0.8096180082382618</v>
      </c>
      <c r="Q2700" s="4">
        <f t="shared" ca="1" si="245"/>
        <v>1898.7369425505656</v>
      </c>
      <c r="R2700" s="4">
        <f t="shared" ca="1" si="246"/>
        <v>-24.933101449434389</v>
      </c>
      <c r="S2700" s="4">
        <f t="shared" ca="1" si="247"/>
        <v>-12.368321700247776</v>
      </c>
    </row>
    <row r="2701" spans="15:19" x14ac:dyDescent="0.2">
      <c r="O2701" s="4">
        <f t="shared" ca="1" si="243"/>
        <v>0.33958410978317488</v>
      </c>
      <c r="P2701" s="4">
        <f t="shared" ca="1" si="244"/>
        <v>-0.41359843500743126</v>
      </c>
      <c r="Q2701" s="4">
        <f t="shared" ca="1" si="245"/>
        <v>1935.794230389112</v>
      </c>
      <c r="R2701" s="4">
        <f t="shared" ca="1" si="246"/>
        <v>12.124186389112083</v>
      </c>
      <c r="S2701" s="4">
        <f t="shared" ca="1" si="247"/>
        <v>6.1972194108346361</v>
      </c>
    </row>
    <row r="2702" spans="15:19" x14ac:dyDescent="0.2">
      <c r="O2702" s="4">
        <f t="shared" ca="1" si="243"/>
        <v>0.27110992866407979</v>
      </c>
      <c r="P2702" s="4">
        <f t="shared" ca="1" si="244"/>
        <v>-0.6094595789567131</v>
      </c>
      <c r="Q2702" s="4">
        <f t="shared" ca="1" si="245"/>
        <v>1941.7278350490171</v>
      </c>
      <c r="R2702" s="4">
        <f t="shared" ca="1" si="246"/>
        <v>18.057791049017169</v>
      </c>
      <c r="S2702" s="4">
        <f t="shared" ca="1" si="247"/>
        <v>9.273769390510223</v>
      </c>
    </row>
    <row r="2703" spans="15:19" x14ac:dyDescent="0.2">
      <c r="O2703" s="4">
        <f t="shared" ca="1" si="243"/>
        <v>0.30344113323150834</v>
      </c>
      <c r="P2703" s="4">
        <f t="shared" ca="1" si="244"/>
        <v>-0.51452889115455558</v>
      </c>
      <c r="Q2703" s="4">
        <f t="shared" ca="1" si="245"/>
        <v>1938.8519140768781</v>
      </c>
      <c r="R2703" s="4">
        <f t="shared" ca="1" si="246"/>
        <v>15.181870076878113</v>
      </c>
      <c r="S2703" s="4">
        <f t="shared" ca="1" si="247"/>
        <v>7.7790363895453796</v>
      </c>
    </row>
    <row r="2704" spans="15:19" x14ac:dyDescent="0.2">
      <c r="O2704" s="4">
        <f t="shared" ca="1" si="243"/>
        <v>0.75333566417863806</v>
      </c>
      <c r="P2704" s="4">
        <f t="shared" ca="1" si="244"/>
        <v>0.68502416602436</v>
      </c>
      <c r="Q2704" s="4">
        <f t="shared" ca="1" si="245"/>
        <v>1902.5115074685943</v>
      </c>
      <c r="R2704" s="4">
        <f t="shared" ca="1" si="246"/>
        <v>-21.158536531405616</v>
      </c>
      <c r="S2704" s="4">
        <f t="shared" ca="1" si="247"/>
        <v>-10.528420193895585</v>
      </c>
    </row>
    <row r="2705" spans="15:19" x14ac:dyDescent="0.2">
      <c r="O2705" s="4">
        <f t="shared" ca="1" si="243"/>
        <v>3.4423856330165314E-2</v>
      </c>
      <c r="P2705" s="4">
        <f t="shared" ca="1" si="244"/>
        <v>-1.8194178029112862</v>
      </c>
      <c r="Q2705" s="4">
        <f t="shared" ca="1" si="245"/>
        <v>1978.3834657227908</v>
      </c>
      <c r="R2705" s="4">
        <f t="shared" ca="1" si="246"/>
        <v>54.713421722790827</v>
      </c>
      <c r="S2705" s="4">
        <f t="shared" ca="1" si="247"/>
        <v>28.91505553640993</v>
      </c>
    </row>
    <row r="2706" spans="15:19" x14ac:dyDescent="0.2">
      <c r="O2706" s="4">
        <f t="shared" ca="1" si="243"/>
        <v>0.65667306886333765</v>
      </c>
      <c r="P2706" s="4">
        <f t="shared" ca="1" si="244"/>
        <v>0.40340016923910793</v>
      </c>
      <c r="Q2706" s="4">
        <f t="shared" ca="1" si="245"/>
        <v>1911.0432939473808</v>
      </c>
      <c r="R2706" s="4">
        <f t="shared" ca="1" si="246"/>
        <v>-12.626750052619172</v>
      </c>
      <c r="S2706" s="4">
        <f t="shared" ca="1" si="247"/>
        <v>-6.3268835469921711</v>
      </c>
    </row>
    <row r="2707" spans="15:19" x14ac:dyDescent="0.2">
      <c r="O2707" s="4">
        <f t="shared" ca="1" si="243"/>
        <v>0.72638539351836107</v>
      </c>
      <c r="P2707" s="4">
        <f t="shared" ca="1" si="244"/>
        <v>0.60191726235903797</v>
      </c>
      <c r="Q2707" s="4">
        <f t="shared" ca="1" si="245"/>
        <v>1905.029227425272</v>
      </c>
      <c r="R2707" s="4">
        <f t="shared" ca="1" si="246"/>
        <v>-18.640816574727978</v>
      </c>
      <c r="S2707" s="4">
        <f t="shared" ca="1" si="247"/>
        <v>-9.2947155032760218</v>
      </c>
    </row>
    <row r="2708" spans="15:19" x14ac:dyDescent="0.2">
      <c r="O2708" s="4">
        <f t="shared" ca="1" si="243"/>
        <v>0.62381912736677703</v>
      </c>
      <c r="P2708" s="4">
        <f t="shared" ca="1" si="244"/>
        <v>0.3155267483278571</v>
      </c>
      <c r="Q2708" s="4">
        <f t="shared" ca="1" si="245"/>
        <v>1913.7054153323954</v>
      </c>
      <c r="R2708" s="4">
        <f t="shared" ca="1" si="246"/>
        <v>-9.9646286676045293</v>
      </c>
      <c r="S2708" s="4">
        <f t="shared" ca="1" si="247"/>
        <v>-5.0037731738847651</v>
      </c>
    </row>
    <row r="2709" spans="15:19" x14ac:dyDescent="0.2">
      <c r="O2709" s="4">
        <f t="shared" ca="1" si="243"/>
        <v>0.11997951541815455</v>
      </c>
      <c r="P2709" s="4">
        <f t="shared" ca="1" si="244"/>
        <v>-1.1750892004084257</v>
      </c>
      <c r="Q2709" s="4">
        <f t="shared" ca="1" si="245"/>
        <v>1958.8635593175097</v>
      </c>
      <c r="R2709" s="4">
        <f t="shared" ca="1" si="246"/>
        <v>35.193515317509764</v>
      </c>
      <c r="S2709" s="4">
        <f t="shared" ca="1" si="247"/>
        <v>18.319491405532929</v>
      </c>
    </row>
    <row r="2710" spans="15:19" x14ac:dyDescent="0.2">
      <c r="O2710" s="4">
        <f t="shared" ca="1" si="243"/>
        <v>0.7499087537331306</v>
      </c>
      <c r="P2710" s="4">
        <f t="shared" ca="1" si="244"/>
        <v>0.67420263830317551</v>
      </c>
      <c r="Q2710" s="4">
        <f t="shared" ca="1" si="245"/>
        <v>1902.8393451704428</v>
      </c>
      <c r="R2710" s="4">
        <f t="shared" ca="1" si="246"/>
        <v>-20.83069882955715</v>
      </c>
      <c r="S2710" s="4">
        <f t="shared" ca="1" si="247"/>
        <v>-10.368069112368302</v>
      </c>
    </row>
    <row r="2711" spans="15:19" x14ac:dyDescent="0.2">
      <c r="O2711" s="4">
        <f t="shared" ca="1" si="243"/>
        <v>0.67415382783420386</v>
      </c>
      <c r="P2711" s="4">
        <f t="shared" ca="1" si="244"/>
        <v>0.45141240498639346</v>
      </c>
      <c r="Q2711" s="4">
        <f t="shared" ca="1" si="245"/>
        <v>1909.5887653971117</v>
      </c>
      <c r="R2711" s="4">
        <f t="shared" ca="1" si="246"/>
        <v>-14.081278602888233</v>
      </c>
      <c r="S2711" s="4">
        <f t="shared" ca="1" si="247"/>
        <v>-7.0473664876434094</v>
      </c>
    </row>
    <row r="2712" spans="15:19" x14ac:dyDescent="0.2">
      <c r="O2712" s="4">
        <f t="shared" ca="1" si="243"/>
        <v>0.13329850807857768</v>
      </c>
      <c r="P2712" s="4">
        <f t="shared" ca="1" si="244"/>
        <v>-1.1109334032099931</v>
      </c>
      <c r="Q2712" s="4">
        <f t="shared" ca="1" si="245"/>
        <v>1956.9199622898363</v>
      </c>
      <c r="R2712" s="4">
        <f t="shared" ca="1" si="246"/>
        <v>33.249918289836387</v>
      </c>
      <c r="S2712" s="4">
        <f t="shared" ca="1" si="247"/>
        <v>17.281472577093901</v>
      </c>
    </row>
    <row r="2713" spans="15:19" x14ac:dyDescent="0.2">
      <c r="O2713" s="4">
        <f t="shared" ca="1" si="243"/>
        <v>0.28644587705209523</v>
      </c>
      <c r="P2713" s="4">
        <f t="shared" ca="1" si="244"/>
        <v>-0.56379779281181686</v>
      </c>
      <c r="Q2713" s="4">
        <f t="shared" ca="1" si="245"/>
        <v>1940.3445132650952</v>
      </c>
      <c r="R2713" s="4">
        <f t="shared" ca="1" si="246"/>
        <v>16.67446926509524</v>
      </c>
      <c r="S2713" s="4">
        <f t="shared" ca="1" si="247"/>
        <v>8.5539603498058003</v>
      </c>
    </row>
    <row r="2714" spans="15:19" x14ac:dyDescent="0.2">
      <c r="O2714" s="4">
        <f t="shared" ca="1" si="243"/>
        <v>0.54555067873022356</v>
      </c>
      <c r="P2714" s="4">
        <f t="shared" ca="1" si="244"/>
        <v>0.1144278441210376</v>
      </c>
      <c r="Q2714" s="4">
        <f t="shared" ca="1" si="245"/>
        <v>1919.7976977067517</v>
      </c>
      <c r="R2714" s="4">
        <f t="shared" ca="1" si="246"/>
        <v>-3.8723462932482562</v>
      </c>
      <c r="S2714" s="4">
        <f t="shared" ca="1" si="247"/>
        <v>-1.9541155930770489</v>
      </c>
    </row>
    <row r="2715" spans="15:19" x14ac:dyDescent="0.2">
      <c r="O2715" s="4">
        <f t="shared" ca="1" si="243"/>
        <v>0.97601556374376919</v>
      </c>
      <c r="P2715" s="4">
        <f t="shared" ca="1" si="244"/>
        <v>1.9776440826381376</v>
      </c>
      <c r="Q2715" s="4">
        <f t="shared" ca="1" si="245"/>
        <v>1863.3516444858062</v>
      </c>
      <c r="R2715" s="4">
        <f t="shared" ca="1" si="246"/>
        <v>-60.318399514193743</v>
      </c>
      <c r="S2715" s="4">
        <f t="shared" ca="1" si="247"/>
        <v>-29.052720889260101</v>
      </c>
    </row>
    <row r="2716" spans="15:19" x14ac:dyDescent="0.2">
      <c r="O2716" s="4">
        <f t="shared" ca="1" si="243"/>
        <v>0.21434680829249231</v>
      </c>
      <c r="P2716" s="4">
        <f t="shared" ca="1" si="244"/>
        <v>-0.79142913047286556</v>
      </c>
      <c r="Q2716" s="4">
        <f t="shared" ca="1" si="245"/>
        <v>1947.2405945329335</v>
      </c>
      <c r="R2716" s="4">
        <f t="shared" ca="1" si="246"/>
        <v>23.570550532933567</v>
      </c>
      <c r="S2716" s="4">
        <f t="shared" ca="1" si="247"/>
        <v>12.157799347820694</v>
      </c>
    </row>
    <row r="2717" spans="15:19" x14ac:dyDescent="0.2">
      <c r="O2717" s="4">
        <f t="shared" ca="1" si="243"/>
        <v>0.80634154401921643</v>
      </c>
      <c r="P2717" s="4">
        <f t="shared" ca="1" si="244"/>
        <v>0.86449338625621319</v>
      </c>
      <c r="Q2717" s="4">
        <f t="shared" ca="1" si="245"/>
        <v>1897.0744954099237</v>
      </c>
      <c r="R2717" s="4">
        <f t="shared" ca="1" si="246"/>
        <v>-26.595548590076305</v>
      </c>
      <c r="S2717" s="4">
        <f t="shared" ca="1" si="247"/>
        <v>-13.174997687857806</v>
      </c>
    </row>
    <row r="2718" spans="15:19" x14ac:dyDescent="0.2">
      <c r="O2718" s="4">
        <f t="shared" ca="1" si="243"/>
        <v>4.6706587991888204E-3</v>
      </c>
      <c r="P2718" s="4">
        <f t="shared" ca="1" si="244"/>
        <v>-2.5993033774986798</v>
      </c>
      <c r="Q2718" s="4">
        <f t="shared" ca="1" si="245"/>
        <v>2002.0100645787795</v>
      </c>
      <c r="R2718" s="4">
        <f t="shared" ca="1" si="246"/>
        <v>78.340020578779558</v>
      </c>
      <c r="S2718" s="4">
        <f t="shared" ca="1" si="247"/>
        <v>42.154734240864634</v>
      </c>
    </row>
    <row r="2719" spans="15:19" x14ac:dyDescent="0.2">
      <c r="O2719" s="4">
        <f t="shared" ca="1" si="243"/>
        <v>0.88801265037218502</v>
      </c>
      <c r="P2719" s="4">
        <f t="shared" ca="1" si="244"/>
        <v>1.2160268362007856</v>
      </c>
      <c r="Q2719" s="4">
        <f t="shared" ca="1" si="245"/>
        <v>1886.4248051515849</v>
      </c>
      <c r="R2719" s="4">
        <f t="shared" ca="1" si="246"/>
        <v>-37.245238848415056</v>
      </c>
      <c r="S2719" s="4">
        <f t="shared" ca="1" si="247"/>
        <v>-18.289215106716679</v>
      </c>
    </row>
    <row r="2720" spans="15:19" x14ac:dyDescent="0.2">
      <c r="O2720" s="4">
        <f t="shared" ca="1" si="243"/>
        <v>3.3079984023378195E-2</v>
      </c>
      <c r="P2720" s="4">
        <f t="shared" ca="1" si="244"/>
        <v>-1.8373383075339731</v>
      </c>
      <c r="Q2720" s="4">
        <f t="shared" ca="1" si="245"/>
        <v>1978.9263666146828</v>
      </c>
      <c r="R2720" s="4">
        <f t="shared" ca="1" si="246"/>
        <v>55.256322614682858</v>
      </c>
      <c r="S2720" s="4">
        <f t="shared" ca="1" si="247"/>
        <v>29.214180406128488</v>
      </c>
    </row>
    <row r="2721" spans="15:19" x14ac:dyDescent="0.2">
      <c r="O2721" s="4">
        <f t="shared" ca="1" si="243"/>
        <v>0.52650323694109424</v>
      </c>
      <c r="P2721" s="4">
        <f t="shared" ca="1" si="244"/>
        <v>6.6482705673643658E-2</v>
      </c>
      <c r="Q2721" s="4">
        <f t="shared" ca="1" si="245"/>
        <v>1921.2501935472994</v>
      </c>
      <c r="R2721" s="4">
        <f t="shared" ca="1" si="246"/>
        <v>-2.4198504527005298</v>
      </c>
      <c r="S2721" s="4">
        <f t="shared" ca="1" si="247"/>
        <v>-1.2225683357810619</v>
      </c>
    </row>
    <row r="2722" spans="15:19" x14ac:dyDescent="0.2">
      <c r="O2722" s="4">
        <f t="shared" ca="1" si="243"/>
        <v>0.41155154302785479</v>
      </c>
      <c r="P2722" s="4">
        <f t="shared" ca="1" si="244"/>
        <v>-0.22355563757062846</v>
      </c>
      <c r="Q2722" s="4">
        <f t="shared" ca="1" si="245"/>
        <v>1930.0368922784733</v>
      </c>
      <c r="R2722" s="4">
        <f t="shared" ca="1" si="246"/>
        <v>6.3668482784732987</v>
      </c>
      <c r="S2722" s="4">
        <f t="shared" ca="1" si="247"/>
        <v>3.2394622275261939</v>
      </c>
    </row>
    <row r="2723" spans="15:19" x14ac:dyDescent="0.2">
      <c r="O2723" s="4">
        <f t="shared" ca="1" si="243"/>
        <v>0.99617555483204268</v>
      </c>
      <c r="P2723" s="4">
        <f t="shared" ca="1" si="244"/>
        <v>2.6671878611914743</v>
      </c>
      <c r="Q2723" s="4">
        <f t="shared" ca="1" si="245"/>
        <v>1842.4619463295846</v>
      </c>
      <c r="R2723" s="4">
        <f t="shared" ca="1" si="246"/>
        <v>-81.208097670415327</v>
      </c>
      <c r="S2723" s="4">
        <f t="shared" ca="1" si="247"/>
        <v>-38.423812602865858</v>
      </c>
    </row>
    <row r="2724" spans="15:19" x14ac:dyDescent="0.2">
      <c r="O2724" s="4">
        <f t="shared" ca="1" si="243"/>
        <v>0.4288510658714898</v>
      </c>
      <c r="P2724" s="4">
        <f t="shared" ca="1" si="244"/>
        <v>-0.17930001924372385</v>
      </c>
      <c r="Q2724" s="4">
        <f t="shared" ca="1" si="245"/>
        <v>1928.6961702861647</v>
      </c>
      <c r="R2724" s="4">
        <f t="shared" ca="1" si="246"/>
        <v>5.0261262861647538</v>
      </c>
      <c r="S2724" s="4">
        <f t="shared" ca="1" si="247"/>
        <v>2.5545577170609102</v>
      </c>
    </row>
    <row r="2725" spans="15:19" x14ac:dyDescent="0.2">
      <c r="O2725" s="4">
        <f t="shared" ca="1" si="243"/>
        <v>2.6281099647983086E-2</v>
      </c>
      <c r="P2725" s="4">
        <f t="shared" ca="1" si="244"/>
        <v>-1.9385004227018339</v>
      </c>
      <c r="Q2725" s="4">
        <f t="shared" ca="1" si="245"/>
        <v>1981.9910684021968</v>
      </c>
      <c r="R2725" s="4">
        <f t="shared" ca="1" si="246"/>
        <v>58.321024402196826</v>
      </c>
      <c r="S2725" s="4">
        <f t="shared" ca="1" si="247"/>
        <v>30.907255409831702</v>
      </c>
    </row>
    <row r="2726" spans="15:19" x14ac:dyDescent="0.2">
      <c r="O2726" s="4">
        <f t="shared" ca="1" si="243"/>
        <v>0.36466384458781376</v>
      </c>
      <c r="P2726" s="4">
        <f t="shared" ca="1" si="244"/>
        <v>-0.34601999346932927</v>
      </c>
      <c r="Q2726" s="4">
        <f t="shared" ca="1" si="245"/>
        <v>1933.74694450313</v>
      </c>
      <c r="R2726" s="4">
        <f t="shared" ca="1" si="246"/>
        <v>10.076900503129991</v>
      </c>
      <c r="S2726" s="4">
        <f t="shared" ca="1" si="247"/>
        <v>5.1423611433907066</v>
      </c>
    </row>
    <row r="2727" spans="15:19" x14ac:dyDescent="0.2">
      <c r="O2727" s="4">
        <f t="shared" ca="1" si="243"/>
        <v>0.6657408035918797</v>
      </c>
      <c r="P2727" s="4">
        <f t="shared" ca="1" si="244"/>
        <v>0.42818231228576459</v>
      </c>
      <c r="Q2727" s="4">
        <f t="shared" ca="1" si="245"/>
        <v>1910.2925200240848</v>
      </c>
      <c r="R2727" s="4">
        <f t="shared" ca="1" si="246"/>
        <v>-13.37752397591521</v>
      </c>
      <c r="S2727" s="4">
        <f t="shared" ca="1" si="247"/>
        <v>-6.6989853135575714</v>
      </c>
    </row>
    <row r="2728" spans="15:19" x14ac:dyDescent="0.2">
      <c r="O2728" s="4">
        <f t="shared" ca="1" si="243"/>
        <v>0.37785077693037961</v>
      </c>
      <c r="P2728" s="4">
        <f t="shared" ca="1" si="244"/>
        <v>-0.31113031782641082</v>
      </c>
      <c r="Q2728" s="4">
        <f t="shared" ca="1" si="245"/>
        <v>1932.6899633285946</v>
      </c>
      <c r="R2728" s="4">
        <f t="shared" ca="1" si="246"/>
        <v>9.0199193285945967</v>
      </c>
      <c r="S2728" s="4">
        <f t="shared" ca="1" si="247"/>
        <v>4.599090236014642</v>
      </c>
    </row>
    <row r="2729" spans="15:19" x14ac:dyDescent="0.2">
      <c r="O2729" s="4">
        <f t="shared" ca="1" si="243"/>
        <v>0.8472671308456724</v>
      </c>
      <c r="P2729" s="4">
        <f t="shared" ca="1" si="244"/>
        <v>1.024782684713232</v>
      </c>
      <c r="Q2729" s="4">
        <f t="shared" ca="1" si="245"/>
        <v>1892.2185382298519</v>
      </c>
      <c r="R2729" s="4">
        <f t="shared" ca="1" si="246"/>
        <v>-31.45150577014806</v>
      </c>
      <c r="S2729" s="4">
        <f t="shared" ca="1" si="247"/>
        <v>-15.518388540883212</v>
      </c>
    </row>
    <row r="2730" spans="15:19" x14ac:dyDescent="0.2">
      <c r="O2730" s="4">
        <f t="shared" ca="1" si="243"/>
        <v>0.34206788585698489</v>
      </c>
      <c r="P2730" s="4">
        <f t="shared" ca="1" si="244"/>
        <v>-0.40682602388310984</v>
      </c>
      <c r="Q2730" s="4">
        <f t="shared" ca="1" si="245"/>
        <v>1935.5890604947888</v>
      </c>
      <c r="R2730" s="4">
        <f t="shared" ca="1" si="246"/>
        <v>11.919016494788821</v>
      </c>
      <c r="S2730" s="4">
        <f t="shared" ca="1" si="247"/>
        <v>6.091352352074292</v>
      </c>
    </row>
    <row r="2731" spans="15:19" x14ac:dyDescent="0.2">
      <c r="O2731" s="4">
        <f t="shared" ca="1" si="243"/>
        <v>0.14050730370767539</v>
      </c>
      <c r="P2731" s="4">
        <f t="shared" ca="1" si="244"/>
        <v>-1.0780429094583679</v>
      </c>
      <c r="Q2731" s="4">
        <f t="shared" ca="1" si="245"/>
        <v>1955.9235462419356</v>
      </c>
      <c r="R2731" s="4">
        <f t="shared" ca="1" si="246"/>
        <v>32.253502241935621</v>
      </c>
      <c r="S2731" s="4">
        <f t="shared" ca="1" si="247"/>
        <v>16.750508151194897</v>
      </c>
    </row>
    <row r="2732" spans="15:19" x14ac:dyDescent="0.2">
      <c r="O2732" s="4">
        <f t="shared" ca="1" si="243"/>
        <v>0.82430692965662167</v>
      </c>
      <c r="P2732" s="4">
        <f t="shared" ca="1" si="244"/>
        <v>0.93190399915789124</v>
      </c>
      <c r="Q2732" s="4">
        <f t="shared" ca="1" si="245"/>
        <v>1895.0322938850306</v>
      </c>
      <c r="R2732" s="4">
        <f t="shared" ca="1" si="246"/>
        <v>-28.637750114969322</v>
      </c>
      <c r="S2732" s="4">
        <f t="shared" ca="1" si="247"/>
        <v>-14.162863701014194</v>
      </c>
    </row>
    <row r="2733" spans="15:19" x14ac:dyDescent="0.2">
      <c r="O2733" s="4">
        <f t="shared" ca="1" si="243"/>
        <v>0.19859608242143023</v>
      </c>
      <c r="P2733" s="4">
        <f t="shared" ca="1" si="244"/>
        <v>-0.84664654005855</v>
      </c>
      <c r="Q2733" s="4">
        <f t="shared" ca="1" si="245"/>
        <v>1948.9134035047346</v>
      </c>
      <c r="R2733" s="4">
        <f t="shared" ca="1" si="246"/>
        <v>25.243359504734599</v>
      </c>
      <c r="S2733" s="4">
        <f t="shared" ca="1" si="247"/>
        <v>13.037831420162913</v>
      </c>
    </row>
    <row r="2734" spans="15:19" x14ac:dyDescent="0.2">
      <c r="O2734" s="4">
        <f t="shared" ca="1" si="243"/>
        <v>0.35326944896460688</v>
      </c>
      <c r="P2734" s="4">
        <f t="shared" ca="1" si="244"/>
        <v>-0.37650849945013404</v>
      </c>
      <c r="Q2734" s="4">
        <f t="shared" ca="1" si="245"/>
        <v>1934.6705924381597</v>
      </c>
      <c r="R2734" s="4">
        <f t="shared" ca="1" si="246"/>
        <v>11.00054843815974</v>
      </c>
      <c r="S2734" s="4">
        <f t="shared" ca="1" si="247"/>
        <v>5.6178456567147999</v>
      </c>
    </row>
    <row r="2735" spans="15:19" x14ac:dyDescent="0.2">
      <c r="O2735" s="4">
        <f t="shared" ca="1" si="243"/>
        <v>0.40157508448352819</v>
      </c>
      <c r="P2735" s="4">
        <f t="shared" ca="1" si="244"/>
        <v>-0.24927228395230883</v>
      </c>
      <c r="Q2735" s="4">
        <f t="shared" ca="1" si="245"/>
        <v>1930.815976938813</v>
      </c>
      <c r="R2735" s="4">
        <f t="shared" ca="1" si="246"/>
        <v>7.1459329388130755</v>
      </c>
      <c r="S2735" s="4">
        <f t="shared" ca="1" si="247"/>
        <v>3.6381279758615452</v>
      </c>
    </row>
    <row r="2736" spans="15:19" x14ac:dyDescent="0.2">
      <c r="O2736" s="4">
        <f t="shared" ca="1" si="243"/>
        <v>0.21551015688280661</v>
      </c>
      <c r="P2736" s="4">
        <f t="shared" ca="1" si="244"/>
        <v>-0.78744687832357474</v>
      </c>
      <c r="Q2736" s="4">
        <f t="shared" ca="1" si="245"/>
        <v>1947.1199523808791</v>
      </c>
      <c r="R2736" s="4">
        <f t="shared" ca="1" si="246"/>
        <v>23.449908380879151</v>
      </c>
      <c r="S2736" s="4">
        <f t="shared" ca="1" si="247"/>
        <v>12.09441994779192</v>
      </c>
    </row>
    <row r="2737" spans="15:19" x14ac:dyDescent="0.2">
      <c r="O2737" s="4">
        <f t="shared" ca="1" si="243"/>
        <v>0.64504614448301778</v>
      </c>
      <c r="P2737" s="4">
        <f t="shared" ca="1" si="244"/>
        <v>0.37198003928688039</v>
      </c>
      <c r="Q2737" s="4">
        <f t="shared" ca="1" si="245"/>
        <v>1911.9951653892615</v>
      </c>
      <c r="R2737" s="4">
        <f t="shared" ca="1" si="246"/>
        <v>-11.67487861073846</v>
      </c>
      <c r="S2737" s="4">
        <f t="shared" ca="1" si="247"/>
        <v>-5.8544532356633674</v>
      </c>
    </row>
    <row r="2738" spans="15:19" x14ac:dyDescent="0.2">
      <c r="O2738" s="4">
        <f t="shared" ca="1" si="243"/>
        <v>0.16333789125364628</v>
      </c>
      <c r="P2738" s="4">
        <f t="shared" ca="1" si="244"/>
        <v>-0.98083162002119251</v>
      </c>
      <c r="Q2738" s="4">
        <f t="shared" ca="1" si="245"/>
        <v>1952.9785345445198</v>
      </c>
      <c r="R2738" s="4">
        <f t="shared" ca="1" si="246"/>
        <v>29.308490544519827</v>
      </c>
      <c r="S2738" s="4">
        <f t="shared" ca="1" si="247"/>
        <v>15.185912412101137</v>
      </c>
    </row>
    <row r="2739" spans="15:19" x14ac:dyDescent="0.2">
      <c r="O2739" s="4">
        <f t="shared" ca="1" si="243"/>
        <v>0.14897792201580407</v>
      </c>
      <c r="P2739" s="4">
        <f t="shared" ca="1" si="244"/>
        <v>-1.0408270056238553</v>
      </c>
      <c r="Q2739" s="4">
        <f t="shared" ca="1" si="245"/>
        <v>1954.7960920876176</v>
      </c>
      <c r="R2739" s="4">
        <f t="shared" ca="1" si="246"/>
        <v>31.126048087617619</v>
      </c>
      <c r="S2739" s="4">
        <f t="shared" ca="1" si="247"/>
        <v>16.150691650583628</v>
      </c>
    </row>
    <row r="2740" spans="15:19" x14ac:dyDescent="0.2">
      <c r="O2740" s="4">
        <f t="shared" ca="1" si="243"/>
        <v>0.49589537233115966</v>
      </c>
      <c r="P2740" s="4">
        <f t="shared" ca="1" si="244"/>
        <v>-1.0288957304699959E-2</v>
      </c>
      <c r="Q2740" s="4">
        <f t="shared" ca="1" si="245"/>
        <v>1923.5759876686436</v>
      </c>
      <c r="R2740" s="4">
        <f t="shared" ca="1" si="246"/>
        <v>-9.4056331356341616E-2</v>
      </c>
      <c r="S2740" s="4">
        <f t="shared" ca="1" si="247"/>
        <v>-4.7608635029499399E-2</v>
      </c>
    </row>
    <row r="2741" spans="15:19" x14ac:dyDescent="0.2">
      <c r="O2741" s="4">
        <f t="shared" ca="1" si="243"/>
        <v>0.94143061099816538</v>
      </c>
      <c r="P2741" s="4">
        <f t="shared" ca="1" si="244"/>
        <v>1.5668969615695845</v>
      </c>
      <c r="Q2741" s="4">
        <f t="shared" ca="1" si="245"/>
        <v>1875.7952102818185</v>
      </c>
      <c r="R2741" s="4">
        <f t="shared" ca="1" si="246"/>
        <v>-47.874833718181435</v>
      </c>
      <c r="S2741" s="4">
        <f t="shared" ca="1" si="247"/>
        <v>-23.30170721291514</v>
      </c>
    </row>
    <row r="2742" spans="15:19" x14ac:dyDescent="0.2">
      <c r="O2742" s="4">
        <f t="shared" ca="1" si="243"/>
        <v>0.72958806048504232</v>
      </c>
      <c r="P2742" s="4">
        <f t="shared" ca="1" si="244"/>
        <v>0.6115676015516448</v>
      </c>
      <c r="Q2742" s="4">
        <f t="shared" ca="1" si="245"/>
        <v>1904.7368708278975</v>
      </c>
      <c r="R2742" s="4">
        <f t="shared" ca="1" si="246"/>
        <v>-18.933173172102443</v>
      </c>
      <c r="S2742" s="4">
        <f t="shared" ca="1" si="247"/>
        <v>-9.4382376194838731</v>
      </c>
    </row>
    <row r="2743" spans="15:19" x14ac:dyDescent="0.2">
      <c r="O2743" s="4">
        <f t="shared" ca="1" si="243"/>
        <v>0.48052850558104832</v>
      </c>
      <c r="P2743" s="4">
        <f t="shared" ca="1" si="244"/>
        <v>-4.8827192966189238E-2</v>
      </c>
      <c r="Q2743" s="4">
        <f t="shared" ca="1" si="245"/>
        <v>1924.7435018069496</v>
      </c>
      <c r="R2743" s="4">
        <f t="shared" ca="1" si="246"/>
        <v>1.073457806949591</v>
      </c>
      <c r="S2743" s="4">
        <f t="shared" ca="1" si="247"/>
        <v>0.54386392691218932</v>
      </c>
    </row>
    <row r="2744" spans="15:19" x14ac:dyDescent="0.2">
      <c r="O2744" s="4">
        <f t="shared" ca="1" si="243"/>
        <v>0.64412879735246942</v>
      </c>
      <c r="P2744" s="4">
        <f t="shared" ca="1" si="244"/>
        <v>0.36951699855814085</v>
      </c>
      <c r="Q2744" s="4">
        <f t="shared" ca="1" si="245"/>
        <v>1912.069783098782</v>
      </c>
      <c r="R2744" s="4">
        <f t="shared" ca="1" si="246"/>
        <v>-11.600260901218007</v>
      </c>
      <c r="S2744" s="4">
        <f t="shared" ca="1" si="247"/>
        <v>-5.817387992660489</v>
      </c>
    </row>
    <row r="2745" spans="15:19" x14ac:dyDescent="0.2">
      <c r="O2745" s="4">
        <f t="shared" ca="1" si="243"/>
        <v>0.69289655304708697</v>
      </c>
      <c r="P2745" s="4">
        <f t="shared" ca="1" si="244"/>
        <v>0.50407753341759742</v>
      </c>
      <c r="Q2745" s="4">
        <f t="shared" ca="1" si="245"/>
        <v>1907.9932776695673</v>
      </c>
      <c r="R2745" s="4">
        <f t="shared" ca="1" si="246"/>
        <v>-15.676766330432656</v>
      </c>
      <c r="S2745" s="4">
        <f t="shared" ca="1" si="247"/>
        <v>-7.8356909278741975</v>
      </c>
    </row>
    <row r="2746" spans="15:19" x14ac:dyDescent="0.2">
      <c r="O2746" s="4">
        <f t="shared" ca="1" si="243"/>
        <v>2.9200401220562777E-2</v>
      </c>
      <c r="P2746" s="4">
        <f t="shared" ca="1" si="244"/>
        <v>-1.8926772588707217</v>
      </c>
      <c r="Q2746" s="4">
        <f t="shared" ca="1" si="245"/>
        <v>1980.6028576884357</v>
      </c>
      <c r="R2746" s="4">
        <f t="shared" ca="1" si="246"/>
        <v>56.932813688435772</v>
      </c>
      <c r="S2746" s="4">
        <f t="shared" ca="1" si="247"/>
        <v>30.139399851824944</v>
      </c>
    </row>
    <row r="2747" spans="15:19" x14ac:dyDescent="0.2">
      <c r="O2747" s="4">
        <f t="shared" ca="1" si="243"/>
        <v>0.61463605646751351</v>
      </c>
      <c r="P2747" s="4">
        <f t="shared" ca="1" si="244"/>
        <v>0.29142292026988315</v>
      </c>
      <c r="Q2747" s="4">
        <f t="shared" ca="1" si="245"/>
        <v>1914.435639733226</v>
      </c>
      <c r="R2747" s="4">
        <f t="shared" ca="1" si="246"/>
        <v>-9.2344042667739359</v>
      </c>
      <c r="S2747" s="4">
        <f t="shared" ca="1" si="247"/>
        <v>-4.6398333783672392</v>
      </c>
    </row>
    <row r="2748" spans="15:19" x14ac:dyDescent="0.2">
      <c r="O2748" s="4">
        <f t="shared" ca="1" si="243"/>
        <v>0.35630773795471249</v>
      </c>
      <c r="P2748" s="4">
        <f t="shared" ca="1" si="244"/>
        <v>-0.36834570618220636</v>
      </c>
      <c r="Q2748" s="4">
        <f t="shared" ca="1" si="245"/>
        <v>1934.4233009785275</v>
      </c>
      <c r="R2748" s="4">
        <f t="shared" ca="1" si="246"/>
        <v>10.753256978527588</v>
      </c>
      <c r="S2748" s="4">
        <f t="shared" ca="1" si="247"/>
        <v>5.4904744564209436</v>
      </c>
    </row>
    <row r="2749" spans="15:19" x14ac:dyDescent="0.2">
      <c r="O2749" s="4">
        <f t="shared" ca="1" si="243"/>
        <v>0.81317197698888122</v>
      </c>
      <c r="P2749" s="4">
        <f t="shared" ca="1" si="244"/>
        <v>0.88964591062654275</v>
      </c>
      <c r="Q2749" s="4">
        <f t="shared" ca="1" si="245"/>
        <v>1896.312500800871</v>
      </c>
      <c r="R2749" s="4">
        <f t="shared" ca="1" si="246"/>
        <v>-27.357543199128941</v>
      </c>
      <c r="S2749" s="4">
        <f t="shared" ca="1" si="247"/>
        <v>-13.543991406829914</v>
      </c>
    </row>
    <row r="2750" spans="15:19" x14ac:dyDescent="0.2">
      <c r="O2750" s="4">
        <f t="shared" ca="1" si="243"/>
        <v>0.46203928546451145</v>
      </c>
      <c r="P2750" s="4">
        <f t="shared" ca="1" si="244"/>
        <v>-9.5297446366423136E-2</v>
      </c>
      <c r="Q2750" s="4">
        <f t="shared" ca="1" si="245"/>
        <v>1926.1513160704769</v>
      </c>
      <c r="R2750" s="4">
        <f t="shared" ca="1" si="246"/>
        <v>2.4812720704769617</v>
      </c>
      <c r="S2750" s="4">
        <f t="shared" ca="1" si="247"/>
        <v>1.2585504335163014</v>
      </c>
    </row>
    <row r="2751" spans="15:19" x14ac:dyDescent="0.2">
      <c r="O2751" s="4">
        <f t="shared" ca="1" si="243"/>
        <v>7.3135358491040137E-2</v>
      </c>
      <c r="P2751" s="4">
        <f t="shared" ca="1" si="244"/>
        <v>-1.4528308759346267</v>
      </c>
      <c r="Q2751" s="4">
        <f t="shared" ca="1" si="245"/>
        <v>1967.2777310461242</v>
      </c>
      <c r="R2751" s="4">
        <f t="shared" ca="1" si="246"/>
        <v>43.607687046124283</v>
      </c>
      <c r="S2751" s="4">
        <f t="shared" ca="1" si="247"/>
        <v>22.848733518064552</v>
      </c>
    </row>
    <row r="2752" spans="15:19" x14ac:dyDescent="0.2">
      <c r="O2752" s="4">
        <f t="shared" ca="1" si="243"/>
        <v>0.78039594474263674</v>
      </c>
      <c r="P2752" s="4">
        <f t="shared" ca="1" si="244"/>
        <v>0.7735311338512717</v>
      </c>
      <c r="Q2752" s="4">
        <f t="shared" ca="1" si="245"/>
        <v>1899.8301928078986</v>
      </c>
      <c r="R2752" s="4">
        <f t="shared" ca="1" si="246"/>
        <v>-23.839851192101378</v>
      </c>
      <c r="S2752" s="4">
        <f t="shared" ca="1" si="247"/>
        <v>-11.836613067402789</v>
      </c>
    </row>
    <row r="2753" spans="15:19" x14ac:dyDescent="0.2">
      <c r="O2753" s="4">
        <f t="shared" ca="1" si="243"/>
        <v>0.13708159712475687</v>
      </c>
      <c r="P2753" s="4">
        <f t="shared" ca="1" si="244"/>
        <v>-1.0935253745594422</v>
      </c>
      <c r="Q2753" s="4">
        <f t="shared" ca="1" si="245"/>
        <v>1956.3925868347667</v>
      </c>
      <c r="R2753" s="4">
        <f t="shared" ca="1" si="246"/>
        <v>32.722542834766728</v>
      </c>
      <c r="S2753" s="4">
        <f t="shared" ca="1" si="247"/>
        <v>17.00034709914549</v>
      </c>
    </row>
    <row r="2754" spans="15:19" x14ac:dyDescent="0.2">
      <c r="O2754" s="4">
        <f t="shared" ca="1" si="243"/>
        <v>0.6113168891377071</v>
      </c>
      <c r="P2754" s="4">
        <f t="shared" ca="1" si="244"/>
        <v>0.28275295230493858</v>
      </c>
      <c r="Q2754" s="4">
        <f t="shared" ca="1" si="245"/>
        <v>1914.6982960277862</v>
      </c>
      <c r="R2754" s="4">
        <f t="shared" ca="1" si="246"/>
        <v>-8.9717479722137341</v>
      </c>
      <c r="S2754" s="4">
        <f t="shared" ca="1" si="247"/>
        <v>-4.50882077831952</v>
      </c>
    </row>
    <row r="2755" spans="15:19" x14ac:dyDescent="0.2">
      <c r="O2755" s="4">
        <f t="shared" ref="O2755:O2818" ca="1" si="248">RAND()</f>
        <v>8.8745387694176059E-2</v>
      </c>
      <c r="P2755" s="4">
        <f t="shared" ref="P2755:P2818" ca="1" si="249">NORMSINV(O2755)</f>
        <v>-1.3485212959799413</v>
      </c>
      <c r="Q2755" s="4">
        <f t="shared" ref="Q2755:Q2818" ca="1" si="250">$B$4*(1+$B$17-$B$6/SQRT(252)*P2755)</f>
        <v>1964.1176769526378</v>
      </c>
      <c r="R2755" s="4">
        <f t="shared" ref="R2755:R2818" ca="1" si="251">Q2755-$B$4</f>
        <v>40.447632952637832</v>
      </c>
      <c r="S2755" s="4">
        <f t="shared" ref="S2755:S2818" ca="1" si="252">R2755*$B$12+0.5*$B$13*R2755^2</f>
        <v>21.140957717093457</v>
      </c>
    </row>
    <row r="2756" spans="15:19" x14ac:dyDescent="0.2">
      <c r="O2756" s="4">
        <f t="shared" ca="1" si="248"/>
        <v>0.46441537195953109</v>
      </c>
      <c r="P2756" s="4">
        <f t="shared" ca="1" si="249"/>
        <v>-8.9316043800385464E-2</v>
      </c>
      <c r="Q2756" s="4">
        <f t="shared" ca="1" si="250"/>
        <v>1925.9701097453069</v>
      </c>
      <c r="R2756" s="4">
        <f t="shared" ca="1" si="251"/>
        <v>2.300065745306938</v>
      </c>
      <c r="S2756" s="4">
        <f t="shared" ca="1" si="252"/>
        <v>1.1664693285160572</v>
      </c>
    </row>
    <row r="2757" spans="15:19" x14ac:dyDescent="0.2">
      <c r="O2757" s="4">
        <f t="shared" ca="1" si="248"/>
        <v>0.87009573699170928</v>
      </c>
      <c r="P2757" s="4">
        <f t="shared" ca="1" si="249"/>
        <v>1.1268438050902556</v>
      </c>
      <c r="Q2757" s="4">
        <f t="shared" ca="1" si="250"/>
        <v>1889.1266011194414</v>
      </c>
      <c r="R2757" s="4">
        <f t="shared" ca="1" si="251"/>
        <v>-34.543442880558587</v>
      </c>
      <c r="S2757" s="4">
        <f t="shared" ca="1" si="252"/>
        <v>-17.000494007790824</v>
      </c>
    </row>
    <row r="2758" spans="15:19" x14ac:dyDescent="0.2">
      <c r="O2758" s="4">
        <f t="shared" ca="1" si="248"/>
        <v>0.1859738896801717</v>
      </c>
      <c r="P2758" s="4">
        <f t="shared" ca="1" si="249"/>
        <v>-0.89283081912434048</v>
      </c>
      <c r="Q2758" s="4">
        <f t="shared" ca="1" si="250"/>
        <v>1950.312554188497</v>
      </c>
      <c r="R2758" s="4">
        <f t="shared" ca="1" si="251"/>
        <v>26.642510188496999</v>
      </c>
      <c r="S2758" s="4">
        <f t="shared" ca="1" si="252"/>
        <v>13.775646859427654</v>
      </c>
    </row>
    <row r="2759" spans="15:19" x14ac:dyDescent="0.2">
      <c r="O2759" s="4">
        <f t="shared" ca="1" si="248"/>
        <v>2.9564056863726873E-2</v>
      </c>
      <c r="P2759" s="4">
        <f t="shared" ca="1" si="249"/>
        <v>-1.8872395443375443</v>
      </c>
      <c r="Q2759" s="4">
        <f t="shared" ca="1" si="250"/>
        <v>1980.4381223680823</v>
      </c>
      <c r="R2759" s="4">
        <f t="shared" ca="1" si="251"/>
        <v>56.768078368082342</v>
      </c>
      <c r="S2759" s="4">
        <f t="shared" ca="1" si="252"/>
        <v>30.048384587437827</v>
      </c>
    </row>
    <row r="2760" spans="15:19" x14ac:dyDescent="0.2">
      <c r="O2760" s="4">
        <f t="shared" ca="1" si="248"/>
        <v>0.84530571307808233</v>
      </c>
      <c r="P2760" s="4">
        <f t="shared" ca="1" si="249"/>
        <v>1.016505827559872</v>
      </c>
      <c r="Q2760" s="4">
        <f t="shared" ca="1" si="250"/>
        <v>1892.469285249829</v>
      </c>
      <c r="R2760" s="4">
        <f t="shared" ca="1" si="251"/>
        <v>-31.200758750170962</v>
      </c>
      <c r="S2760" s="4">
        <f t="shared" ca="1" si="252"/>
        <v>-15.397852947384274</v>
      </c>
    </row>
    <row r="2761" spans="15:19" x14ac:dyDescent="0.2">
      <c r="O2761" s="4">
        <f t="shared" ca="1" si="248"/>
        <v>0.57597233553514149</v>
      </c>
      <c r="P2761" s="4">
        <f t="shared" ca="1" si="249"/>
        <v>0.19160027264523902</v>
      </c>
      <c r="Q2761" s="4">
        <f t="shared" ca="1" si="250"/>
        <v>1917.4597624109892</v>
      </c>
      <c r="R2761" s="4">
        <f t="shared" ca="1" si="251"/>
        <v>-6.2102815890107195</v>
      </c>
      <c r="S2761" s="4">
        <f t="shared" ca="1" si="252"/>
        <v>-3.1280056874602518</v>
      </c>
    </row>
    <row r="2762" spans="15:19" x14ac:dyDescent="0.2">
      <c r="O2762" s="4">
        <f t="shared" ca="1" si="248"/>
        <v>0.34227501356941825</v>
      </c>
      <c r="P2762" s="4">
        <f t="shared" ca="1" si="249"/>
        <v>-0.40626210345681563</v>
      </c>
      <c r="Q2762" s="4">
        <f t="shared" ca="1" si="250"/>
        <v>1935.5719765505119</v>
      </c>
      <c r="R2762" s="4">
        <f t="shared" ca="1" si="251"/>
        <v>11.901932550511901</v>
      </c>
      <c r="S2762" s="4">
        <f t="shared" ca="1" si="252"/>
        <v>6.0825386329770774</v>
      </c>
    </row>
    <row r="2763" spans="15:19" x14ac:dyDescent="0.2">
      <c r="O2763" s="4">
        <f t="shared" ca="1" si="248"/>
        <v>0.10645273835856994</v>
      </c>
      <c r="P2763" s="4">
        <f t="shared" ca="1" si="249"/>
        <v>-1.2456158058621503</v>
      </c>
      <c r="Q2763" s="4">
        <f t="shared" ca="1" si="250"/>
        <v>1961.0001596984198</v>
      </c>
      <c r="R2763" s="4">
        <f t="shared" ca="1" si="251"/>
        <v>37.330115698419831</v>
      </c>
      <c r="S2763" s="4">
        <f t="shared" ca="1" si="252"/>
        <v>19.464136458138555</v>
      </c>
    </row>
    <row r="2764" spans="15:19" x14ac:dyDescent="0.2">
      <c r="O2764" s="4">
        <f t="shared" ca="1" si="248"/>
        <v>0.98224498969558049</v>
      </c>
      <c r="P2764" s="4">
        <f t="shared" ca="1" si="249"/>
        <v>2.1024940466470676</v>
      </c>
      <c r="Q2764" s="4">
        <f t="shared" ca="1" si="250"/>
        <v>1859.5693203693688</v>
      </c>
      <c r="R2764" s="4">
        <f t="shared" ca="1" si="251"/>
        <v>-64.100723630631137</v>
      </c>
      <c r="S2764" s="4">
        <f t="shared" ca="1" si="252"/>
        <v>-30.775806293175261</v>
      </c>
    </row>
    <row r="2765" spans="15:19" x14ac:dyDescent="0.2">
      <c r="O2765" s="4">
        <f t="shared" ca="1" si="248"/>
        <v>0.80395281134237218</v>
      </c>
      <c r="P2765" s="4">
        <f t="shared" ca="1" si="249"/>
        <v>0.85582537491448329</v>
      </c>
      <c r="Q2765" s="4">
        <f t="shared" ca="1" si="250"/>
        <v>1897.3370924286703</v>
      </c>
      <c r="R2765" s="4">
        <f t="shared" ca="1" si="251"/>
        <v>-26.332951571329659</v>
      </c>
      <c r="S2765" s="4">
        <f t="shared" ca="1" si="252"/>
        <v>-13.047726305618562</v>
      </c>
    </row>
    <row r="2766" spans="15:19" x14ac:dyDescent="0.2">
      <c r="O2766" s="4">
        <f t="shared" ca="1" si="248"/>
        <v>0.87714984801651041</v>
      </c>
      <c r="P2766" s="4">
        <f t="shared" ca="1" si="249"/>
        <v>1.1608563956708842</v>
      </c>
      <c r="Q2766" s="4">
        <f t="shared" ca="1" si="250"/>
        <v>1888.0961911979261</v>
      </c>
      <c r="R2766" s="4">
        <f t="shared" ca="1" si="251"/>
        <v>-35.573852802073816</v>
      </c>
      <c r="S2766" s="4">
        <f t="shared" ca="1" si="252"/>
        <v>-17.492687031544683</v>
      </c>
    </row>
    <row r="2767" spans="15:19" x14ac:dyDescent="0.2">
      <c r="O2767" s="4">
        <f t="shared" ca="1" si="248"/>
        <v>0.19638752786100355</v>
      </c>
      <c r="P2767" s="4">
        <f t="shared" ca="1" si="249"/>
        <v>-0.85459561551019847</v>
      </c>
      <c r="Q2767" s="4">
        <f t="shared" ca="1" si="250"/>
        <v>1949.1542203926115</v>
      </c>
      <c r="R2767" s="4">
        <f t="shared" ca="1" si="251"/>
        <v>25.484176392611516</v>
      </c>
      <c r="S2767" s="4">
        <f t="shared" ca="1" si="252"/>
        <v>13.164708064510723</v>
      </c>
    </row>
    <row r="2768" spans="15:19" x14ac:dyDescent="0.2">
      <c r="O2768" s="4">
        <f t="shared" ca="1" si="248"/>
        <v>0.39506735691713646</v>
      </c>
      <c r="P2768" s="4">
        <f t="shared" ca="1" si="249"/>
        <v>-0.26613568396944376</v>
      </c>
      <c r="Q2768" s="4">
        <f t="shared" ca="1" si="250"/>
        <v>1931.3268528936142</v>
      </c>
      <c r="R2768" s="4">
        <f t="shared" ca="1" si="251"/>
        <v>7.6568088936141976</v>
      </c>
      <c r="S2768" s="4">
        <f t="shared" ca="1" si="252"/>
        <v>3.8998167941747846</v>
      </c>
    </row>
    <row r="2769" spans="15:19" x14ac:dyDescent="0.2">
      <c r="O2769" s="4">
        <f t="shared" ca="1" si="248"/>
        <v>1.0875193000115191E-2</v>
      </c>
      <c r="P2769" s="4">
        <f t="shared" ca="1" si="249"/>
        <v>-2.2946988981094134</v>
      </c>
      <c r="Q2769" s="4">
        <f t="shared" ca="1" si="250"/>
        <v>1992.7820853998146</v>
      </c>
      <c r="R2769" s="4">
        <f t="shared" ca="1" si="251"/>
        <v>69.112041399814643</v>
      </c>
      <c r="S2769" s="4">
        <f t="shared" ca="1" si="252"/>
        <v>36.929547983866897</v>
      </c>
    </row>
    <row r="2770" spans="15:19" x14ac:dyDescent="0.2">
      <c r="O2770" s="4">
        <f t="shared" ca="1" si="248"/>
        <v>0.71237486820796059</v>
      </c>
      <c r="P2770" s="4">
        <f t="shared" ca="1" si="249"/>
        <v>0.56033601892842611</v>
      </c>
      <c r="Q2770" s="4">
        <f t="shared" ca="1" si="250"/>
        <v>1906.2889293488372</v>
      </c>
      <c r="R2770" s="4">
        <f t="shared" ca="1" si="251"/>
        <v>-17.381114651162761</v>
      </c>
      <c r="S2770" s="4">
        <f t="shared" ca="1" si="252"/>
        <v>-8.6755135888495953</v>
      </c>
    </row>
    <row r="2771" spans="15:19" x14ac:dyDescent="0.2">
      <c r="O2771" s="4">
        <f t="shared" ca="1" si="248"/>
        <v>0.28687129949693368</v>
      </c>
      <c r="P2771" s="4">
        <f t="shared" ca="1" si="249"/>
        <v>-0.56254816236745009</v>
      </c>
      <c r="Q2771" s="4">
        <f t="shared" ca="1" si="250"/>
        <v>1940.3066557662655</v>
      </c>
      <c r="R2771" s="4">
        <f t="shared" ca="1" si="251"/>
        <v>16.63661176626556</v>
      </c>
      <c r="S2771" s="4">
        <f t="shared" ca="1" si="252"/>
        <v>8.5342831685848672</v>
      </c>
    </row>
    <row r="2772" spans="15:19" x14ac:dyDescent="0.2">
      <c r="O2772" s="4">
        <f t="shared" ca="1" si="248"/>
        <v>0.72103133491523919</v>
      </c>
      <c r="P2772" s="4">
        <f t="shared" ca="1" si="249"/>
        <v>0.58590801608281828</v>
      </c>
      <c r="Q2772" s="4">
        <f t="shared" ca="1" si="250"/>
        <v>1905.5142268304157</v>
      </c>
      <c r="R2772" s="4">
        <f t="shared" ca="1" si="251"/>
        <v>-18.155817169584225</v>
      </c>
      <c r="S2772" s="4">
        <f t="shared" ca="1" si="252"/>
        <v>-9.0564687519045108</v>
      </c>
    </row>
    <row r="2773" spans="15:19" x14ac:dyDescent="0.2">
      <c r="O2773" s="4">
        <f t="shared" ca="1" si="248"/>
        <v>5.253262492823374E-2</v>
      </c>
      <c r="P2773" s="4">
        <f t="shared" ca="1" si="249"/>
        <v>-1.6207780395722067</v>
      </c>
      <c r="Q2773" s="4">
        <f t="shared" ca="1" si="250"/>
        <v>1972.3656829118395</v>
      </c>
      <c r="R2773" s="4">
        <f t="shared" ca="1" si="251"/>
        <v>48.695638911839524</v>
      </c>
      <c r="S2773" s="4">
        <f t="shared" ca="1" si="252"/>
        <v>25.615478495279554</v>
      </c>
    </row>
    <row r="2774" spans="15:19" x14ac:dyDescent="0.2">
      <c r="O2774" s="4">
        <f t="shared" ca="1" si="248"/>
        <v>0.9029545970713071</v>
      </c>
      <c r="P2774" s="4">
        <f t="shared" ca="1" si="249"/>
        <v>1.2985721351737796</v>
      </c>
      <c r="Q2774" s="4">
        <f t="shared" ca="1" si="250"/>
        <v>1883.9240989841264</v>
      </c>
      <c r="R2774" s="4">
        <f t="shared" ca="1" si="251"/>
        <v>-39.745945015873531</v>
      </c>
      <c r="S2774" s="4">
        <f t="shared" ca="1" si="252"/>
        <v>-19.476723077043332</v>
      </c>
    </row>
    <row r="2775" spans="15:19" x14ac:dyDescent="0.2">
      <c r="O2775" s="4">
        <f t="shared" ca="1" si="248"/>
        <v>0.51243309843907547</v>
      </c>
      <c r="P2775" s="4">
        <f t="shared" ca="1" si="249"/>
        <v>3.117020275207822E-2</v>
      </c>
      <c r="Q2775" s="4">
        <f t="shared" ca="1" si="250"/>
        <v>1922.3199842554686</v>
      </c>
      <c r="R2775" s="4">
        <f t="shared" ca="1" si="251"/>
        <v>-1.350059744531336</v>
      </c>
      <c r="S2775" s="4">
        <f t="shared" ca="1" si="252"/>
        <v>-0.68267151705953288</v>
      </c>
    </row>
    <row r="2776" spans="15:19" x14ac:dyDescent="0.2">
      <c r="O2776" s="4">
        <f t="shared" ca="1" si="248"/>
        <v>0.56162628691738536</v>
      </c>
      <c r="P2776" s="4">
        <f t="shared" ca="1" si="249"/>
        <v>0.15509372866361501</v>
      </c>
      <c r="Q2776" s="4">
        <f t="shared" ca="1" si="250"/>
        <v>1918.5657265400587</v>
      </c>
      <c r="R2776" s="4">
        <f t="shared" ca="1" si="251"/>
        <v>-5.1043174599412851</v>
      </c>
      <c r="S2776" s="4">
        <f t="shared" ca="1" si="252"/>
        <v>-2.5732496898281916</v>
      </c>
    </row>
    <row r="2777" spans="15:19" x14ac:dyDescent="0.2">
      <c r="O2777" s="4">
        <f t="shared" ca="1" si="248"/>
        <v>0.37058658718738102</v>
      </c>
      <c r="P2777" s="4">
        <f t="shared" ca="1" si="249"/>
        <v>-0.33030015692596143</v>
      </c>
      <c r="Q2777" s="4">
        <f t="shared" ca="1" si="250"/>
        <v>1933.2707127529936</v>
      </c>
      <c r="R2777" s="4">
        <f t="shared" ca="1" si="251"/>
        <v>9.6006687529936698</v>
      </c>
      <c r="S2777" s="4">
        <f t="shared" ca="1" si="252"/>
        <v>4.8974732872258171</v>
      </c>
    </row>
    <row r="2778" spans="15:19" x14ac:dyDescent="0.2">
      <c r="O2778" s="4">
        <f t="shared" ca="1" si="248"/>
        <v>0.31346381827763681</v>
      </c>
      <c r="P2778" s="4">
        <f t="shared" ca="1" si="249"/>
        <v>-0.48605575389425532</v>
      </c>
      <c r="Q2778" s="4">
        <f t="shared" ca="1" si="250"/>
        <v>1937.989321647756</v>
      </c>
      <c r="R2778" s="4">
        <f t="shared" ca="1" si="251"/>
        <v>14.319277647756053</v>
      </c>
      <c r="S2778" s="4">
        <f t="shared" ca="1" si="252"/>
        <v>7.3320247723551972</v>
      </c>
    </row>
    <row r="2779" spans="15:19" x14ac:dyDescent="0.2">
      <c r="O2779" s="4">
        <f t="shared" ca="1" si="248"/>
        <v>0.50627595514483781</v>
      </c>
      <c r="P2779" s="4">
        <f t="shared" ca="1" si="249"/>
        <v>1.5732135543098599E-2</v>
      </c>
      <c r="Q2779" s="4">
        <f t="shared" ca="1" si="250"/>
        <v>1922.7876798161299</v>
      </c>
      <c r="R2779" s="4">
        <f t="shared" ca="1" si="251"/>
        <v>-0.88236418387009508</v>
      </c>
      <c r="S2779" s="4">
        <f t="shared" ca="1" si="252"/>
        <v>-0.4463444620648962</v>
      </c>
    </row>
    <row r="2780" spans="15:19" x14ac:dyDescent="0.2">
      <c r="O2780" s="4">
        <f t="shared" ca="1" si="248"/>
        <v>0.1983094453894011</v>
      </c>
      <c r="P2780" s="4">
        <f t="shared" ca="1" si="249"/>
        <v>-0.84767518335704928</v>
      </c>
      <c r="Q2780" s="4">
        <f t="shared" ca="1" si="250"/>
        <v>1948.9445662077917</v>
      </c>
      <c r="R2780" s="4">
        <f t="shared" ca="1" si="251"/>
        <v>25.274522207791733</v>
      </c>
      <c r="S2780" s="4">
        <f t="shared" ca="1" si="252"/>
        <v>13.054247124081396</v>
      </c>
    </row>
    <row r="2781" spans="15:19" x14ac:dyDescent="0.2">
      <c r="O2781" s="4">
        <f t="shared" ca="1" si="248"/>
        <v>0.14564333842077326</v>
      </c>
      <c r="P2781" s="4">
        <f t="shared" ca="1" si="249"/>
        <v>-1.0553032026693712</v>
      </c>
      <c r="Q2781" s="4">
        <f t="shared" ca="1" si="250"/>
        <v>1955.2346478343832</v>
      </c>
      <c r="R2781" s="4">
        <f t="shared" ca="1" si="251"/>
        <v>31.564603834383206</v>
      </c>
      <c r="S2781" s="4">
        <f t="shared" ca="1" si="252"/>
        <v>16.383884560142636</v>
      </c>
    </row>
    <row r="2782" spans="15:19" x14ac:dyDescent="0.2">
      <c r="O2782" s="4">
        <f t="shared" ca="1" si="248"/>
        <v>0.58644666988400518</v>
      </c>
      <c r="P2782" s="4">
        <f t="shared" ca="1" si="249"/>
        <v>0.21841386932344276</v>
      </c>
      <c r="Q2782" s="4">
        <f t="shared" ca="1" si="250"/>
        <v>1916.6474456901199</v>
      </c>
      <c r="R2782" s="4">
        <f t="shared" ca="1" si="251"/>
        <v>-7.0225983098800953</v>
      </c>
      <c r="S2782" s="4">
        <f t="shared" ca="1" si="252"/>
        <v>-3.534832663132272</v>
      </c>
    </row>
    <row r="2783" spans="15:19" x14ac:dyDescent="0.2">
      <c r="O2783" s="4">
        <f t="shared" ca="1" si="248"/>
        <v>0.114323008700699</v>
      </c>
      <c r="P2783" s="4">
        <f t="shared" ca="1" si="249"/>
        <v>-1.203853990846268</v>
      </c>
      <c r="Q2783" s="4">
        <f t="shared" ca="1" si="250"/>
        <v>1959.7349873666963</v>
      </c>
      <c r="R2783" s="4">
        <f t="shared" ca="1" si="251"/>
        <v>36.064943366696298</v>
      </c>
      <c r="S2783" s="4">
        <f t="shared" ca="1" si="252"/>
        <v>18.785894442463576</v>
      </c>
    </row>
    <row r="2784" spans="15:19" x14ac:dyDescent="0.2">
      <c r="O2784" s="4">
        <f t="shared" ca="1" si="248"/>
        <v>0.85099595597060607</v>
      </c>
      <c r="P2784" s="4">
        <f t="shared" ca="1" si="249"/>
        <v>1.0407144644903399</v>
      </c>
      <c r="Q2784" s="4">
        <f t="shared" ca="1" si="250"/>
        <v>1891.7358856688595</v>
      </c>
      <c r="R2784" s="4">
        <f t="shared" ca="1" si="251"/>
        <v>-31.934158331140452</v>
      </c>
      <c r="S2784" s="4">
        <f t="shared" ca="1" si="252"/>
        <v>-15.750258422938202</v>
      </c>
    </row>
    <row r="2785" spans="15:19" x14ac:dyDescent="0.2">
      <c r="O2785" s="4">
        <f t="shared" ca="1" si="248"/>
        <v>0.13719528943815462</v>
      </c>
      <c r="P2785" s="4">
        <f t="shared" ca="1" si="249"/>
        <v>-1.0930073358402412</v>
      </c>
      <c r="Q2785" s="4">
        <f t="shared" ca="1" si="250"/>
        <v>1956.3768928747691</v>
      </c>
      <c r="R2785" s="4">
        <f t="shared" ca="1" si="251"/>
        <v>32.706848874769094</v>
      </c>
      <c r="S2785" s="4">
        <f t="shared" ca="1" si="252"/>
        <v>16.991984665363393</v>
      </c>
    </row>
    <row r="2786" spans="15:19" x14ac:dyDescent="0.2">
      <c r="O2786" s="4">
        <f t="shared" ca="1" si="248"/>
        <v>0.44908268942054308</v>
      </c>
      <c r="P2786" s="4">
        <f t="shared" ca="1" si="249"/>
        <v>-0.12797926927417527</v>
      </c>
      <c r="Q2786" s="4">
        <f t="shared" ca="1" si="250"/>
        <v>1927.141410444427</v>
      </c>
      <c r="R2786" s="4">
        <f t="shared" ca="1" si="251"/>
        <v>3.4713664444270762</v>
      </c>
      <c r="S2786" s="4">
        <f t="shared" ca="1" si="252"/>
        <v>1.7621450367633491</v>
      </c>
    </row>
    <row r="2787" spans="15:19" x14ac:dyDescent="0.2">
      <c r="O2787" s="4">
        <f t="shared" ca="1" si="248"/>
        <v>2.5044613818324901E-2</v>
      </c>
      <c r="P2787" s="4">
        <f t="shared" ca="1" si="249"/>
        <v>-1.9592012087920097</v>
      </c>
      <c r="Q2787" s="4">
        <f t="shared" ca="1" si="250"/>
        <v>1982.6181977977046</v>
      </c>
      <c r="R2787" s="4">
        <f t="shared" ca="1" si="251"/>
        <v>58.948153797704663</v>
      </c>
      <c r="S2787" s="4">
        <f t="shared" ca="1" si="252"/>
        <v>31.254651523751658</v>
      </c>
    </row>
    <row r="2788" spans="15:19" x14ac:dyDescent="0.2">
      <c r="O2788" s="4">
        <f t="shared" ca="1" si="248"/>
        <v>0.26173533381433556</v>
      </c>
      <c r="P2788" s="4">
        <f t="shared" ca="1" si="249"/>
        <v>-0.63800462775535149</v>
      </c>
      <c r="Q2788" s="4">
        <f t="shared" ca="1" si="250"/>
        <v>1942.5926060350005</v>
      </c>
      <c r="R2788" s="4">
        <f t="shared" ca="1" si="251"/>
        <v>18.92256203500051</v>
      </c>
      <c r="S2788" s="4">
        <f t="shared" ca="1" si="252"/>
        <v>9.7245428190860128</v>
      </c>
    </row>
    <row r="2789" spans="15:19" x14ac:dyDescent="0.2">
      <c r="O2789" s="4">
        <f t="shared" ca="1" si="248"/>
        <v>0.1358341352678778</v>
      </c>
      <c r="P2789" s="4">
        <f t="shared" ca="1" si="249"/>
        <v>-1.0992288208360352</v>
      </c>
      <c r="Q2789" s="4">
        <f t="shared" ca="1" si="250"/>
        <v>1956.5653724864887</v>
      </c>
      <c r="R2789" s="4">
        <f t="shared" ca="1" si="251"/>
        <v>32.895328486488779</v>
      </c>
      <c r="S2789" s="4">
        <f t="shared" ca="1" si="252"/>
        <v>17.092428168786626</v>
      </c>
    </row>
    <row r="2790" spans="15:19" x14ac:dyDescent="0.2">
      <c r="O2790" s="4">
        <f t="shared" ca="1" si="248"/>
        <v>0.87644861988263911</v>
      </c>
      <c r="P2790" s="4">
        <f t="shared" ca="1" si="249"/>
        <v>1.1574152162493336</v>
      </c>
      <c r="Q2790" s="4">
        <f t="shared" ca="1" si="250"/>
        <v>1888.2004415757169</v>
      </c>
      <c r="R2790" s="4">
        <f t="shared" ca="1" si="251"/>
        <v>-35.469602424283039</v>
      </c>
      <c r="S2790" s="4">
        <f t="shared" ca="1" si="252"/>
        <v>-17.442929348859511</v>
      </c>
    </row>
    <row r="2791" spans="15:19" x14ac:dyDescent="0.2">
      <c r="O2791" s="4">
        <f t="shared" ca="1" si="248"/>
        <v>0.94398568496025648</v>
      </c>
      <c r="P2791" s="4">
        <f t="shared" ca="1" si="249"/>
        <v>1.589140703392377</v>
      </c>
      <c r="Q2791" s="4">
        <f t="shared" ca="1" si="250"/>
        <v>1875.1213371108968</v>
      </c>
      <c r="R2791" s="4">
        <f t="shared" ca="1" si="251"/>
        <v>-48.548706889103187</v>
      </c>
      <c r="S2791" s="4">
        <f t="shared" ca="1" si="252"/>
        <v>-23.616378178979328</v>
      </c>
    </row>
    <row r="2792" spans="15:19" x14ac:dyDescent="0.2">
      <c r="O2792" s="4">
        <f t="shared" ca="1" si="248"/>
        <v>0.67816710782083323</v>
      </c>
      <c r="P2792" s="4">
        <f t="shared" ca="1" si="249"/>
        <v>0.46257952960427712</v>
      </c>
      <c r="Q2792" s="4">
        <f t="shared" ca="1" si="250"/>
        <v>1909.250457852622</v>
      </c>
      <c r="R2792" s="4">
        <f t="shared" ca="1" si="251"/>
        <v>-14.419586147377913</v>
      </c>
      <c r="S2792" s="4">
        <f t="shared" ca="1" si="252"/>
        <v>-7.2146960954452251</v>
      </c>
    </row>
    <row r="2793" spans="15:19" x14ac:dyDescent="0.2">
      <c r="O2793" s="4">
        <f t="shared" ca="1" si="248"/>
        <v>0.37146559030159032</v>
      </c>
      <c r="P2793" s="4">
        <f t="shared" ca="1" si="249"/>
        <v>-0.32797418604605638</v>
      </c>
      <c r="Q2793" s="4">
        <f t="shared" ca="1" si="250"/>
        <v>1933.2002475684578</v>
      </c>
      <c r="R2793" s="4">
        <f t="shared" ca="1" si="251"/>
        <v>9.5302035684578641</v>
      </c>
      <c r="S2793" s="4">
        <f t="shared" ca="1" si="252"/>
        <v>4.8612543666909778</v>
      </c>
    </row>
    <row r="2794" spans="15:19" x14ac:dyDescent="0.2">
      <c r="O2794" s="4">
        <f t="shared" ca="1" si="248"/>
        <v>0.14114126280359696</v>
      </c>
      <c r="P2794" s="4">
        <f t="shared" ca="1" si="249"/>
        <v>-1.0752059645832588</v>
      </c>
      <c r="Q2794" s="4">
        <f t="shared" ca="1" si="250"/>
        <v>1955.8376011229016</v>
      </c>
      <c r="R2794" s="4">
        <f t="shared" ca="1" si="251"/>
        <v>32.167557122901599</v>
      </c>
      <c r="S2794" s="4">
        <f t="shared" ca="1" si="252"/>
        <v>16.704748079859669</v>
      </c>
    </row>
    <row r="2795" spans="15:19" x14ac:dyDescent="0.2">
      <c r="O2795" s="4">
        <f t="shared" ca="1" si="248"/>
        <v>0.2208505817091494</v>
      </c>
      <c r="P2795" s="4">
        <f t="shared" ca="1" si="249"/>
        <v>-0.76932371310204717</v>
      </c>
      <c r="Q2795" s="4">
        <f t="shared" ca="1" si="250"/>
        <v>1946.5709118951431</v>
      </c>
      <c r="R2795" s="4">
        <f t="shared" ca="1" si="251"/>
        <v>22.900867895143165</v>
      </c>
      <c r="S2795" s="4">
        <f t="shared" ca="1" si="252"/>
        <v>11.806130994167587</v>
      </c>
    </row>
    <row r="2796" spans="15:19" x14ac:dyDescent="0.2">
      <c r="O2796" s="4">
        <f t="shared" ca="1" si="248"/>
        <v>0.32004426593036017</v>
      </c>
      <c r="P2796" s="4">
        <f t="shared" ca="1" si="249"/>
        <v>-0.46757502032855319</v>
      </c>
      <c r="Q2796" s="4">
        <f t="shared" ca="1" si="250"/>
        <v>1937.4294486449094</v>
      </c>
      <c r="R2796" s="4">
        <f t="shared" ca="1" si="251"/>
        <v>13.759404644909409</v>
      </c>
      <c r="S2796" s="4">
        <f t="shared" ca="1" si="252"/>
        <v>7.0422122442065866</v>
      </c>
    </row>
    <row r="2797" spans="15:19" x14ac:dyDescent="0.2">
      <c r="O2797" s="4">
        <f t="shared" ca="1" si="248"/>
        <v>0.70012679820926593</v>
      </c>
      <c r="P2797" s="4">
        <f t="shared" ca="1" si="249"/>
        <v>0.52476523238555417</v>
      </c>
      <c r="Q2797" s="4">
        <f t="shared" ca="1" si="250"/>
        <v>1907.3665447478461</v>
      </c>
      <c r="R2797" s="4">
        <f t="shared" ca="1" si="251"/>
        <v>-16.30349925215387</v>
      </c>
      <c r="S2797" s="4">
        <f t="shared" ca="1" si="252"/>
        <v>-8.1447903484305488</v>
      </c>
    </row>
    <row r="2798" spans="15:19" x14ac:dyDescent="0.2">
      <c r="O2798" s="4">
        <f t="shared" ca="1" si="248"/>
        <v>0.31543484866297922</v>
      </c>
      <c r="P2798" s="4">
        <f t="shared" ca="1" si="249"/>
        <v>-0.48050310292940079</v>
      </c>
      <c r="Q2798" s="4">
        <f t="shared" ca="1" si="250"/>
        <v>1937.8211043333079</v>
      </c>
      <c r="R2798" s="4">
        <f t="shared" ca="1" si="251"/>
        <v>14.151060333307896</v>
      </c>
      <c r="S2798" s="4">
        <f t="shared" ca="1" si="252"/>
        <v>7.2449219826274955</v>
      </c>
    </row>
    <row r="2799" spans="15:19" x14ac:dyDescent="0.2">
      <c r="O2799" s="4">
        <f t="shared" ca="1" si="248"/>
        <v>0.65770593239105812</v>
      </c>
      <c r="P2799" s="4">
        <f t="shared" ca="1" si="249"/>
        <v>0.40621023392442723</v>
      </c>
      <c r="Q2799" s="4">
        <f t="shared" ca="1" si="250"/>
        <v>1910.9581631625031</v>
      </c>
      <c r="R2799" s="4">
        <f t="shared" ca="1" si="251"/>
        <v>-12.711880837496892</v>
      </c>
      <c r="S2799" s="4">
        <f t="shared" ca="1" si="252"/>
        <v>-6.3690994961216978</v>
      </c>
    </row>
    <row r="2800" spans="15:19" x14ac:dyDescent="0.2">
      <c r="O2800" s="4">
        <f t="shared" ca="1" si="248"/>
        <v>0.31476888731986163</v>
      </c>
      <c r="P2800" s="4">
        <f t="shared" ca="1" si="249"/>
        <v>-0.48237753812173678</v>
      </c>
      <c r="Q2800" s="4">
        <f t="shared" ca="1" si="250"/>
        <v>1937.8778902642366</v>
      </c>
      <c r="R2800" s="4">
        <f t="shared" ca="1" si="251"/>
        <v>14.20784626423665</v>
      </c>
      <c r="S2800" s="4">
        <f t="shared" ca="1" si="252"/>
        <v>7.2743231160295512</v>
      </c>
    </row>
    <row r="2801" spans="15:19" x14ac:dyDescent="0.2">
      <c r="O2801" s="4">
        <f t="shared" ca="1" si="248"/>
        <v>0.94991642917826014</v>
      </c>
      <c r="P2801" s="4">
        <f t="shared" ca="1" si="249"/>
        <v>1.6440438662581554</v>
      </c>
      <c r="Q2801" s="4">
        <f t="shared" ca="1" si="250"/>
        <v>1873.4580482295232</v>
      </c>
      <c r="R2801" s="4">
        <f t="shared" ca="1" si="251"/>
        <v>-50.211995770476733</v>
      </c>
      <c r="S2801" s="4">
        <f t="shared" ca="1" si="252"/>
        <v>-24.391483026433992</v>
      </c>
    </row>
    <row r="2802" spans="15:19" x14ac:dyDescent="0.2">
      <c r="O2802" s="4">
        <f t="shared" ca="1" si="248"/>
        <v>0.5675521408271248</v>
      </c>
      <c r="P2802" s="4">
        <f t="shared" ca="1" si="249"/>
        <v>0.17014549108169583</v>
      </c>
      <c r="Q2802" s="4">
        <f t="shared" ca="1" si="250"/>
        <v>1918.1097340658862</v>
      </c>
      <c r="R2802" s="4">
        <f t="shared" ca="1" si="251"/>
        <v>-5.5603099341137749</v>
      </c>
      <c r="S2802" s="4">
        <f t="shared" ca="1" si="252"/>
        <v>-2.8020979731520113</v>
      </c>
    </row>
    <row r="2803" spans="15:19" x14ac:dyDescent="0.2">
      <c r="O2803" s="4">
        <f t="shared" ca="1" si="248"/>
        <v>0.2353262033981729</v>
      </c>
      <c r="P2803" s="4">
        <f t="shared" ca="1" si="249"/>
        <v>-0.72141794864193265</v>
      </c>
      <c r="Q2803" s="4">
        <f t="shared" ca="1" si="250"/>
        <v>1945.1196088877919</v>
      </c>
      <c r="R2803" s="4">
        <f t="shared" ca="1" si="251"/>
        <v>21.449564887791894</v>
      </c>
      <c r="S2803" s="4">
        <f t="shared" ca="1" si="252"/>
        <v>11.045265812687582</v>
      </c>
    </row>
    <row r="2804" spans="15:19" x14ac:dyDescent="0.2">
      <c r="O2804" s="4">
        <f t="shared" ca="1" si="248"/>
        <v>0.7436670166670748</v>
      </c>
      <c r="P2804" s="4">
        <f t="shared" ca="1" si="249"/>
        <v>0.65469217135574953</v>
      </c>
      <c r="Q2804" s="4">
        <f t="shared" ca="1" si="250"/>
        <v>1903.4304139003698</v>
      </c>
      <c r="R2804" s="4">
        <f t="shared" ca="1" si="251"/>
        <v>-20.239630099630176</v>
      </c>
      <c r="S2804" s="4">
        <f t="shared" ca="1" si="252"/>
        <v>-10.078746094871621</v>
      </c>
    </row>
    <row r="2805" spans="15:19" x14ac:dyDescent="0.2">
      <c r="O2805" s="4">
        <f t="shared" ca="1" si="248"/>
        <v>0.61133885372938324</v>
      </c>
      <c r="P2805" s="4">
        <f t="shared" ca="1" si="249"/>
        <v>0.28281025530265724</v>
      </c>
      <c r="Q2805" s="4">
        <f t="shared" ca="1" si="250"/>
        <v>1914.6965600360145</v>
      </c>
      <c r="R2805" s="4">
        <f t="shared" ca="1" si="251"/>
        <v>-8.9734839639854727</v>
      </c>
      <c r="S2805" s="4">
        <f t="shared" ca="1" si="252"/>
        <v>-4.5096868730222575</v>
      </c>
    </row>
    <row r="2806" spans="15:19" x14ac:dyDescent="0.2">
      <c r="O2806" s="4">
        <f t="shared" ca="1" si="248"/>
        <v>0.40090258209875373</v>
      </c>
      <c r="P2806" s="4">
        <f t="shared" ca="1" si="249"/>
        <v>-0.25101156966980509</v>
      </c>
      <c r="Q2806" s="4">
        <f t="shared" ca="1" si="250"/>
        <v>1930.8686685224022</v>
      </c>
      <c r="R2806" s="4">
        <f t="shared" ca="1" si="251"/>
        <v>7.1986245224022696</v>
      </c>
      <c r="S2806" s="4">
        <f t="shared" ca="1" si="252"/>
        <v>3.6651086497484218</v>
      </c>
    </row>
    <row r="2807" spans="15:19" x14ac:dyDescent="0.2">
      <c r="O2807" s="4">
        <f t="shared" ca="1" si="248"/>
        <v>0.42605279049259071</v>
      </c>
      <c r="P2807" s="4">
        <f t="shared" ca="1" si="249"/>
        <v>-0.18643253427054768</v>
      </c>
      <c r="Q2807" s="4">
        <f t="shared" ca="1" si="250"/>
        <v>1928.9122495122258</v>
      </c>
      <c r="R2807" s="4">
        <f t="shared" ca="1" si="251"/>
        <v>5.2422055122258371</v>
      </c>
      <c r="S2807" s="4">
        <f t="shared" ca="1" si="252"/>
        <v>2.6648423320523058</v>
      </c>
    </row>
    <row r="2808" spans="15:19" x14ac:dyDescent="0.2">
      <c r="O2808" s="4">
        <f t="shared" ca="1" si="248"/>
        <v>0.21709112349687121</v>
      </c>
      <c r="P2808" s="4">
        <f t="shared" ca="1" si="249"/>
        <v>-0.78205500726044685</v>
      </c>
      <c r="Q2808" s="4">
        <f t="shared" ca="1" si="250"/>
        <v>1946.9566058864152</v>
      </c>
      <c r="R2808" s="4">
        <f t="shared" ca="1" si="251"/>
        <v>23.286561886415257</v>
      </c>
      <c r="S2808" s="4">
        <f t="shared" ca="1" si="252"/>
        <v>12.008624688742293</v>
      </c>
    </row>
    <row r="2809" spans="15:19" x14ac:dyDescent="0.2">
      <c r="O2809" s="4">
        <f t="shared" ca="1" si="248"/>
        <v>0.10360519742419871</v>
      </c>
      <c r="P2809" s="4">
        <f t="shared" ca="1" si="249"/>
        <v>-1.2612733071755615</v>
      </c>
      <c r="Q2809" s="4">
        <f t="shared" ca="1" si="250"/>
        <v>1961.4745030055324</v>
      </c>
      <c r="R2809" s="4">
        <f t="shared" ca="1" si="251"/>
        <v>37.804459005532408</v>
      </c>
      <c r="S2809" s="4">
        <f t="shared" ca="1" si="252"/>
        <v>19.718761463658893</v>
      </c>
    </row>
    <row r="2810" spans="15:19" x14ac:dyDescent="0.2">
      <c r="O2810" s="4">
        <f t="shared" ca="1" si="248"/>
        <v>0.172197389030324</v>
      </c>
      <c r="P2810" s="4">
        <f t="shared" ca="1" si="249"/>
        <v>-0.94551742701728114</v>
      </c>
      <c r="Q2810" s="4">
        <f t="shared" ca="1" si="250"/>
        <v>1951.9086926353814</v>
      </c>
      <c r="R2810" s="4">
        <f t="shared" ca="1" si="251"/>
        <v>28.238648635381423</v>
      </c>
      <c r="S2810" s="4">
        <f t="shared" ca="1" si="252"/>
        <v>14.619286195832936</v>
      </c>
    </row>
    <row r="2811" spans="15:19" x14ac:dyDescent="0.2">
      <c r="O2811" s="4">
        <f t="shared" ca="1" si="248"/>
        <v>0.22012568191252369</v>
      </c>
      <c r="P2811" s="4">
        <f t="shared" ca="1" si="249"/>
        <v>-0.7717688168688035</v>
      </c>
      <c r="Q2811" s="4">
        <f t="shared" ca="1" si="250"/>
        <v>1946.644986205197</v>
      </c>
      <c r="R2811" s="4">
        <f t="shared" ca="1" si="251"/>
        <v>22.974942205197067</v>
      </c>
      <c r="S2811" s="4">
        <f t="shared" ca="1" si="252"/>
        <v>11.845011445837338</v>
      </c>
    </row>
    <row r="2812" spans="15:19" x14ac:dyDescent="0.2">
      <c r="O2812" s="4">
        <f t="shared" ca="1" si="248"/>
        <v>9.5886846171022611E-2</v>
      </c>
      <c r="P2812" s="4">
        <f t="shared" ca="1" si="249"/>
        <v>-1.3053500098002369</v>
      </c>
      <c r="Q2812" s="4">
        <f t="shared" ca="1" si="250"/>
        <v>1962.8098047545857</v>
      </c>
      <c r="R2812" s="4">
        <f t="shared" ca="1" si="251"/>
        <v>39.139760754585723</v>
      </c>
      <c r="S2812" s="4">
        <f t="shared" ca="1" si="252"/>
        <v>20.436528107444055</v>
      </c>
    </row>
    <row r="2813" spans="15:19" x14ac:dyDescent="0.2">
      <c r="O2813" s="4">
        <f t="shared" ca="1" si="248"/>
        <v>2.329117800380609E-2</v>
      </c>
      <c r="P2813" s="4">
        <f t="shared" ca="1" si="249"/>
        <v>-1.9900778896944253</v>
      </c>
      <c r="Q2813" s="4">
        <f t="shared" ca="1" si="250"/>
        <v>1983.5536054747497</v>
      </c>
      <c r="R2813" s="4">
        <f t="shared" ca="1" si="251"/>
        <v>59.88356147474974</v>
      </c>
      <c r="S2813" s="4">
        <f t="shared" ca="1" si="252"/>
        <v>31.77341227915198</v>
      </c>
    </row>
    <row r="2814" spans="15:19" x14ac:dyDescent="0.2">
      <c r="O2814" s="4">
        <f t="shared" ca="1" si="248"/>
        <v>0.91418746405611551</v>
      </c>
      <c r="P2814" s="4">
        <f t="shared" ca="1" si="249"/>
        <v>1.3670007453413247</v>
      </c>
      <c r="Q2814" s="4">
        <f t="shared" ca="1" si="250"/>
        <v>1881.8510572772623</v>
      </c>
      <c r="R2814" s="4">
        <f t="shared" ca="1" si="251"/>
        <v>-41.818986722737691</v>
      </c>
      <c r="S2814" s="4">
        <f t="shared" ca="1" si="252"/>
        <v>-20.457286774437407</v>
      </c>
    </row>
    <row r="2815" spans="15:19" x14ac:dyDescent="0.2">
      <c r="O2815" s="4">
        <f t="shared" ca="1" si="248"/>
        <v>0.36562170649523495</v>
      </c>
      <c r="P2815" s="4">
        <f t="shared" ca="1" si="249"/>
        <v>-0.34347198512644073</v>
      </c>
      <c r="Q2815" s="4">
        <f t="shared" ca="1" si="250"/>
        <v>1933.6697527035114</v>
      </c>
      <c r="R2815" s="4">
        <f t="shared" ca="1" si="251"/>
        <v>9.9997087035114873</v>
      </c>
      <c r="S2815" s="4">
        <f t="shared" ca="1" si="252"/>
        <v>5.1026550429697686</v>
      </c>
    </row>
    <row r="2816" spans="15:19" x14ac:dyDescent="0.2">
      <c r="O2816" s="4">
        <f t="shared" ca="1" si="248"/>
        <v>0.62060061473751427</v>
      </c>
      <c r="P2816" s="4">
        <f t="shared" ca="1" si="249"/>
        <v>0.30705859777478406</v>
      </c>
      <c r="Q2816" s="4">
        <f t="shared" ca="1" si="250"/>
        <v>1913.9619575774234</v>
      </c>
      <c r="R2816" s="4">
        <f t="shared" ca="1" si="251"/>
        <v>-9.7080864225765708</v>
      </c>
      <c r="S2816" s="4">
        <f t="shared" ca="1" si="252"/>
        <v>-4.8759634071941873</v>
      </c>
    </row>
    <row r="2817" spans="15:19" x14ac:dyDescent="0.2">
      <c r="O2817" s="4">
        <f t="shared" ca="1" si="248"/>
        <v>0.69689603909990705</v>
      </c>
      <c r="P2817" s="4">
        <f t="shared" ca="1" si="249"/>
        <v>0.51549391335119543</v>
      </c>
      <c r="Q2817" s="4">
        <f t="shared" ca="1" si="250"/>
        <v>1907.6474189463549</v>
      </c>
      <c r="R2817" s="4">
        <f t="shared" ca="1" si="251"/>
        <v>-16.022625053645015</v>
      </c>
      <c r="S2817" s="4">
        <f t="shared" ca="1" si="252"/>
        <v>-8.0063050932712194</v>
      </c>
    </row>
    <row r="2818" spans="15:19" x14ac:dyDescent="0.2">
      <c r="O2818" s="4">
        <f t="shared" ca="1" si="248"/>
        <v>8.2964201210228294E-2</v>
      </c>
      <c r="P2818" s="4">
        <f t="shared" ca="1" si="249"/>
        <v>-1.3854058526221591</v>
      </c>
      <c r="Q2818" s="4">
        <f t="shared" ca="1" si="250"/>
        <v>1965.2350929584766</v>
      </c>
      <c r="R2818" s="4">
        <f t="shared" ca="1" si="251"/>
        <v>41.565048958476609</v>
      </c>
      <c r="S2818" s="4">
        <f t="shared" ca="1" si="252"/>
        <v>21.743909397601112</v>
      </c>
    </row>
    <row r="2819" spans="15:19" x14ac:dyDescent="0.2">
      <c r="O2819" s="4">
        <f t="shared" ref="O2819:O2882" ca="1" si="253">RAND()</f>
        <v>0.8772220964408417</v>
      </c>
      <c r="P2819" s="4">
        <f t="shared" ref="P2819:P2882" ca="1" si="254">NORMSINV(O2819)</f>
        <v>1.1612117264383548</v>
      </c>
      <c r="Q2819" s="4">
        <f t="shared" ref="Q2819:Q2882" ca="1" si="255">$B$4*(1+$B$17-$B$6/SQRT(252)*P2819)</f>
        <v>1888.085426468102</v>
      </c>
      <c r="R2819" s="4">
        <f t="shared" ref="R2819:R2882" ca="1" si="256">Q2819-$B$4</f>
        <v>-35.584617531897948</v>
      </c>
      <c r="S2819" s="4">
        <f t="shared" ref="S2819:S2882" ca="1" si="257">R2819*$B$12+0.5*$B$13*R2819^2</f>
        <v>-17.497824427499047</v>
      </c>
    </row>
    <row r="2820" spans="15:19" x14ac:dyDescent="0.2">
      <c r="O2820" s="4">
        <f t="shared" ca="1" si="253"/>
        <v>9.7802497775490882E-2</v>
      </c>
      <c r="P2820" s="4">
        <f t="shared" ca="1" si="254"/>
        <v>-1.2941749551630068</v>
      </c>
      <c r="Q2820" s="4">
        <f t="shared" ca="1" si="255"/>
        <v>1962.4712569705121</v>
      </c>
      <c r="R2820" s="4">
        <f t="shared" ca="1" si="256"/>
        <v>38.801212970512097</v>
      </c>
      <c r="S2820" s="4">
        <f t="shared" ca="1" si="257"/>
        <v>20.254410671675931</v>
      </c>
    </row>
    <row r="2821" spans="15:19" x14ac:dyDescent="0.2">
      <c r="O2821" s="4">
        <f t="shared" ca="1" si="253"/>
        <v>0.35186547630668963</v>
      </c>
      <c r="P2821" s="4">
        <f t="shared" ca="1" si="254"/>
        <v>-0.38028892910282092</v>
      </c>
      <c r="Q2821" s="4">
        <f t="shared" ca="1" si="255"/>
        <v>1934.7851203866403</v>
      </c>
      <c r="R2821" s="4">
        <f t="shared" ca="1" si="256"/>
        <v>11.115076386640339</v>
      </c>
      <c r="S2821" s="4">
        <f t="shared" ca="1" si="257"/>
        <v>5.6768518742211995</v>
      </c>
    </row>
    <row r="2822" spans="15:19" x14ac:dyDescent="0.2">
      <c r="O2822" s="4">
        <f t="shared" ca="1" si="253"/>
        <v>0.31077617983173744</v>
      </c>
      <c r="P2822" s="4">
        <f t="shared" ca="1" si="254"/>
        <v>-0.49365144815724465</v>
      </c>
      <c r="Q2822" s="4">
        <f t="shared" ca="1" si="255"/>
        <v>1938.2194328682122</v>
      </c>
      <c r="R2822" s="4">
        <f t="shared" ca="1" si="256"/>
        <v>14.549388868212191</v>
      </c>
      <c r="S2822" s="4">
        <f t="shared" ca="1" si="257"/>
        <v>7.4512134885971246</v>
      </c>
    </row>
    <row r="2823" spans="15:19" x14ac:dyDescent="0.2">
      <c r="O2823" s="4">
        <f t="shared" ca="1" si="253"/>
        <v>0.3234856304700009</v>
      </c>
      <c r="P2823" s="4">
        <f t="shared" ca="1" si="254"/>
        <v>-0.4579738049602729</v>
      </c>
      <c r="Q2823" s="4">
        <f t="shared" ca="1" si="255"/>
        <v>1937.1385802516118</v>
      </c>
      <c r="R2823" s="4">
        <f t="shared" ca="1" si="256"/>
        <v>13.468536251611795</v>
      </c>
      <c r="S2823" s="4">
        <f t="shared" ca="1" si="257"/>
        <v>6.8917479290401156</v>
      </c>
    </row>
    <row r="2824" spans="15:19" x14ac:dyDescent="0.2">
      <c r="O2824" s="4">
        <f t="shared" ca="1" si="253"/>
        <v>8.3971262335151842E-3</v>
      </c>
      <c r="P2824" s="4">
        <f t="shared" ca="1" si="254"/>
        <v>-2.3911814088761072</v>
      </c>
      <c r="Q2824" s="4">
        <f t="shared" ca="1" si="255"/>
        <v>1995.7050187797649</v>
      </c>
      <c r="R2824" s="4">
        <f t="shared" ca="1" si="256"/>
        <v>72.03497477976498</v>
      </c>
      <c r="S2824" s="4">
        <f t="shared" ca="1" si="257"/>
        <v>38.577107323955957</v>
      </c>
    </row>
    <row r="2825" spans="15:19" x14ac:dyDescent="0.2">
      <c r="O2825" s="4">
        <f t="shared" ca="1" si="253"/>
        <v>0.22805145928400283</v>
      </c>
      <c r="P2825" s="4">
        <f t="shared" ca="1" si="254"/>
        <v>-0.74527925637453241</v>
      </c>
      <c r="Q2825" s="4">
        <f t="shared" ca="1" si="255"/>
        <v>1945.8424861461328</v>
      </c>
      <c r="R2825" s="4">
        <f t="shared" ca="1" si="256"/>
        <v>22.17244214613288</v>
      </c>
      <c r="S2825" s="4">
        <f t="shared" ca="1" si="257"/>
        <v>11.424029620531019</v>
      </c>
    </row>
    <row r="2826" spans="15:19" x14ac:dyDescent="0.2">
      <c r="O2826" s="4">
        <f t="shared" ca="1" si="253"/>
        <v>0.15386577091815568</v>
      </c>
      <c r="P2826" s="4">
        <f t="shared" ca="1" si="254"/>
        <v>-1.0199935034469036</v>
      </c>
      <c r="Q2826" s="4">
        <f t="shared" ca="1" si="255"/>
        <v>1954.1649420641536</v>
      </c>
      <c r="R2826" s="4">
        <f t="shared" ca="1" si="256"/>
        <v>30.494898064153631</v>
      </c>
      <c r="S2826" s="4">
        <f t="shared" ca="1" si="257"/>
        <v>15.815365565244848</v>
      </c>
    </row>
    <row r="2827" spans="15:19" x14ac:dyDescent="0.2">
      <c r="O2827" s="4">
        <f t="shared" ca="1" si="253"/>
        <v>0.49264787752127437</v>
      </c>
      <c r="P2827" s="4">
        <f t="shared" ca="1" si="254"/>
        <v>-1.8430081381739526E-2</v>
      </c>
      <c r="Q2827" s="4">
        <f t="shared" ca="1" si="255"/>
        <v>1923.8226226610998</v>
      </c>
      <c r="R2827" s="4">
        <f t="shared" ca="1" si="256"/>
        <v>0.15257866109982388</v>
      </c>
      <c r="S2827" s="4">
        <f t="shared" ca="1" si="257"/>
        <v>7.7246289414746372E-2</v>
      </c>
    </row>
    <row r="2828" spans="15:19" x14ac:dyDescent="0.2">
      <c r="O2828" s="4">
        <f t="shared" ca="1" si="253"/>
        <v>0.99994078674610276</v>
      </c>
      <c r="P2828" s="4">
        <f t="shared" ca="1" si="254"/>
        <v>3.8493607024716905</v>
      </c>
      <c r="Q2828" s="4">
        <f t="shared" ca="1" si="255"/>
        <v>1806.6480725902875</v>
      </c>
      <c r="R2828" s="4">
        <f t="shared" ca="1" si="256"/>
        <v>-117.02197140971248</v>
      </c>
      <c r="S2828" s="4">
        <f t="shared" ca="1" si="257"/>
        <v>-53.663204450166035</v>
      </c>
    </row>
    <row r="2829" spans="15:19" x14ac:dyDescent="0.2">
      <c r="O2829" s="4">
        <f t="shared" ca="1" si="253"/>
        <v>0.15647492550135844</v>
      </c>
      <c r="P2829" s="4">
        <f t="shared" ca="1" si="254"/>
        <v>-1.0090516775400977</v>
      </c>
      <c r="Q2829" s="4">
        <f t="shared" ca="1" si="255"/>
        <v>1953.8334599341129</v>
      </c>
      <c r="R2829" s="4">
        <f t="shared" ca="1" si="256"/>
        <v>30.163415934112891</v>
      </c>
      <c r="S2829" s="4">
        <f t="shared" ca="1" si="257"/>
        <v>15.639381063368704</v>
      </c>
    </row>
    <row r="2830" spans="15:19" x14ac:dyDescent="0.2">
      <c r="O2830" s="4">
        <f t="shared" ca="1" si="253"/>
        <v>0.81105779602370431</v>
      </c>
      <c r="P2830" s="4">
        <f t="shared" ca="1" si="254"/>
        <v>0.88180104222579769</v>
      </c>
      <c r="Q2830" s="4">
        <f t="shared" ca="1" si="255"/>
        <v>1896.5501607407673</v>
      </c>
      <c r="R2830" s="4">
        <f t="shared" ca="1" si="256"/>
        <v>-27.119883259232665</v>
      </c>
      <c r="S2830" s="4">
        <f t="shared" ca="1" si="257"/>
        <v>-13.42895598414278</v>
      </c>
    </row>
    <row r="2831" spans="15:19" x14ac:dyDescent="0.2">
      <c r="O2831" s="4">
        <f t="shared" ca="1" si="253"/>
        <v>9.9999134506954301E-2</v>
      </c>
      <c r="P2831" s="4">
        <f t="shared" ca="1" si="254"/>
        <v>-1.2815564971913642</v>
      </c>
      <c r="Q2831" s="4">
        <f t="shared" ca="1" si="255"/>
        <v>1962.0889813465076</v>
      </c>
      <c r="R2831" s="4">
        <f t="shared" ca="1" si="256"/>
        <v>38.418937346507619</v>
      </c>
      <c r="S2831" s="4">
        <f t="shared" ca="1" si="257"/>
        <v>20.048882574823221</v>
      </c>
    </row>
    <row r="2832" spans="15:19" x14ac:dyDescent="0.2">
      <c r="O2832" s="4">
        <f t="shared" ca="1" si="253"/>
        <v>0.46418436484431669</v>
      </c>
      <c r="P2832" s="4">
        <f t="shared" ca="1" si="254"/>
        <v>-8.9897422146074005E-2</v>
      </c>
      <c r="Q2832" s="4">
        <f t="shared" ca="1" si="255"/>
        <v>1925.9877225764769</v>
      </c>
      <c r="R2832" s="4">
        <f t="shared" ca="1" si="256"/>
        <v>2.3176785764769647</v>
      </c>
      <c r="S2832" s="4">
        <f t="shared" ca="1" si="257"/>
        <v>1.1754182237418853</v>
      </c>
    </row>
    <row r="2833" spans="15:19" x14ac:dyDescent="0.2">
      <c r="O2833" s="4">
        <f t="shared" ca="1" si="253"/>
        <v>0.26180784594773698</v>
      </c>
      <c r="P2833" s="4">
        <f t="shared" ca="1" si="254"/>
        <v>-0.637781856310775</v>
      </c>
      <c r="Q2833" s="4">
        <f t="shared" ca="1" si="255"/>
        <v>1942.5858571839779</v>
      </c>
      <c r="R2833" s="4">
        <f t="shared" ca="1" si="256"/>
        <v>18.915813183977889</v>
      </c>
      <c r="S2833" s="4">
        <f t="shared" ca="1" si="257"/>
        <v>9.7210225331343203</v>
      </c>
    </row>
    <row r="2834" spans="15:19" x14ac:dyDescent="0.2">
      <c r="O2834" s="4">
        <f t="shared" ca="1" si="253"/>
        <v>0.64020765506663257</v>
      </c>
      <c r="P2834" s="4">
        <f t="shared" ca="1" si="254"/>
        <v>0.35901390131117827</v>
      </c>
      <c r="Q2834" s="4">
        <f t="shared" ca="1" si="255"/>
        <v>1912.3879739635515</v>
      </c>
      <c r="R2834" s="4">
        <f t="shared" ca="1" si="256"/>
        <v>-11.282070036448431</v>
      </c>
      <c r="S2834" s="4">
        <f t="shared" ca="1" si="257"/>
        <v>-5.6592805104019739</v>
      </c>
    </row>
    <row r="2835" spans="15:19" x14ac:dyDescent="0.2">
      <c r="O2835" s="4">
        <f t="shared" ca="1" si="253"/>
        <v>0.33438317068287327</v>
      </c>
      <c r="P2835" s="4">
        <f t="shared" ca="1" si="254"/>
        <v>-0.42784174600353586</v>
      </c>
      <c r="Q2835" s="4">
        <f t="shared" ca="1" si="255"/>
        <v>1936.2257308633502</v>
      </c>
      <c r="R2835" s="4">
        <f t="shared" ca="1" si="256"/>
        <v>12.555686863350275</v>
      </c>
      <c r="S2835" s="4">
        <f t="shared" ca="1" si="257"/>
        <v>6.4199842110553886</v>
      </c>
    </row>
    <row r="2836" spans="15:19" x14ac:dyDescent="0.2">
      <c r="O2836" s="4">
        <f t="shared" ca="1" si="253"/>
        <v>0.66639201018479499</v>
      </c>
      <c r="P2836" s="4">
        <f t="shared" ca="1" si="254"/>
        <v>0.42997204075237022</v>
      </c>
      <c r="Q2836" s="4">
        <f t="shared" ca="1" si="255"/>
        <v>1910.238300279651</v>
      </c>
      <c r="R2836" s="4">
        <f t="shared" ca="1" si="256"/>
        <v>-13.431743720349004</v>
      </c>
      <c r="S2836" s="4">
        <f t="shared" ca="1" si="257"/>
        <v>-6.7258401668426044</v>
      </c>
    </row>
    <row r="2837" spans="15:19" x14ac:dyDescent="0.2">
      <c r="O2837" s="4">
        <f t="shared" ca="1" si="253"/>
        <v>0.85707313041519606</v>
      </c>
      <c r="P2837" s="4">
        <f t="shared" ca="1" si="254"/>
        <v>1.0672615642084406</v>
      </c>
      <c r="Q2837" s="4">
        <f t="shared" ca="1" si="255"/>
        <v>1890.9316424615645</v>
      </c>
      <c r="R2837" s="4">
        <f t="shared" ca="1" si="256"/>
        <v>-32.738401538435483</v>
      </c>
      <c r="S2837" s="4">
        <f t="shared" ca="1" si="257"/>
        <v>-16.136201537297847</v>
      </c>
    </row>
    <row r="2838" spans="15:19" x14ac:dyDescent="0.2">
      <c r="O2838" s="4">
        <f t="shared" ca="1" si="253"/>
        <v>0.62156375802721231</v>
      </c>
      <c r="P2838" s="4">
        <f t="shared" ca="1" si="254"/>
        <v>0.30959036529831135</v>
      </c>
      <c r="Q2838" s="4">
        <f t="shared" ca="1" si="255"/>
        <v>1913.8852577927062</v>
      </c>
      <c r="R2838" s="4">
        <f t="shared" ca="1" si="256"/>
        <v>-9.7847862072937914</v>
      </c>
      <c r="S2838" s="4">
        <f t="shared" ca="1" si="257"/>
        <v>-4.9141809806382204</v>
      </c>
    </row>
    <row r="2839" spans="15:19" x14ac:dyDescent="0.2">
      <c r="O2839" s="4">
        <f t="shared" ca="1" si="253"/>
        <v>0.92000049248964566</v>
      </c>
      <c r="P2839" s="4">
        <f t="shared" ca="1" si="254"/>
        <v>1.4050748730377773</v>
      </c>
      <c r="Q2839" s="4">
        <f t="shared" ca="1" si="255"/>
        <v>1880.6976032691514</v>
      </c>
      <c r="R2839" s="4">
        <f t="shared" ca="1" si="256"/>
        <v>-42.972440730848575</v>
      </c>
      <c r="S2839" s="4">
        <f t="shared" ca="1" si="257"/>
        <v>-21.0013638950082</v>
      </c>
    </row>
    <row r="2840" spans="15:19" x14ac:dyDescent="0.2">
      <c r="O2840" s="4">
        <f t="shared" ca="1" si="253"/>
        <v>0.46340422557408856</v>
      </c>
      <c r="P2840" s="4">
        <f t="shared" ca="1" si="254"/>
        <v>-9.1861033658110866E-2</v>
      </c>
      <c r="Q2840" s="4">
        <f t="shared" ca="1" si="255"/>
        <v>1926.0472101000519</v>
      </c>
      <c r="R2840" s="4">
        <f t="shared" ca="1" si="256"/>
        <v>2.3771661000519089</v>
      </c>
      <c r="S2840" s="4">
        <f t="shared" ca="1" si="257"/>
        <v>1.2056450790500113</v>
      </c>
    </row>
    <row r="2841" spans="15:19" x14ac:dyDescent="0.2">
      <c r="O2841" s="4">
        <f t="shared" ca="1" si="253"/>
        <v>0.92566728908950102</v>
      </c>
      <c r="P2841" s="4">
        <f t="shared" ca="1" si="254"/>
        <v>1.4442615332648052</v>
      </c>
      <c r="Q2841" s="4">
        <f t="shared" ca="1" si="255"/>
        <v>1879.5104451374218</v>
      </c>
      <c r="R2841" s="4">
        <f t="shared" ca="1" si="256"/>
        <v>-44.15959886257815</v>
      </c>
      <c r="S2841" s="4">
        <f t="shared" ca="1" si="257"/>
        <v>-21.560207928415309</v>
      </c>
    </row>
    <row r="2842" spans="15:19" x14ac:dyDescent="0.2">
      <c r="O2842" s="4">
        <f t="shared" ca="1" si="253"/>
        <v>0.38981978606151901</v>
      </c>
      <c r="P2842" s="4">
        <f t="shared" ca="1" si="254"/>
        <v>-0.27978876461831698</v>
      </c>
      <c r="Q2842" s="4">
        <f t="shared" ca="1" si="255"/>
        <v>1931.7404723656889</v>
      </c>
      <c r="R2842" s="4">
        <f t="shared" ca="1" si="256"/>
        <v>8.0704283656889402</v>
      </c>
      <c r="S2842" s="4">
        <f t="shared" ca="1" si="257"/>
        <v>4.1118430448923249</v>
      </c>
    </row>
    <row r="2843" spans="15:19" x14ac:dyDescent="0.2">
      <c r="O2843" s="4">
        <f t="shared" ca="1" si="253"/>
        <v>0.31095128496349489</v>
      </c>
      <c r="P2843" s="4">
        <f t="shared" ca="1" si="254"/>
        <v>-0.4931557096258784</v>
      </c>
      <c r="Q2843" s="4">
        <f t="shared" ca="1" si="255"/>
        <v>1938.2044144914146</v>
      </c>
      <c r="R2843" s="4">
        <f t="shared" ca="1" si="256"/>
        <v>14.53437049141462</v>
      </c>
      <c r="S2843" s="4">
        <f t="shared" ca="1" si="257"/>
        <v>7.4434332350427495</v>
      </c>
    </row>
    <row r="2844" spans="15:19" x14ac:dyDescent="0.2">
      <c r="O2844" s="4">
        <f t="shared" ca="1" si="253"/>
        <v>0.54143002985432309</v>
      </c>
      <c r="P2844" s="4">
        <f t="shared" ca="1" si="254"/>
        <v>0.1040370577514201</v>
      </c>
      <c r="Q2844" s="4">
        <f t="shared" ca="1" si="255"/>
        <v>1920.1124861184787</v>
      </c>
      <c r="R2844" s="4">
        <f t="shared" ca="1" si="256"/>
        <v>-3.5575578815212339</v>
      </c>
      <c r="S2844" s="4">
        <f t="shared" ca="1" si="257"/>
        <v>-1.7957186886744703</v>
      </c>
    </row>
    <row r="2845" spans="15:19" x14ac:dyDescent="0.2">
      <c r="O2845" s="4">
        <f t="shared" ca="1" si="253"/>
        <v>7.896063896151162E-4</v>
      </c>
      <c r="P2845" s="4">
        <f t="shared" ca="1" si="254"/>
        <v>-3.159719163593361</v>
      </c>
      <c r="Q2845" s="4">
        <f t="shared" ca="1" si="255"/>
        <v>2018.9878359366196</v>
      </c>
      <c r="R2845" s="4">
        <f t="shared" ca="1" si="256"/>
        <v>95.317791936619642</v>
      </c>
      <c r="S2845" s="4">
        <f t="shared" ca="1" si="257"/>
        <v>51.949219810262733</v>
      </c>
    </row>
    <row r="2846" spans="15:19" x14ac:dyDescent="0.2">
      <c r="O2846" s="4">
        <f t="shared" ca="1" si="253"/>
        <v>0.79756876014311995</v>
      </c>
      <c r="P2846" s="4">
        <f t="shared" ca="1" si="254"/>
        <v>0.83296852691524947</v>
      </c>
      <c r="Q2846" s="4">
        <f t="shared" ca="1" si="255"/>
        <v>1898.029539623986</v>
      </c>
      <c r="R2846" s="4">
        <f t="shared" ca="1" si="256"/>
        <v>-25.640504376013951</v>
      </c>
      <c r="S2846" s="4">
        <f t="shared" ca="1" si="257"/>
        <v>-12.711852715888305</v>
      </c>
    </row>
    <row r="2847" spans="15:19" x14ac:dyDescent="0.2">
      <c r="O2847" s="4">
        <f t="shared" ca="1" si="253"/>
        <v>0.80295107141527344</v>
      </c>
      <c r="P2847" s="4">
        <f t="shared" ca="1" si="254"/>
        <v>0.85220944173694657</v>
      </c>
      <c r="Q2847" s="4">
        <f t="shared" ca="1" si="255"/>
        <v>1897.44663696374</v>
      </c>
      <c r="R2847" s="4">
        <f t="shared" ca="1" si="256"/>
        <v>-26.223407036259914</v>
      </c>
      <c r="S2847" s="4">
        <f t="shared" ca="1" si="257"/>
        <v>-12.994617393119087</v>
      </c>
    </row>
    <row r="2848" spans="15:19" x14ac:dyDescent="0.2">
      <c r="O2848" s="4">
        <f t="shared" ca="1" si="253"/>
        <v>0.86065877211255881</v>
      </c>
      <c r="P2848" s="4">
        <f t="shared" ca="1" si="254"/>
        <v>1.0832838402667957</v>
      </c>
      <c r="Q2848" s="4">
        <f t="shared" ca="1" si="255"/>
        <v>1890.4462483197494</v>
      </c>
      <c r="R2848" s="4">
        <f t="shared" ca="1" si="256"/>
        <v>-33.223795680250532</v>
      </c>
      <c r="S2848" s="4">
        <f t="shared" ca="1" si="257"/>
        <v>-16.368879400534876</v>
      </c>
    </row>
    <row r="2849" spans="15:19" x14ac:dyDescent="0.2">
      <c r="O2849" s="4">
        <f t="shared" ca="1" si="253"/>
        <v>3.5728933764798798E-2</v>
      </c>
      <c r="P2849" s="4">
        <f t="shared" ca="1" si="254"/>
        <v>-1.8025566675911688</v>
      </c>
      <c r="Q2849" s="4">
        <f t="shared" ca="1" si="255"/>
        <v>1977.8726583768855</v>
      </c>
      <c r="R2849" s="4">
        <f t="shared" ca="1" si="256"/>
        <v>54.202614376885549</v>
      </c>
      <c r="S2849" s="4">
        <f t="shared" ca="1" si="257"/>
        <v>28.63383251291182</v>
      </c>
    </row>
    <row r="2850" spans="15:19" x14ac:dyDescent="0.2">
      <c r="O2850" s="4">
        <f t="shared" ca="1" si="253"/>
        <v>5.8135414223167259E-2</v>
      </c>
      <c r="P2850" s="4">
        <f t="shared" ca="1" si="254"/>
        <v>-1.5706204865541482</v>
      </c>
      <c r="Q2850" s="4">
        <f t="shared" ca="1" si="255"/>
        <v>1970.8461620701025</v>
      </c>
      <c r="R2850" s="4">
        <f t="shared" ca="1" si="256"/>
        <v>47.176118070102575</v>
      </c>
      <c r="S2850" s="4">
        <f t="shared" ca="1" si="257"/>
        <v>24.786980669807537</v>
      </c>
    </row>
    <row r="2851" spans="15:19" x14ac:dyDescent="0.2">
      <c r="O2851" s="4">
        <f t="shared" ca="1" si="253"/>
        <v>0.87034893134595659</v>
      </c>
      <c r="P2851" s="4">
        <f t="shared" ca="1" si="254"/>
        <v>1.1280421057536107</v>
      </c>
      <c r="Q2851" s="4">
        <f t="shared" ca="1" si="255"/>
        <v>1889.0902986540484</v>
      </c>
      <c r="R2851" s="4">
        <f t="shared" ca="1" si="256"/>
        <v>-34.579745345951551</v>
      </c>
      <c r="S2851" s="4">
        <f t="shared" ca="1" si="257"/>
        <v>-17.017849195386496</v>
      </c>
    </row>
    <row r="2852" spans="15:19" x14ac:dyDescent="0.2">
      <c r="O2852" s="4">
        <f t="shared" ca="1" si="253"/>
        <v>0.82192151929823298</v>
      </c>
      <c r="P2852" s="4">
        <f t="shared" ca="1" si="254"/>
        <v>0.9227126699010082</v>
      </c>
      <c r="Q2852" s="4">
        <f t="shared" ca="1" si="255"/>
        <v>1895.3107447967823</v>
      </c>
      <c r="R2852" s="4">
        <f t="shared" ca="1" si="256"/>
        <v>-28.359299203217688</v>
      </c>
      <c r="S2852" s="4">
        <f t="shared" ca="1" si="257"/>
        <v>-14.028369669060833</v>
      </c>
    </row>
    <row r="2853" spans="15:19" x14ac:dyDescent="0.2">
      <c r="O2853" s="4">
        <f t="shared" ca="1" si="253"/>
        <v>0.53618808323049427</v>
      </c>
      <c r="P2853" s="4">
        <f t="shared" ca="1" si="254"/>
        <v>9.0834830708377334E-2</v>
      </c>
      <c r="Q2853" s="4">
        <f t="shared" ca="1" si="255"/>
        <v>1920.5124470005821</v>
      </c>
      <c r="R2853" s="4">
        <f t="shared" ca="1" si="256"/>
        <v>-3.1575969994178195</v>
      </c>
      <c r="S2853" s="4">
        <f t="shared" ca="1" si="257"/>
        <v>-1.5943478788038603</v>
      </c>
    </row>
    <row r="2854" spans="15:19" x14ac:dyDescent="0.2">
      <c r="O2854" s="4">
        <f t="shared" ca="1" si="253"/>
        <v>0.98101805342450188</v>
      </c>
      <c r="P2854" s="4">
        <f t="shared" ca="1" si="254"/>
        <v>2.0752443611376363</v>
      </c>
      <c r="Q2854" s="4">
        <f t="shared" ca="1" si="255"/>
        <v>1860.3948483820184</v>
      </c>
      <c r="R2854" s="4">
        <f t="shared" ca="1" si="256"/>
        <v>-63.275195617981581</v>
      </c>
      <c r="S2854" s="4">
        <f t="shared" ca="1" si="257"/>
        <v>-30.40072022897132</v>
      </c>
    </row>
    <row r="2855" spans="15:19" x14ac:dyDescent="0.2">
      <c r="O2855" s="4">
        <f t="shared" ca="1" si="253"/>
        <v>0.96280151647750434</v>
      </c>
      <c r="P2855" s="4">
        <f t="shared" ca="1" si="254"/>
        <v>1.7841643270870595</v>
      </c>
      <c r="Q2855" s="4">
        <f t="shared" ca="1" si="255"/>
        <v>1869.2131050899193</v>
      </c>
      <c r="R2855" s="4">
        <f t="shared" ca="1" si="256"/>
        <v>-54.45693891008068</v>
      </c>
      <c r="S2855" s="4">
        <f t="shared" ca="1" si="257"/>
        <v>-26.35944839836483</v>
      </c>
    </row>
    <row r="2856" spans="15:19" x14ac:dyDescent="0.2">
      <c r="O2856" s="4">
        <f t="shared" ca="1" si="253"/>
        <v>8.8091110990822785E-2</v>
      </c>
      <c r="P2856" s="4">
        <f t="shared" ca="1" si="254"/>
        <v>-1.3526038495564801</v>
      </c>
      <c r="Q2856" s="4">
        <f t="shared" ca="1" si="255"/>
        <v>1964.2413577319778</v>
      </c>
      <c r="R2856" s="4">
        <f t="shared" ca="1" si="256"/>
        <v>40.571313731977853</v>
      </c>
      <c r="S2856" s="4">
        <f t="shared" ca="1" si="257"/>
        <v>21.207645170704591</v>
      </c>
    </row>
    <row r="2857" spans="15:19" x14ac:dyDescent="0.2">
      <c r="O2857" s="4">
        <f t="shared" ca="1" si="253"/>
        <v>0.51273104964239291</v>
      </c>
      <c r="P2857" s="4">
        <f t="shared" ca="1" si="254"/>
        <v>3.191742733648753E-2</v>
      </c>
      <c r="Q2857" s="4">
        <f t="shared" ca="1" si="255"/>
        <v>1922.29734711986</v>
      </c>
      <c r="R2857" s="4">
        <f t="shared" ca="1" si="256"/>
        <v>-1.3726968801399835</v>
      </c>
      <c r="S2857" s="4">
        <f t="shared" ca="1" si="257"/>
        <v>-0.69410556695422343</v>
      </c>
    </row>
    <row r="2858" spans="15:19" x14ac:dyDescent="0.2">
      <c r="O2858" s="4">
        <f t="shared" ca="1" si="253"/>
        <v>0.58775772707336726</v>
      </c>
      <c r="P2858" s="4">
        <f t="shared" ca="1" si="254"/>
        <v>0.22178077533380525</v>
      </c>
      <c r="Q2858" s="4">
        <f t="shared" ca="1" si="255"/>
        <v>1916.5454454220232</v>
      </c>
      <c r="R2858" s="4">
        <f t="shared" ca="1" si="256"/>
        <v>-7.1245985779767125</v>
      </c>
      <c r="S2858" s="4">
        <f t="shared" ca="1" si="257"/>
        <v>-3.5858787897565154</v>
      </c>
    </row>
    <row r="2859" spans="15:19" x14ac:dyDescent="0.2">
      <c r="O2859" s="4">
        <f t="shared" ca="1" si="253"/>
        <v>0.63383990914440513</v>
      </c>
      <c r="P2859" s="4">
        <f t="shared" ca="1" si="254"/>
        <v>0.34204080834085748</v>
      </c>
      <c r="Q2859" s="4">
        <f t="shared" ca="1" si="255"/>
        <v>1912.9021730614993</v>
      </c>
      <c r="R2859" s="4">
        <f t="shared" ca="1" si="256"/>
        <v>-10.767870938500664</v>
      </c>
      <c r="S2859" s="4">
        <f t="shared" ca="1" si="257"/>
        <v>-5.4036032656967077</v>
      </c>
    </row>
    <row r="2860" spans="15:19" x14ac:dyDescent="0.2">
      <c r="O2860" s="4">
        <f t="shared" ca="1" si="253"/>
        <v>0.59144861765861667</v>
      </c>
      <c r="P2860" s="4">
        <f t="shared" ca="1" si="254"/>
        <v>0.23127294377271307</v>
      </c>
      <c r="Q2860" s="4">
        <f t="shared" ca="1" si="255"/>
        <v>1916.2578806006093</v>
      </c>
      <c r="R2860" s="4">
        <f t="shared" ca="1" si="256"/>
        <v>-7.4121633993906926</v>
      </c>
      <c r="S2860" s="4">
        <f t="shared" ca="1" si="257"/>
        <v>-3.7297452632705412</v>
      </c>
    </row>
    <row r="2861" spans="15:19" x14ac:dyDescent="0.2">
      <c r="O2861" s="4">
        <f t="shared" ca="1" si="253"/>
        <v>0.85028586182631138</v>
      </c>
      <c r="P2861" s="4">
        <f t="shared" ca="1" si="254"/>
        <v>1.0376602087513986</v>
      </c>
      <c r="Q2861" s="4">
        <f t="shared" ca="1" si="255"/>
        <v>1891.8284142108648</v>
      </c>
      <c r="R2861" s="4">
        <f t="shared" ca="1" si="256"/>
        <v>-31.841629789135141</v>
      </c>
      <c r="S2861" s="4">
        <f t="shared" ca="1" si="257"/>
        <v>-15.705821717014253</v>
      </c>
    </row>
    <row r="2862" spans="15:19" x14ac:dyDescent="0.2">
      <c r="O2862" s="4">
        <f t="shared" ca="1" si="253"/>
        <v>7.7135754985846905E-2</v>
      </c>
      <c r="P2862" s="4">
        <f t="shared" ca="1" si="254"/>
        <v>-1.4246046678330675</v>
      </c>
      <c r="Q2862" s="4">
        <f t="shared" ca="1" si="255"/>
        <v>1966.4226193249031</v>
      </c>
      <c r="R2862" s="4">
        <f t="shared" ca="1" si="256"/>
        <v>42.752575324903091</v>
      </c>
      <c r="S2862" s="4">
        <f t="shared" ca="1" si="257"/>
        <v>22.385806474136086</v>
      </c>
    </row>
    <row r="2863" spans="15:19" x14ac:dyDescent="0.2">
      <c r="O2863" s="4">
        <f t="shared" ca="1" si="253"/>
        <v>0.80923818941361192</v>
      </c>
      <c r="P2863" s="4">
        <f t="shared" ca="1" si="254"/>
        <v>0.87509241985229558</v>
      </c>
      <c r="Q2863" s="4">
        <f t="shared" ca="1" si="255"/>
        <v>1896.7533981577167</v>
      </c>
      <c r="R2863" s="4">
        <f t="shared" ca="1" si="256"/>
        <v>-26.916645842283287</v>
      </c>
      <c r="S2863" s="4">
        <f t="shared" ca="1" si="257"/>
        <v>-13.330545746796005</v>
      </c>
    </row>
    <row r="2864" spans="15:19" x14ac:dyDescent="0.2">
      <c r="O2864" s="4">
        <f t="shared" ca="1" si="253"/>
        <v>6.4498900154635552E-2</v>
      </c>
      <c r="P2864" s="4">
        <f t="shared" ca="1" si="254"/>
        <v>-1.5180658452284994</v>
      </c>
      <c r="Q2864" s="4">
        <f t="shared" ca="1" si="255"/>
        <v>1969.2540215445151</v>
      </c>
      <c r="R2864" s="4">
        <f t="shared" ca="1" si="256"/>
        <v>45.583977544515164</v>
      </c>
      <c r="S2864" s="4">
        <f t="shared" ca="1" si="257"/>
        <v>23.92090466443539</v>
      </c>
    </row>
    <row r="2865" spans="15:19" x14ac:dyDescent="0.2">
      <c r="O2865" s="4">
        <f t="shared" ca="1" si="253"/>
        <v>0.92119466018274987</v>
      </c>
      <c r="P2865" s="4">
        <f t="shared" ca="1" si="254"/>
        <v>1.4131532137858482</v>
      </c>
      <c r="Q2865" s="4">
        <f t="shared" ca="1" si="255"/>
        <v>1880.4528702948585</v>
      </c>
      <c r="R2865" s="4">
        <f t="shared" ca="1" si="256"/>
        <v>-43.217173705141477</v>
      </c>
      <c r="S2865" s="4">
        <f t="shared" ca="1" si="257"/>
        <v>-21.116663633160261</v>
      </c>
    </row>
    <row r="2866" spans="15:19" x14ac:dyDescent="0.2">
      <c r="O2866" s="4">
        <f t="shared" ca="1" si="253"/>
        <v>0.83203331747689147</v>
      </c>
      <c r="P2866" s="4">
        <f t="shared" ca="1" si="254"/>
        <v>0.96223142877077372</v>
      </c>
      <c r="Q2866" s="4">
        <f t="shared" ca="1" si="255"/>
        <v>1894.1135257514159</v>
      </c>
      <c r="R2866" s="4">
        <f t="shared" ca="1" si="256"/>
        <v>-29.556518248584098</v>
      </c>
      <c r="S2866" s="4">
        <f t="shared" ca="1" si="257"/>
        <v>-14.606188343194187</v>
      </c>
    </row>
    <row r="2867" spans="15:19" x14ac:dyDescent="0.2">
      <c r="O2867" s="4">
        <f t="shared" ca="1" si="253"/>
        <v>0.40010726432146215</v>
      </c>
      <c r="P2867" s="4">
        <f t="shared" ca="1" si="254"/>
        <v>-0.25306947242920469</v>
      </c>
      <c r="Q2867" s="4">
        <f t="shared" ca="1" si="255"/>
        <v>1930.9310125951295</v>
      </c>
      <c r="R2867" s="4">
        <f t="shared" ca="1" si="256"/>
        <v>7.2609685951294978</v>
      </c>
      <c r="S2867" s="4">
        <f t="shared" ca="1" si="257"/>
        <v>3.6970347906816015</v>
      </c>
    </row>
    <row r="2868" spans="15:19" x14ac:dyDescent="0.2">
      <c r="O2868" s="4">
        <f t="shared" ca="1" si="253"/>
        <v>0.68080080562869083</v>
      </c>
      <c r="P2868" s="4">
        <f t="shared" ca="1" si="254"/>
        <v>0.46993929523502831</v>
      </c>
      <c r="Q2868" s="4">
        <f t="shared" ca="1" si="255"/>
        <v>1909.0274940796048</v>
      </c>
      <c r="R2868" s="4">
        <f t="shared" ca="1" si="256"/>
        <v>-14.64254992039514</v>
      </c>
      <c r="S2868" s="4">
        <f t="shared" ca="1" si="257"/>
        <v>-7.3249248126580717</v>
      </c>
    </row>
    <row r="2869" spans="15:19" x14ac:dyDescent="0.2">
      <c r="O2869" s="4">
        <f t="shared" ca="1" si="253"/>
        <v>0.44090194272602345</v>
      </c>
      <c r="P2869" s="4">
        <f t="shared" ca="1" si="254"/>
        <v>-0.14868286149581778</v>
      </c>
      <c r="Q2869" s="4">
        <f t="shared" ca="1" si="255"/>
        <v>1927.7686248515633</v>
      </c>
      <c r="R2869" s="4">
        <f t="shared" ca="1" si="256"/>
        <v>4.0985808515633835</v>
      </c>
      <c r="S2869" s="4">
        <f t="shared" ca="1" si="257"/>
        <v>2.0815798697061125</v>
      </c>
    </row>
    <row r="2870" spans="15:19" x14ac:dyDescent="0.2">
      <c r="O2870" s="4">
        <f t="shared" ca="1" si="253"/>
        <v>0.88462871221941752</v>
      </c>
      <c r="P2870" s="4">
        <f t="shared" ca="1" si="254"/>
        <v>1.1984482050583245</v>
      </c>
      <c r="Q2870" s="4">
        <f t="shared" ca="1" si="255"/>
        <v>1886.9573490015723</v>
      </c>
      <c r="R2870" s="4">
        <f t="shared" ca="1" si="256"/>
        <v>-36.712694998427651</v>
      </c>
      <c r="S2870" s="4">
        <f t="shared" ca="1" si="257"/>
        <v>-18.03566895818113</v>
      </c>
    </row>
    <row r="2871" spans="15:19" x14ac:dyDescent="0.2">
      <c r="O2871" s="4">
        <f t="shared" ca="1" si="253"/>
        <v>0.99054756265453925</v>
      </c>
      <c r="P2871" s="4">
        <f t="shared" ca="1" si="254"/>
        <v>2.3474014268850993</v>
      </c>
      <c r="Q2871" s="4">
        <f t="shared" ca="1" si="255"/>
        <v>1852.1498621586995</v>
      </c>
      <c r="R2871" s="4">
        <f t="shared" ca="1" si="256"/>
        <v>-71.520181841300428</v>
      </c>
      <c r="S2871" s="4">
        <f t="shared" ca="1" si="257"/>
        <v>-34.122001963306651</v>
      </c>
    </row>
    <row r="2872" spans="15:19" x14ac:dyDescent="0.2">
      <c r="O2872" s="4">
        <f t="shared" ca="1" si="253"/>
        <v>0.35180246548324023</v>
      </c>
      <c r="P2872" s="4">
        <f t="shared" ca="1" si="254"/>
        <v>-0.38045872331216346</v>
      </c>
      <c r="Q2872" s="4">
        <f t="shared" ca="1" si="255"/>
        <v>1934.7902642946738</v>
      </c>
      <c r="R2872" s="4">
        <f t="shared" ca="1" si="256"/>
        <v>11.1202202946738</v>
      </c>
      <c r="S2872" s="4">
        <f t="shared" ca="1" si="257"/>
        <v>5.6795023299323528</v>
      </c>
    </row>
    <row r="2873" spans="15:19" x14ac:dyDescent="0.2">
      <c r="O2873" s="4">
        <f t="shared" ca="1" si="253"/>
        <v>0.80362551091592538</v>
      </c>
      <c r="P2873" s="4">
        <f t="shared" ca="1" si="254"/>
        <v>0.85464270516088126</v>
      </c>
      <c r="Q2873" s="4">
        <f t="shared" ca="1" si="255"/>
        <v>1897.3729213563463</v>
      </c>
      <c r="R2873" s="4">
        <f t="shared" ca="1" si="256"/>
        <v>-26.297122643653665</v>
      </c>
      <c r="S2873" s="4">
        <f t="shared" ca="1" si="257"/>
        <v>-13.030356953428443</v>
      </c>
    </row>
    <row r="2874" spans="15:19" x14ac:dyDescent="0.2">
      <c r="O2874" s="4">
        <f t="shared" ca="1" si="253"/>
        <v>0.43701822778046406</v>
      </c>
      <c r="P2874" s="4">
        <f t="shared" ca="1" si="254"/>
        <v>-0.15853346152794809</v>
      </c>
      <c r="Q2874" s="4">
        <f t="shared" ca="1" si="255"/>
        <v>1928.0670483421795</v>
      </c>
      <c r="R2874" s="4">
        <f t="shared" ca="1" si="256"/>
        <v>4.3970043421795708</v>
      </c>
      <c r="S2874" s="4">
        <f t="shared" ca="1" si="257"/>
        <v>2.2336767990433213</v>
      </c>
    </row>
    <row r="2875" spans="15:19" x14ac:dyDescent="0.2">
      <c r="O2875" s="4">
        <f t="shared" ca="1" si="253"/>
        <v>3.816820256329212E-2</v>
      </c>
      <c r="P2875" s="4">
        <f t="shared" ca="1" si="254"/>
        <v>-1.7723504281792621</v>
      </c>
      <c r="Q2875" s="4">
        <f t="shared" ca="1" si="255"/>
        <v>1976.9575616950285</v>
      </c>
      <c r="R2875" s="4">
        <f t="shared" ca="1" si="256"/>
        <v>53.287517695028555</v>
      </c>
      <c r="S2875" s="4">
        <f t="shared" ca="1" si="257"/>
        <v>28.130560707641067</v>
      </c>
    </row>
    <row r="2876" spans="15:19" x14ac:dyDescent="0.2">
      <c r="O2876" s="4">
        <f t="shared" ca="1" si="253"/>
        <v>0.27141155805414485</v>
      </c>
      <c r="P2876" s="4">
        <f t="shared" ca="1" si="254"/>
        <v>-0.60854945492910595</v>
      </c>
      <c r="Q2876" s="4">
        <f t="shared" ca="1" si="255"/>
        <v>1941.7002628820094</v>
      </c>
      <c r="R2876" s="4">
        <f t="shared" ca="1" si="256"/>
        <v>18.030218882009422</v>
      </c>
      <c r="S2876" s="4">
        <f t="shared" ca="1" si="257"/>
        <v>9.2594070455956494</v>
      </c>
    </row>
    <row r="2877" spans="15:19" x14ac:dyDescent="0.2">
      <c r="O2877" s="4">
        <f t="shared" ca="1" si="253"/>
        <v>0.46574315331413574</v>
      </c>
      <c r="P2877" s="4">
        <f t="shared" ca="1" si="254"/>
        <v>-8.5974980006286505E-2</v>
      </c>
      <c r="Q2877" s="4">
        <f t="shared" ca="1" si="255"/>
        <v>1925.8688923660047</v>
      </c>
      <c r="R2877" s="4">
        <f t="shared" ca="1" si="256"/>
        <v>2.1988483660047677</v>
      </c>
      <c r="S2877" s="4">
        <f t="shared" ca="1" si="257"/>
        <v>1.1150467332789418</v>
      </c>
    </row>
    <row r="2878" spans="15:19" x14ac:dyDescent="0.2">
      <c r="O2878" s="4">
        <f t="shared" ca="1" si="253"/>
        <v>0.18162550650156195</v>
      </c>
      <c r="P2878" s="4">
        <f t="shared" ca="1" si="254"/>
        <v>-0.90918778089974983</v>
      </c>
      <c r="Q2878" s="4">
        <f t="shared" ca="1" si="255"/>
        <v>1950.8080876192505</v>
      </c>
      <c r="R2878" s="4">
        <f t="shared" ca="1" si="256"/>
        <v>27.138043619250539</v>
      </c>
      <c r="S2878" s="4">
        <f t="shared" ca="1" si="257"/>
        <v>14.03733915601908</v>
      </c>
    </row>
    <row r="2879" spans="15:19" x14ac:dyDescent="0.2">
      <c r="O2879" s="4">
        <f t="shared" ca="1" si="253"/>
        <v>0.10607469671241476</v>
      </c>
      <c r="P2879" s="4">
        <f t="shared" ca="1" si="254"/>
        <v>-1.2476769291168919</v>
      </c>
      <c r="Q2879" s="4">
        <f t="shared" ca="1" si="255"/>
        <v>1961.0626013359106</v>
      </c>
      <c r="R2879" s="4">
        <f t="shared" ca="1" si="256"/>
        <v>37.392557335910624</v>
      </c>
      <c r="S2879" s="4">
        <f t="shared" ca="1" si="257"/>
        <v>19.497644332707381</v>
      </c>
    </row>
    <row r="2880" spans="15:19" x14ac:dyDescent="0.2">
      <c r="O2880" s="4">
        <f t="shared" ca="1" si="253"/>
        <v>0.88537809988181859</v>
      </c>
      <c r="P2880" s="4">
        <f t="shared" ca="1" si="254"/>
        <v>1.2023090800750658</v>
      </c>
      <c r="Q2880" s="4">
        <f t="shared" ca="1" si="255"/>
        <v>1886.840383964359</v>
      </c>
      <c r="R2880" s="4">
        <f t="shared" ca="1" si="256"/>
        <v>-36.829660035640927</v>
      </c>
      <c r="S2880" s="4">
        <f t="shared" ca="1" si="257"/>
        <v>-18.091376243300861</v>
      </c>
    </row>
    <row r="2881" spans="15:19" x14ac:dyDescent="0.2">
      <c r="O2881" s="4">
        <f t="shared" ca="1" si="253"/>
        <v>0.72693224048433736</v>
      </c>
      <c r="P2881" s="4">
        <f t="shared" ca="1" si="254"/>
        <v>0.6035610441593009</v>
      </c>
      <c r="Q2881" s="4">
        <f t="shared" ca="1" si="255"/>
        <v>1904.9794291286155</v>
      </c>
      <c r="R2881" s="4">
        <f t="shared" ca="1" si="256"/>
        <v>-18.690614871384469</v>
      </c>
      <c r="S2881" s="4">
        <f t="shared" ca="1" si="257"/>
        <v>-9.3191671301486334</v>
      </c>
    </row>
    <row r="2882" spans="15:19" x14ac:dyDescent="0.2">
      <c r="O2882" s="4">
        <f t="shared" ca="1" si="253"/>
        <v>0.43103440720692998</v>
      </c>
      <c r="P2882" s="4">
        <f t="shared" ca="1" si="254"/>
        <v>-0.17374125417176761</v>
      </c>
      <c r="Q2882" s="4">
        <f t="shared" ca="1" si="255"/>
        <v>1928.5277677451136</v>
      </c>
      <c r="R2882" s="4">
        <f t="shared" ca="1" si="256"/>
        <v>4.857723745113617</v>
      </c>
      <c r="S2882" s="4">
        <f t="shared" ca="1" si="257"/>
        <v>2.4686331486275397</v>
      </c>
    </row>
    <row r="2883" spans="15:19" x14ac:dyDescent="0.2">
      <c r="O2883" s="4">
        <f t="shared" ref="O2883:O2946" ca="1" si="258">RAND()</f>
        <v>0.30815039294567226</v>
      </c>
      <c r="P2883" s="4">
        <f t="shared" ref="P2883:P2946" ca="1" si="259">NORMSINV(O2883)</f>
        <v>-0.5010999445228802</v>
      </c>
      <c r="Q2883" s="4">
        <f t="shared" ref="Q2883:Q2946" ca="1" si="260">$B$4*(1+$B$17-$B$6/SQRT(252)*P2883)</f>
        <v>1938.445084734903</v>
      </c>
      <c r="R2883" s="4">
        <f t="shared" ref="R2883:R2946" ca="1" si="261">Q2883-$B$4</f>
        <v>14.775040734903087</v>
      </c>
      <c r="S2883" s="4">
        <f t="shared" ref="S2883:S2946" ca="1" si="262">R2883*$B$12+0.5*$B$13*R2883^2</f>
        <v>7.5681342965269858</v>
      </c>
    </row>
    <row r="2884" spans="15:19" x14ac:dyDescent="0.2">
      <c r="O2884" s="4">
        <f t="shared" ca="1" si="258"/>
        <v>0.85653092369702288</v>
      </c>
      <c r="P2884" s="4">
        <f t="shared" ca="1" si="259"/>
        <v>1.0648625097540034</v>
      </c>
      <c r="Q2884" s="4">
        <f t="shared" ca="1" si="260"/>
        <v>1891.0043217097459</v>
      </c>
      <c r="R2884" s="4">
        <f t="shared" ca="1" si="261"/>
        <v>-32.665722290254052</v>
      </c>
      <c r="S2884" s="4">
        <f t="shared" ca="1" si="262"/>
        <v>-16.101345602725086</v>
      </c>
    </row>
    <row r="2885" spans="15:19" x14ac:dyDescent="0.2">
      <c r="O2885" s="4">
        <f t="shared" ca="1" si="258"/>
        <v>0.25907050388647146</v>
      </c>
      <c r="P2885" s="4">
        <f t="shared" ca="1" si="259"/>
        <v>-0.64621363906931228</v>
      </c>
      <c r="Q2885" s="4">
        <f t="shared" ca="1" si="260"/>
        <v>1942.8412976682851</v>
      </c>
      <c r="R2885" s="4">
        <f t="shared" ca="1" si="261"/>
        <v>19.17125366828509</v>
      </c>
      <c r="S2885" s="4">
        <f t="shared" ca="1" si="262"/>
        <v>9.8542893761743429</v>
      </c>
    </row>
    <row r="2886" spans="15:19" x14ac:dyDescent="0.2">
      <c r="O2886" s="4">
        <f t="shared" ca="1" si="258"/>
        <v>0.74007657849348207</v>
      </c>
      <c r="P2886" s="4">
        <f t="shared" ca="1" si="259"/>
        <v>0.64358151058121016</v>
      </c>
      <c r="Q2886" s="4">
        <f t="shared" ca="1" si="260"/>
        <v>1903.7670108752322</v>
      </c>
      <c r="R2886" s="4">
        <f t="shared" ca="1" si="261"/>
        <v>-19.903033124767717</v>
      </c>
      <c r="S2886" s="4">
        <f t="shared" ca="1" si="262"/>
        <v>-9.913857687526523</v>
      </c>
    </row>
    <row r="2887" spans="15:19" x14ac:dyDescent="0.2">
      <c r="O2887" s="4">
        <f t="shared" ca="1" si="258"/>
        <v>0.35270231753853121</v>
      </c>
      <c r="P2887" s="4">
        <f t="shared" ca="1" si="259"/>
        <v>-0.37803494426699913</v>
      </c>
      <c r="Q2887" s="4">
        <f t="shared" ca="1" si="260"/>
        <v>1934.7168360161138</v>
      </c>
      <c r="R2887" s="4">
        <f t="shared" ca="1" si="261"/>
        <v>11.046792016113841</v>
      </c>
      <c r="S2887" s="4">
        <f t="shared" ca="1" si="262"/>
        <v>5.6416696354037299</v>
      </c>
    </row>
    <row r="2888" spans="15:19" x14ac:dyDescent="0.2">
      <c r="O2888" s="4">
        <f t="shared" ca="1" si="258"/>
        <v>0.22609921033277125</v>
      </c>
      <c r="P2888" s="4">
        <f t="shared" ca="1" si="259"/>
        <v>-0.75175497933668645</v>
      </c>
      <c r="Q2888" s="4">
        <f t="shared" ca="1" si="260"/>
        <v>1946.0386678857556</v>
      </c>
      <c r="R2888" s="4">
        <f t="shared" ca="1" si="261"/>
        <v>22.368623885755596</v>
      </c>
      <c r="S2888" s="4">
        <f t="shared" ca="1" si="262"/>
        <v>11.526895768148272</v>
      </c>
    </row>
    <row r="2889" spans="15:19" x14ac:dyDescent="0.2">
      <c r="O2889" s="4">
        <f t="shared" ca="1" si="258"/>
        <v>0.222314080797122</v>
      </c>
      <c r="P2889" s="4">
        <f t="shared" ca="1" si="259"/>
        <v>-0.76440125417557503</v>
      </c>
      <c r="Q2889" s="4">
        <f t="shared" ca="1" si="260"/>
        <v>1946.421786220518</v>
      </c>
      <c r="R2889" s="4">
        <f t="shared" ca="1" si="261"/>
        <v>22.751742220518054</v>
      </c>
      <c r="S2889" s="4">
        <f t="shared" ca="1" si="262"/>
        <v>11.727870799366602</v>
      </c>
    </row>
    <row r="2890" spans="15:19" x14ac:dyDescent="0.2">
      <c r="O2890" s="4">
        <f t="shared" ca="1" si="258"/>
        <v>0.8408607461634916</v>
      </c>
      <c r="P2890" s="4">
        <f t="shared" ca="1" si="259"/>
        <v>0.99800175490739862</v>
      </c>
      <c r="Q2890" s="4">
        <f t="shared" ca="1" si="260"/>
        <v>1893.0298653092732</v>
      </c>
      <c r="R2890" s="4">
        <f t="shared" ca="1" si="261"/>
        <v>-30.640178690726771</v>
      </c>
      <c r="S2890" s="4">
        <f t="shared" ca="1" si="262"/>
        <v>-15.128193616428669</v>
      </c>
    </row>
    <row r="2891" spans="15:19" x14ac:dyDescent="0.2">
      <c r="O2891" s="4">
        <f t="shared" ca="1" si="258"/>
        <v>0.99962625565693719</v>
      </c>
      <c r="P2891" s="4">
        <f t="shared" ca="1" si="259"/>
        <v>3.3715411587984221</v>
      </c>
      <c r="Q2891" s="4">
        <f t="shared" ca="1" si="260"/>
        <v>1821.1235944511611</v>
      </c>
      <c r="R2891" s="4">
        <f t="shared" ca="1" si="261"/>
        <v>-102.54644954883884</v>
      </c>
      <c r="S2891" s="4">
        <f t="shared" ca="1" si="262"/>
        <v>-47.629369085997133</v>
      </c>
    </row>
    <row r="2892" spans="15:19" x14ac:dyDescent="0.2">
      <c r="O2892" s="4">
        <f t="shared" ca="1" si="258"/>
        <v>0.57532854977371461</v>
      </c>
      <c r="P2892" s="4">
        <f t="shared" ca="1" si="259"/>
        <v>0.18995690496521095</v>
      </c>
      <c r="Q2892" s="4">
        <f t="shared" ca="1" si="260"/>
        <v>1917.5095481618919</v>
      </c>
      <c r="R2892" s="4">
        <f t="shared" ca="1" si="261"/>
        <v>-6.1604958381080905</v>
      </c>
      <c r="S2892" s="4">
        <f t="shared" ca="1" si="262"/>
        <v>-3.1030543619384332</v>
      </c>
    </row>
    <row r="2893" spans="15:19" x14ac:dyDescent="0.2">
      <c r="O2893" s="4">
        <f t="shared" ca="1" si="258"/>
        <v>0.95643346894756875</v>
      </c>
      <c r="P2893" s="4">
        <f t="shared" ca="1" si="259"/>
        <v>1.7107186557576441</v>
      </c>
      <c r="Q2893" s="4">
        <f t="shared" ca="1" si="260"/>
        <v>1871.4381384419301</v>
      </c>
      <c r="R2893" s="4">
        <f t="shared" ca="1" si="261"/>
        <v>-52.231905558069911</v>
      </c>
      <c r="S2893" s="4">
        <f t="shared" ca="1" si="262"/>
        <v>-25.329747353373822</v>
      </c>
    </row>
    <row r="2894" spans="15:19" x14ac:dyDescent="0.2">
      <c r="O2894" s="4">
        <f t="shared" ca="1" si="258"/>
        <v>0.2681036564025322</v>
      </c>
      <c r="P2894" s="4">
        <f t="shared" ca="1" si="259"/>
        <v>-0.618558401937085</v>
      </c>
      <c r="Q2894" s="4">
        <f t="shared" ca="1" si="260"/>
        <v>1942.003483487229</v>
      </c>
      <c r="R2894" s="4">
        <f t="shared" ca="1" si="261"/>
        <v>18.333439487229043</v>
      </c>
      <c r="S2894" s="4">
        <f t="shared" ca="1" si="262"/>
        <v>9.417388716945446</v>
      </c>
    </row>
    <row r="2895" spans="15:19" x14ac:dyDescent="0.2">
      <c r="O2895" s="4">
        <f t="shared" ca="1" si="258"/>
        <v>0.34116532216311746</v>
      </c>
      <c r="P2895" s="4">
        <f t="shared" ca="1" si="259"/>
        <v>-0.40928483351478334</v>
      </c>
      <c r="Q2895" s="4">
        <f t="shared" ca="1" si="260"/>
        <v>1935.663550023412</v>
      </c>
      <c r="R2895" s="4">
        <f t="shared" ca="1" si="261"/>
        <v>11.99350602341201</v>
      </c>
      <c r="S2895" s="4">
        <f t="shared" ca="1" si="262"/>
        <v>6.1297847660283074</v>
      </c>
    </row>
    <row r="2896" spans="15:19" x14ac:dyDescent="0.2">
      <c r="O2896" s="4">
        <f t="shared" ca="1" si="258"/>
        <v>7.247691439890025E-2</v>
      </c>
      <c r="P2896" s="4">
        <f t="shared" ca="1" si="259"/>
        <v>-1.4575891256263804</v>
      </c>
      <c r="Q2896" s="4">
        <f t="shared" ca="1" si="260"/>
        <v>1967.4218820092747</v>
      </c>
      <c r="R2896" s="4">
        <f t="shared" ca="1" si="261"/>
        <v>43.751838009274707</v>
      </c>
      <c r="S2896" s="4">
        <f t="shared" ca="1" si="262"/>
        <v>22.926830353901774</v>
      </c>
    </row>
    <row r="2897" spans="15:19" x14ac:dyDescent="0.2">
      <c r="O2897" s="4">
        <f t="shared" ca="1" si="258"/>
        <v>0.4094552144024749</v>
      </c>
      <c r="P2897" s="4">
        <f t="shared" ca="1" si="259"/>
        <v>-0.22894658964469314</v>
      </c>
      <c r="Q2897" s="4">
        <f t="shared" ca="1" si="260"/>
        <v>1930.2002109322043</v>
      </c>
      <c r="R2897" s="4">
        <f t="shared" ca="1" si="261"/>
        <v>6.5301669322043381</v>
      </c>
      <c r="S2897" s="4">
        <f t="shared" ca="1" si="262"/>
        <v>3.3229931490740516</v>
      </c>
    </row>
    <row r="2898" spans="15:19" x14ac:dyDescent="0.2">
      <c r="O2898" s="4">
        <f t="shared" ca="1" si="258"/>
        <v>8.9046401568710243E-2</v>
      </c>
      <c r="P2898" s="4">
        <f t="shared" ca="1" si="259"/>
        <v>-1.3466505572258638</v>
      </c>
      <c r="Q2898" s="4">
        <f t="shared" ca="1" si="260"/>
        <v>1964.0610030051419</v>
      </c>
      <c r="R2898" s="4">
        <f t="shared" ca="1" si="261"/>
        <v>40.390959005141895</v>
      </c>
      <c r="S2898" s="4">
        <f t="shared" ca="1" si="262"/>
        <v>21.110403845660056</v>
      </c>
    </row>
    <row r="2899" spans="15:19" x14ac:dyDescent="0.2">
      <c r="O2899" s="4">
        <f t="shared" ca="1" si="258"/>
        <v>0.44697742058418122</v>
      </c>
      <c r="P2899" s="4">
        <f t="shared" ca="1" si="259"/>
        <v>-0.13330162669230711</v>
      </c>
      <c r="Q2899" s="4">
        <f t="shared" ca="1" si="260"/>
        <v>1927.302651026102</v>
      </c>
      <c r="R2899" s="4">
        <f t="shared" ca="1" si="261"/>
        <v>3.6326070261020504</v>
      </c>
      <c r="S2899" s="4">
        <f t="shared" ca="1" si="262"/>
        <v>1.8442328755055444</v>
      </c>
    </row>
    <row r="2900" spans="15:19" x14ac:dyDescent="0.2">
      <c r="O2900" s="4">
        <f t="shared" ca="1" si="258"/>
        <v>0.39551077504828502</v>
      </c>
      <c r="P2900" s="4">
        <f t="shared" ca="1" si="259"/>
        <v>-0.26498430819972402</v>
      </c>
      <c r="Q2900" s="4">
        <f t="shared" ca="1" si="260"/>
        <v>1931.2919720157904</v>
      </c>
      <c r="R2900" s="4">
        <f t="shared" ca="1" si="261"/>
        <v>7.621928015790445</v>
      </c>
      <c r="S2900" s="4">
        <f t="shared" ca="1" si="262"/>
        <v>3.8819428104201696</v>
      </c>
    </row>
    <row r="2901" spans="15:19" x14ac:dyDescent="0.2">
      <c r="O2901" s="4">
        <f t="shared" ca="1" si="258"/>
        <v>0.88132985783141071</v>
      </c>
      <c r="P2901" s="4">
        <f t="shared" ca="1" si="259"/>
        <v>1.1816608855650386</v>
      </c>
      <c r="Q2901" s="4">
        <f t="shared" ca="1" si="260"/>
        <v>1887.465920100281</v>
      </c>
      <c r="R2901" s="4">
        <f t="shared" ca="1" si="261"/>
        <v>-36.204123899718979</v>
      </c>
      <c r="S2901" s="4">
        <f t="shared" ca="1" si="262"/>
        <v>-17.793320792120998</v>
      </c>
    </row>
    <row r="2902" spans="15:19" x14ac:dyDescent="0.2">
      <c r="O2902" s="4">
        <f t="shared" ca="1" si="258"/>
        <v>0.677023656559127</v>
      </c>
      <c r="P2902" s="4">
        <f t="shared" ca="1" si="259"/>
        <v>0.45939200726941065</v>
      </c>
      <c r="Q2902" s="4">
        <f t="shared" ca="1" si="260"/>
        <v>1909.3470237002343</v>
      </c>
      <c r="R2902" s="4">
        <f t="shared" ca="1" si="261"/>
        <v>-14.323020299765631</v>
      </c>
      <c r="S2902" s="4">
        <f t="shared" ca="1" si="262"/>
        <v>-7.1669433602110475</v>
      </c>
    </row>
    <row r="2903" spans="15:19" x14ac:dyDescent="0.2">
      <c r="O2903" s="4">
        <f t="shared" ca="1" si="258"/>
        <v>0.56151088591448994</v>
      </c>
      <c r="P2903" s="4">
        <f t="shared" ca="1" si="259"/>
        <v>0.15480096785531489</v>
      </c>
      <c r="Q2903" s="4">
        <f t="shared" ca="1" si="260"/>
        <v>1918.5745957157478</v>
      </c>
      <c r="R2903" s="4">
        <f t="shared" ca="1" si="261"/>
        <v>-5.0954482842521429</v>
      </c>
      <c r="S2903" s="4">
        <f t="shared" ca="1" si="262"/>
        <v>-2.5687968511343633</v>
      </c>
    </row>
    <row r="2904" spans="15:19" x14ac:dyDescent="0.2">
      <c r="O2904" s="4">
        <f t="shared" ca="1" si="258"/>
        <v>9.5713488276555569E-2</v>
      </c>
      <c r="P2904" s="4">
        <f t="shared" ca="1" si="259"/>
        <v>-1.3063693710454407</v>
      </c>
      <c r="Q2904" s="4">
        <f t="shared" ca="1" si="260"/>
        <v>1962.8406862582503</v>
      </c>
      <c r="R2904" s="4">
        <f t="shared" ca="1" si="261"/>
        <v>39.170642258250382</v>
      </c>
      <c r="S2904" s="4">
        <f t="shared" ca="1" si="262"/>
        <v>20.453145060092108</v>
      </c>
    </row>
    <row r="2905" spans="15:19" x14ac:dyDescent="0.2">
      <c r="O2905" s="4">
        <f t="shared" ca="1" si="258"/>
        <v>1.5680011416120743E-2</v>
      </c>
      <c r="P2905" s="4">
        <f t="shared" ca="1" si="259"/>
        <v>-2.1524742297701054</v>
      </c>
      <c r="Q2905" s="4">
        <f t="shared" ca="1" si="260"/>
        <v>1988.473395387108</v>
      </c>
      <c r="R2905" s="4">
        <f t="shared" ca="1" si="261"/>
        <v>64.803351387108023</v>
      </c>
      <c r="S2905" s="4">
        <f t="shared" ca="1" si="262"/>
        <v>34.513567987394723</v>
      </c>
    </row>
    <row r="2906" spans="15:19" x14ac:dyDescent="0.2">
      <c r="O2906" s="4">
        <f t="shared" ca="1" si="258"/>
        <v>0.53695329427190031</v>
      </c>
      <c r="P2906" s="4">
        <f t="shared" ca="1" si="259"/>
        <v>9.2761029464539346E-2</v>
      </c>
      <c r="Q2906" s="4">
        <f t="shared" ca="1" si="260"/>
        <v>1920.4540928947854</v>
      </c>
      <c r="R2906" s="4">
        <f t="shared" ca="1" si="261"/>
        <v>-3.2159511052145717</v>
      </c>
      <c r="S2906" s="4">
        <f t="shared" ca="1" si="262"/>
        <v>-1.6237359004454421</v>
      </c>
    </row>
    <row r="2907" spans="15:19" x14ac:dyDescent="0.2">
      <c r="O2907" s="4">
        <f t="shared" ca="1" si="258"/>
        <v>9.9097563501771235E-2</v>
      </c>
      <c r="P2907" s="4">
        <f t="shared" ca="1" si="259"/>
        <v>-1.2867107435791638</v>
      </c>
      <c r="Q2907" s="4">
        <f t="shared" ca="1" si="260"/>
        <v>1962.245129011983</v>
      </c>
      <c r="R2907" s="4">
        <f t="shared" ca="1" si="261"/>
        <v>38.575085011982992</v>
      </c>
      <c r="S2907" s="4">
        <f t="shared" ca="1" si="262"/>
        <v>20.132820016597119</v>
      </c>
    </row>
    <row r="2908" spans="15:19" x14ac:dyDescent="0.2">
      <c r="O2908" s="4">
        <f t="shared" ca="1" si="258"/>
        <v>0.52294151936600342</v>
      </c>
      <c r="P2908" s="4">
        <f t="shared" ca="1" si="259"/>
        <v>5.7537592428322674E-2</v>
      </c>
      <c r="Q2908" s="4">
        <f t="shared" ca="1" si="260"/>
        <v>1921.5211853559124</v>
      </c>
      <c r="R2908" s="4">
        <f t="shared" ca="1" si="261"/>
        <v>-2.1488586440875679</v>
      </c>
      <c r="S2908" s="4">
        <f t="shared" ca="1" si="262"/>
        <v>-1.0858936133048747</v>
      </c>
    </row>
    <row r="2909" spans="15:19" x14ac:dyDescent="0.2">
      <c r="O2909" s="4">
        <f t="shared" ca="1" si="258"/>
        <v>0.30628325927255062</v>
      </c>
      <c r="P2909" s="4">
        <f t="shared" ca="1" si="259"/>
        <v>-0.50641333025122426</v>
      </c>
      <c r="Q2909" s="4">
        <f t="shared" ca="1" si="260"/>
        <v>1938.6060535196345</v>
      </c>
      <c r="R2909" s="4">
        <f t="shared" ca="1" si="261"/>
        <v>14.936009519634581</v>
      </c>
      <c r="S2909" s="4">
        <f t="shared" ca="1" si="262"/>
        <v>7.651565101630327</v>
      </c>
    </row>
    <row r="2910" spans="15:19" x14ac:dyDescent="0.2">
      <c r="O2910" s="4">
        <f t="shared" ca="1" si="258"/>
        <v>0.32209965127823226</v>
      </c>
      <c r="P2910" s="4">
        <f t="shared" ca="1" si="259"/>
        <v>-0.46183548391636453</v>
      </c>
      <c r="Q2910" s="4">
        <f t="shared" ca="1" si="260"/>
        <v>1937.2555696441316</v>
      </c>
      <c r="R2910" s="4">
        <f t="shared" ca="1" si="261"/>
        <v>13.585525644131621</v>
      </c>
      <c r="S2910" s="4">
        <f t="shared" ca="1" si="262"/>
        <v>6.952257495110195</v>
      </c>
    </row>
    <row r="2911" spans="15:19" x14ac:dyDescent="0.2">
      <c r="O2911" s="4">
        <f t="shared" ca="1" si="258"/>
        <v>0.42804483141412319</v>
      </c>
      <c r="P2911" s="4">
        <f t="shared" ca="1" si="259"/>
        <v>-0.18135407639732512</v>
      </c>
      <c r="Q2911" s="4">
        <f t="shared" ca="1" si="260"/>
        <v>1928.7583978564351</v>
      </c>
      <c r="R2911" s="4">
        <f t="shared" ca="1" si="261"/>
        <v>5.0883538564351056</v>
      </c>
      <c r="S2911" s="4">
        <f t="shared" ca="1" si="262"/>
        <v>2.5863141318217675</v>
      </c>
    </row>
    <row r="2912" spans="15:19" x14ac:dyDescent="0.2">
      <c r="O2912" s="4">
        <f t="shared" ca="1" si="258"/>
        <v>0.140948490430163</v>
      </c>
      <c r="P2912" s="4">
        <f t="shared" ca="1" si="259"/>
        <v>-1.0760676979515846</v>
      </c>
      <c r="Q2912" s="4">
        <f t="shared" ca="1" si="260"/>
        <v>1955.8637072970348</v>
      </c>
      <c r="R2912" s="4">
        <f t="shared" ca="1" si="261"/>
        <v>32.193663297034846</v>
      </c>
      <c r="S2912" s="4">
        <f t="shared" ca="1" si="262"/>
        <v>16.718647248895927</v>
      </c>
    </row>
    <row r="2913" spans="15:19" x14ac:dyDescent="0.2">
      <c r="O2913" s="4">
        <f t="shared" ca="1" si="258"/>
        <v>0.88588895456671013</v>
      </c>
      <c r="P2913" s="4">
        <f t="shared" ca="1" si="259"/>
        <v>1.2049513308897521</v>
      </c>
      <c r="Q2913" s="4">
        <f t="shared" ca="1" si="260"/>
        <v>1886.7603370932413</v>
      </c>
      <c r="R2913" s="4">
        <f t="shared" ca="1" si="261"/>
        <v>-36.909706906758629</v>
      </c>
      <c r="S2913" s="4">
        <f t="shared" ca="1" si="262"/>
        <v>-18.129493984419998</v>
      </c>
    </row>
    <row r="2914" spans="15:19" x14ac:dyDescent="0.2">
      <c r="O2914" s="4">
        <f t="shared" ca="1" si="258"/>
        <v>6.5993881549364364E-3</v>
      </c>
      <c r="P2914" s="4">
        <f t="shared" ca="1" si="259"/>
        <v>-2.4783603634661833</v>
      </c>
      <c r="Q2914" s="4">
        <f t="shared" ca="1" si="260"/>
        <v>1998.3461013384135</v>
      </c>
      <c r="R2914" s="4">
        <f t="shared" ca="1" si="261"/>
        <v>74.676057338413557</v>
      </c>
      <c r="S2914" s="4">
        <f t="shared" ca="1" si="262"/>
        <v>40.071778718475805</v>
      </c>
    </row>
    <row r="2915" spans="15:19" x14ac:dyDescent="0.2">
      <c r="O2915" s="4">
        <f t="shared" ca="1" si="258"/>
        <v>0.7070083713399552</v>
      </c>
      <c r="P2915" s="4">
        <f t="shared" ca="1" si="259"/>
        <v>0.54466599371206714</v>
      </c>
      <c r="Q2915" s="4">
        <f t="shared" ca="1" si="260"/>
        <v>1906.7636520670333</v>
      </c>
      <c r="R2915" s="4">
        <f t="shared" ca="1" si="261"/>
        <v>-16.906391932966699</v>
      </c>
      <c r="S2915" s="4">
        <f t="shared" ca="1" si="262"/>
        <v>-8.4418301885644702</v>
      </c>
    </row>
    <row r="2916" spans="15:19" x14ac:dyDescent="0.2">
      <c r="O2916" s="4">
        <f t="shared" ca="1" si="258"/>
        <v>0.44865064516247422</v>
      </c>
      <c r="P2916" s="4">
        <f t="shared" ca="1" si="259"/>
        <v>-0.12907122540678814</v>
      </c>
      <c r="Q2916" s="4">
        <f t="shared" ca="1" si="260"/>
        <v>1927.174491206983</v>
      </c>
      <c r="R2916" s="4">
        <f t="shared" ca="1" si="261"/>
        <v>3.504447206983059</v>
      </c>
      <c r="S2916" s="4">
        <f t="shared" ca="1" si="262"/>
        <v>1.7789847802176815</v>
      </c>
    </row>
    <row r="2917" spans="15:19" x14ac:dyDescent="0.2">
      <c r="O2917" s="4">
        <f t="shared" ca="1" si="258"/>
        <v>8.1148296801055286E-2</v>
      </c>
      <c r="P2917" s="4">
        <f t="shared" ca="1" si="259"/>
        <v>-1.3973891050713847</v>
      </c>
      <c r="Q2917" s="4">
        <f t="shared" ca="1" si="260"/>
        <v>1965.5981250593816</v>
      </c>
      <c r="R2917" s="4">
        <f t="shared" ca="1" si="261"/>
        <v>41.928081059381611</v>
      </c>
      <c r="S2917" s="4">
        <f t="shared" ca="1" si="262"/>
        <v>21.940018350589185</v>
      </c>
    </row>
    <row r="2918" spans="15:19" x14ac:dyDescent="0.2">
      <c r="O2918" s="4">
        <f t="shared" ca="1" si="258"/>
        <v>0.98604008743194527</v>
      </c>
      <c r="P2918" s="4">
        <f t="shared" ca="1" si="259"/>
        <v>2.1984110756262898</v>
      </c>
      <c r="Q2918" s="4">
        <f t="shared" ca="1" si="260"/>
        <v>1856.6635182350633</v>
      </c>
      <c r="R2918" s="4">
        <f t="shared" ca="1" si="261"/>
        <v>-67.006525764936669</v>
      </c>
      <c r="S2918" s="4">
        <f t="shared" ca="1" si="262"/>
        <v>-32.091669930449136</v>
      </c>
    </row>
    <row r="2919" spans="15:19" x14ac:dyDescent="0.2">
      <c r="O2919" s="4">
        <f t="shared" ca="1" si="258"/>
        <v>0.84759919523142291</v>
      </c>
      <c r="P2919" s="4">
        <f t="shared" ca="1" si="259"/>
        <v>1.0261909007963914</v>
      </c>
      <c r="Q2919" s="4">
        <f t="shared" ca="1" si="260"/>
        <v>1892.175876386136</v>
      </c>
      <c r="R2919" s="4">
        <f t="shared" ca="1" si="261"/>
        <v>-31.494167613863965</v>
      </c>
      <c r="S2919" s="4">
        <f t="shared" ca="1" si="262"/>
        <v>-15.538891249102075</v>
      </c>
    </row>
    <row r="2920" spans="15:19" x14ac:dyDescent="0.2">
      <c r="O2920" s="4">
        <f t="shared" ca="1" si="258"/>
        <v>0.84694970104024336</v>
      </c>
      <c r="P2920" s="4">
        <f t="shared" ca="1" si="259"/>
        <v>1.0234384280748716</v>
      </c>
      <c r="Q2920" s="4">
        <f t="shared" ca="1" si="260"/>
        <v>1892.2592624250276</v>
      </c>
      <c r="R2920" s="4">
        <f t="shared" ca="1" si="261"/>
        <v>-31.410781574972361</v>
      </c>
      <c r="S2920" s="4">
        <f t="shared" ca="1" si="262"/>
        <v>-15.498815658150642</v>
      </c>
    </row>
    <row r="2921" spans="15:19" x14ac:dyDescent="0.2">
      <c r="O2921" s="4">
        <f t="shared" ca="1" si="258"/>
        <v>0.51510966897133525</v>
      </c>
      <c r="P2921" s="4">
        <f t="shared" ca="1" si="259"/>
        <v>3.7883382907446576E-2</v>
      </c>
      <c r="Q2921" s="4">
        <f t="shared" ca="1" si="260"/>
        <v>1922.1166087607203</v>
      </c>
      <c r="R2921" s="4">
        <f t="shared" ca="1" si="261"/>
        <v>-1.5534352392796791</v>
      </c>
      <c r="S2921" s="4">
        <f t="shared" ca="1" si="262"/>
        <v>-0.78538181027747611</v>
      </c>
    </row>
    <row r="2922" spans="15:19" x14ac:dyDescent="0.2">
      <c r="O2922" s="4">
        <f t="shared" ca="1" si="258"/>
        <v>0.82778571117857902</v>
      </c>
      <c r="P2922" s="4">
        <f t="shared" ca="1" si="259"/>
        <v>0.94545119194710159</v>
      </c>
      <c r="Q2922" s="4">
        <f t="shared" ca="1" si="260"/>
        <v>1894.6218822809633</v>
      </c>
      <c r="R2922" s="4">
        <f t="shared" ca="1" si="261"/>
        <v>-29.048161719036671</v>
      </c>
      <c r="S2922" s="4">
        <f t="shared" ca="1" si="262"/>
        <v>-14.360980724202587</v>
      </c>
    </row>
    <row r="2923" spans="15:19" x14ac:dyDescent="0.2">
      <c r="O2923" s="4">
        <f t="shared" ca="1" si="258"/>
        <v>0.97390777241228577</v>
      </c>
      <c r="P2923" s="4">
        <f t="shared" ca="1" si="259"/>
        <v>1.9416089781052053</v>
      </c>
      <c r="Q2923" s="4">
        <f t="shared" ca="1" si="260"/>
        <v>1864.4433263777091</v>
      </c>
      <c r="R2923" s="4">
        <f t="shared" ca="1" si="261"/>
        <v>-59.226717622290835</v>
      </c>
      <c r="S2923" s="4">
        <f t="shared" ca="1" si="262"/>
        <v>-28.55322548951343</v>
      </c>
    </row>
    <row r="2924" spans="15:19" x14ac:dyDescent="0.2">
      <c r="O2924" s="4">
        <f t="shared" ca="1" si="258"/>
        <v>0.32556541989982746</v>
      </c>
      <c r="P2924" s="4">
        <f t="shared" ca="1" si="259"/>
        <v>-0.45219176553983659</v>
      </c>
      <c r="Q2924" s="4">
        <f t="shared" ca="1" si="260"/>
        <v>1936.9634136240859</v>
      </c>
      <c r="R2924" s="4">
        <f t="shared" ca="1" si="261"/>
        <v>13.293369624085926</v>
      </c>
      <c r="S2924" s="4">
        <f t="shared" ca="1" si="262"/>
        <v>6.8011686102611284</v>
      </c>
    </row>
    <row r="2925" spans="15:19" x14ac:dyDescent="0.2">
      <c r="O2925" s="4">
        <f t="shared" ca="1" si="258"/>
        <v>0.89956850704738744</v>
      </c>
      <c r="P2925" s="4">
        <f t="shared" ca="1" si="259"/>
        <v>1.2790967558272668</v>
      </c>
      <c r="Q2925" s="4">
        <f t="shared" ca="1" si="260"/>
        <v>1884.5141047367417</v>
      </c>
      <c r="R2925" s="4">
        <f t="shared" ca="1" si="261"/>
        <v>-39.155939263258233</v>
      </c>
      <c r="S2925" s="4">
        <f t="shared" ca="1" si="262"/>
        <v>-19.197006502860379</v>
      </c>
    </row>
    <row r="2926" spans="15:19" x14ac:dyDescent="0.2">
      <c r="O2926" s="4">
        <f t="shared" ca="1" si="258"/>
        <v>0.37326058567929699</v>
      </c>
      <c r="P2926" s="4">
        <f t="shared" ca="1" si="259"/>
        <v>-0.32322985635084955</v>
      </c>
      <c r="Q2926" s="4">
        <f t="shared" ca="1" si="260"/>
        <v>1933.056518310985</v>
      </c>
      <c r="R2926" s="4">
        <f t="shared" ca="1" si="261"/>
        <v>9.3864743109850224</v>
      </c>
      <c r="S2926" s="4">
        <f t="shared" ca="1" si="262"/>
        <v>4.7873904363406323</v>
      </c>
    </row>
    <row r="2927" spans="15:19" x14ac:dyDescent="0.2">
      <c r="O2927" s="4">
        <f t="shared" ca="1" si="258"/>
        <v>0.75019004423499847</v>
      </c>
      <c r="P2927" s="4">
        <f t="shared" ca="1" si="259"/>
        <v>0.67508791444876981</v>
      </c>
      <c r="Q2927" s="4">
        <f t="shared" ca="1" si="260"/>
        <v>1902.8125257689171</v>
      </c>
      <c r="R2927" s="4">
        <f t="shared" ca="1" si="261"/>
        <v>-20.85751823108285</v>
      </c>
      <c r="S2927" s="4">
        <f t="shared" ca="1" si="262"/>
        <v>-10.381190231131951</v>
      </c>
    </row>
    <row r="2928" spans="15:19" x14ac:dyDescent="0.2">
      <c r="O2928" s="4">
        <f t="shared" ca="1" si="258"/>
        <v>0.32096546607778509</v>
      </c>
      <c r="P2928" s="4">
        <f t="shared" ca="1" si="259"/>
        <v>-0.46500073233094386</v>
      </c>
      <c r="Q2928" s="4">
        <f t="shared" ca="1" si="260"/>
        <v>1937.3514607043173</v>
      </c>
      <c r="R2928" s="4">
        <f t="shared" ca="1" si="261"/>
        <v>13.681416704317371</v>
      </c>
      <c r="S2928" s="4">
        <f t="shared" ca="1" si="262"/>
        <v>7.0018628350175591</v>
      </c>
    </row>
    <row r="2929" spans="15:19" x14ac:dyDescent="0.2">
      <c r="O2929" s="4">
        <f t="shared" ca="1" si="258"/>
        <v>0.64503852945360596</v>
      </c>
      <c r="P2929" s="4">
        <f t="shared" ca="1" si="259"/>
        <v>0.37195958396367018</v>
      </c>
      <c r="Q2929" s="4">
        <f t="shared" ca="1" si="260"/>
        <v>1911.9957850823698</v>
      </c>
      <c r="R2929" s="4">
        <f t="shared" ca="1" si="261"/>
        <v>-11.674258917630141</v>
      </c>
      <c r="S2929" s="4">
        <f t="shared" ca="1" si="262"/>
        <v>-5.85414543094869</v>
      </c>
    </row>
    <row r="2930" spans="15:19" x14ac:dyDescent="0.2">
      <c r="O2930" s="4">
        <f t="shared" ca="1" si="258"/>
        <v>0.37300315158102615</v>
      </c>
      <c r="P2930" s="4">
        <f t="shared" ca="1" si="259"/>
        <v>-0.32390982794917555</v>
      </c>
      <c r="Q2930" s="4">
        <f t="shared" ca="1" si="260"/>
        <v>1933.0771180203662</v>
      </c>
      <c r="R2930" s="4">
        <f t="shared" ca="1" si="261"/>
        <v>9.4070740203662808</v>
      </c>
      <c r="S2930" s="4">
        <f t="shared" ca="1" si="262"/>
        <v>4.7979758044467786</v>
      </c>
    </row>
    <row r="2931" spans="15:19" x14ac:dyDescent="0.2">
      <c r="O2931" s="4">
        <f t="shared" ca="1" si="258"/>
        <v>0.70756553705649072</v>
      </c>
      <c r="P2931" s="4">
        <f t="shared" ca="1" si="259"/>
        <v>0.5462866290335685</v>
      </c>
      <c r="Q2931" s="4">
        <f t="shared" ca="1" si="260"/>
        <v>1906.714554991923</v>
      </c>
      <c r="R2931" s="4">
        <f t="shared" ca="1" si="261"/>
        <v>-16.955489008076938</v>
      </c>
      <c r="S2931" s="4">
        <f t="shared" ca="1" si="262"/>
        <v>-8.4660068484374076</v>
      </c>
    </row>
    <row r="2932" spans="15:19" x14ac:dyDescent="0.2">
      <c r="O2932" s="4">
        <f t="shared" ca="1" si="258"/>
        <v>3.0395167367168296E-2</v>
      </c>
      <c r="P2932" s="4">
        <f t="shared" ca="1" si="259"/>
        <v>-1.8750173641838053</v>
      </c>
      <c r="Q2932" s="4">
        <f t="shared" ca="1" si="260"/>
        <v>1980.0678519629771</v>
      </c>
      <c r="R2932" s="4">
        <f t="shared" ca="1" si="261"/>
        <v>56.39780796297714</v>
      </c>
      <c r="S2932" s="4">
        <f t="shared" ca="1" si="262"/>
        <v>29.843893075634462</v>
      </c>
    </row>
    <row r="2933" spans="15:19" x14ac:dyDescent="0.2">
      <c r="O2933" s="4">
        <f t="shared" ca="1" si="258"/>
        <v>0.25804614243873369</v>
      </c>
      <c r="P2933" s="4">
        <f t="shared" ca="1" si="259"/>
        <v>-0.64938077861275578</v>
      </c>
      <c r="Q2933" s="4">
        <f t="shared" ca="1" si="260"/>
        <v>1942.9372460201362</v>
      </c>
      <c r="R2933" s="4">
        <f t="shared" ca="1" si="261"/>
        <v>19.26720202013621</v>
      </c>
      <c r="S2933" s="4">
        <f t="shared" ca="1" si="262"/>
        <v>9.904360686331982</v>
      </c>
    </row>
    <row r="2934" spans="15:19" x14ac:dyDescent="0.2">
      <c r="O2934" s="4">
        <f t="shared" ca="1" si="258"/>
        <v>0.7600193902396557</v>
      </c>
      <c r="P2934" s="4">
        <f t="shared" ca="1" si="259"/>
        <v>0.70636493768362185</v>
      </c>
      <c r="Q2934" s="4">
        <f t="shared" ca="1" si="260"/>
        <v>1901.8649897386858</v>
      </c>
      <c r="R2934" s="4">
        <f t="shared" ca="1" si="261"/>
        <v>-21.805054261314126</v>
      </c>
      <c r="S2934" s="4">
        <f t="shared" ca="1" si="262"/>
        <v>-10.844386752153804</v>
      </c>
    </row>
    <row r="2935" spans="15:19" x14ac:dyDescent="0.2">
      <c r="O2935" s="4">
        <f t="shared" ca="1" si="258"/>
        <v>0.56792943212837688</v>
      </c>
      <c r="P2935" s="4">
        <f t="shared" ca="1" si="259"/>
        <v>0.17110508734463525</v>
      </c>
      <c r="Q2935" s="4">
        <f t="shared" ca="1" si="260"/>
        <v>1918.0806631397056</v>
      </c>
      <c r="R2935" s="4">
        <f t="shared" ca="1" si="261"/>
        <v>-5.5893808602943409</v>
      </c>
      <c r="S2935" s="4">
        <f t="shared" ca="1" si="262"/>
        <v>-2.8166820166352489</v>
      </c>
    </row>
    <row r="2936" spans="15:19" x14ac:dyDescent="0.2">
      <c r="O2936" s="4">
        <f t="shared" ca="1" si="258"/>
        <v>0.42873034411687394</v>
      </c>
      <c r="P2936" s="4">
        <f t="shared" ca="1" si="259"/>
        <v>-0.17960753573472812</v>
      </c>
      <c r="Q2936" s="4">
        <f t="shared" ca="1" si="260"/>
        <v>1928.7054864846066</v>
      </c>
      <c r="R2936" s="4">
        <f t="shared" ca="1" si="261"/>
        <v>5.0354424846066195</v>
      </c>
      <c r="S2936" s="4">
        <f t="shared" ca="1" si="262"/>
        <v>2.5593118248299001</v>
      </c>
    </row>
    <row r="2937" spans="15:19" x14ac:dyDescent="0.2">
      <c r="O2937" s="4">
        <f t="shared" ca="1" si="258"/>
        <v>0.1988567196438088</v>
      </c>
      <c r="P2937" s="4">
        <f t="shared" ca="1" si="259"/>
        <v>-0.84571197831049538</v>
      </c>
      <c r="Q2937" s="4">
        <f t="shared" ca="1" si="260"/>
        <v>1948.8850909980711</v>
      </c>
      <c r="R2937" s="4">
        <f t="shared" ca="1" si="261"/>
        <v>25.215046998071102</v>
      </c>
      <c r="S2937" s="4">
        <f t="shared" ca="1" si="262"/>
        <v>13.022917811259443</v>
      </c>
    </row>
    <row r="2938" spans="15:19" x14ac:dyDescent="0.2">
      <c r="O2938" s="4">
        <f t="shared" ca="1" si="258"/>
        <v>0.23102214670220322</v>
      </c>
      <c r="P2938" s="4">
        <f t="shared" ca="1" si="259"/>
        <v>-0.73548480055136101</v>
      </c>
      <c r="Q2938" s="4">
        <f t="shared" ca="1" si="260"/>
        <v>1945.5457635418338</v>
      </c>
      <c r="R2938" s="4">
        <f t="shared" ca="1" si="261"/>
        <v>21.87571954183386</v>
      </c>
      <c r="S2938" s="4">
        <f t="shared" ca="1" si="262"/>
        <v>11.268505302381781</v>
      </c>
    </row>
    <row r="2939" spans="15:19" x14ac:dyDescent="0.2">
      <c r="O2939" s="4">
        <f t="shared" ca="1" si="258"/>
        <v>0.28883083554777289</v>
      </c>
      <c r="P2939" s="4">
        <f t="shared" ca="1" si="259"/>
        <v>-0.55680353101584901</v>
      </c>
      <c r="Q2939" s="4">
        <f t="shared" ca="1" si="260"/>
        <v>1940.1326224145246</v>
      </c>
      <c r="R2939" s="4">
        <f t="shared" ca="1" si="261"/>
        <v>16.462578414524614</v>
      </c>
      <c r="S2939" s="4">
        <f t="shared" ca="1" si="262"/>
        <v>8.443840914784154</v>
      </c>
    </row>
    <row r="2940" spans="15:19" x14ac:dyDescent="0.2">
      <c r="O2940" s="4">
        <f t="shared" ca="1" si="258"/>
        <v>0.78971762736047268</v>
      </c>
      <c r="P2940" s="4">
        <f t="shared" ca="1" si="259"/>
        <v>0.80544185793165346</v>
      </c>
      <c r="Q2940" s="4">
        <f t="shared" ca="1" si="260"/>
        <v>1898.8634588386874</v>
      </c>
      <c r="R2940" s="4">
        <f t="shared" ca="1" si="261"/>
        <v>-24.806585161312569</v>
      </c>
      <c r="S2940" s="4">
        <f t="shared" ca="1" si="262"/>
        <v>-12.306839553987277</v>
      </c>
    </row>
    <row r="2941" spans="15:19" x14ac:dyDescent="0.2">
      <c r="O2941" s="4">
        <f t="shared" ca="1" si="258"/>
        <v>9.706635971903288E-2</v>
      </c>
      <c r="P2941" s="4">
        <f t="shared" ca="1" si="259"/>
        <v>-1.2984500807799251</v>
      </c>
      <c r="Q2941" s="4">
        <f t="shared" ca="1" si="260"/>
        <v>1962.6007717112652</v>
      </c>
      <c r="R2941" s="4">
        <f t="shared" ca="1" si="261"/>
        <v>38.930727711265263</v>
      </c>
      <c r="S2941" s="4">
        <f t="shared" ca="1" si="262"/>
        <v>20.324070443838455</v>
      </c>
    </row>
    <row r="2942" spans="15:19" x14ac:dyDescent="0.2">
      <c r="O2942" s="4">
        <f t="shared" ca="1" si="258"/>
        <v>0.85191512896694999</v>
      </c>
      <c r="P2942" s="4">
        <f t="shared" ca="1" si="259"/>
        <v>1.0446824859630606</v>
      </c>
      <c r="Q2942" s="4">
        <f t="shared" ca="1" si="260"/>
        <v>1891.6156746345196</v>
      </c>
      <c r="R2942" s="4">
        <f t="shared" ca="1" si="261"/>
        <v>-32.054369365480397</v>
      </c>
      <c r="S2942" s="4">
        <f t="shared" ca="1" si="262"/>
        <v>-15.80797919775385</v>
      </c>
    </row>
    <row r="2943" spans="15:19" x14ac:dyDescent="0.2">
      <c r="O2943" s="4">
        <f t="shared" ca="1" si="258"/>
        <v>0.24783498270589743</v>
      </c>
      <c r="P2943" s="4">
        <f t="shared" ca="1" si="259"/>
        <v>-0.68131852273882665</v>
      </c>
      <c r="Q2943" s="4">
        <f t="shared" ca="1" si="260"/>
        <v>1943.9047985604316</v>
      </c>
      <c r="R2943" s="4">
        <f t="shared" ca="1" si="261"/>
        <v>20.234754560431611</v>
      </c>
      <c r="S2943" s="4">
        <f t="shared" ca="1" si="262"/>
        <v>10.40970353404126</v>
      </c>
    </row>
    <row r="2944" spans="15:19" x14ac:dyDescent="0.2">
      <c r="O2944" s="4">
        <f t="shared" ca="1" si="258"/>
        <v>0.29003207310550994</v>
      </c>
      <c r="P2944" s="4">
        <f t="shared" ca="1" si="259"/>
        <v>-0.55329102427907972</v>
      </c>
      <c r="Q2944" s="4">
        <f t="shared" ca="1" si="260"/>
        <v>1940.0262111788861</v>
      </c>
      <c r="R2944" s="4">
        <f t="shared" ca="1" si="261"/>
        <v>16.356167178886153</v>
      </c>
      <c r="S2944" s="4">
        <f t="shared" ca="1" si="262"/>
        <v>8.3885529039689342</v>
      </c>
    </row>
    <row r="2945" spans="15:19" x14ac:dyDescent="0.2">
      <c r="O2945" s="4">
        <f t="shared" ca="1" si="258"/>
        <v>0.62599062746833267</v>
      </c>
      <c r="P2945" s="4">
        <f t="shared" ca="1" si="259"/>
        <v>0.32125290186893102</v>
      </c>
      <c r="Q2945" s="4">
        <f t="shared" ca="1" si="260"/>
        <v>1913.5319417651042</v>
      </c>
      <c r="R2945" s="4">
        <f t="shared" ca="1" si="261"/>
        <v>-10.138102234895769</v>
      </c>
      <c r="S2945" s="4">
        <f t="shared" ca="1" si="262"/>
        <v>-5.0901676233705357</v>
      </c>
    </row>
    <row r="2946" spans="15:19" x14ac:dyDescent="0.2">
      <c r="O2946" s="4">
        <f t="shared" ca="1" si="258"/>
        <v>0.96145373032842818</v>
      </c>
      <c r="P2946" s="4">
        <f t="shared" ca="1" si="259"/>
        <v>1.7678107967543535</v>
      </c>
      <c r="Q2946" s="4">
        <f t="shared" ca="1" si="260"/>
        <v>1869.7085345652683</v>
      </c>
      <c r="R2946" s="4">
        <f t="shared" ca="1" si="261"/>
        <v>-53.961509434731624</v>
      </c>
      <c r="S2946" s="4">
        <f t="shared" ca="1" si="262"/>
        <v>-26.130522337485612</v>
      </c>
    </row>
    <row r="2947" spans="15:19" x14ac:dyDescent="0.2">
      <c r="O2947" s="4">
        <f t="shared" ref="O2947:O3010" ca="1" si="263">RAND()</f>
        <v>0.86622195081748166</v>
      </c>
      <c r="P2947" s="4">
        <f t="shared" ref="P2947:P3010" ca="1" si="264">NORMSINV(O2947)</f>
        <v>1.1087081651435107</v>
      </c>
      <c r="Q2947" s="4">
        <f t="shared" ref="Q2947:Q3010" ca="1" si="265">$B$4*(1+$B$17-$B$6/SQRT(252)*P2947)</f>
        <v>1889.6760195264237</v>
      </c>
      <c r="R2947" s="4">
        <f t="shared" ref="R2947:R3010" ca="1" si="266">Q2947-$B$4</f>
        <v>-33.994024473576246</v>
      </c>
      <c r="S2947" s="4">
        <f t="shared" ref="S2947:S3010" ca="1" si="267">R2947*$B$12+0.5*$B$13*R2947^2</f>
        <v>-16.737701524097428</v>
      </c>
    </row>
    <row r="2948" spans="15:19" x14ac:dyDescent="0.2">
      <c r="O2948" s="4">
        <f t="shared" ca="1" si="263"/>
        <v>0.33453007087953768</v>
      </c>
      <c r="P2948" s="4">
        <f t="shared" ca="1" si="264"/>
        <v>-0.4274382647819539</v>
      </c>
      <c r="Q2948" s="4">
        <f t="shared" ca="1" si="265"/>
        <v>1936.2135074176567</v>
      </c>
      <c r="R2948" s="4">
        <f t="shared" ca="1" si="266"/>
        <v>12.543463417656767</v>
      </c>
      <c r="S2948" s="4">
        <f t="shared" ca="1" si="267"/>
        <v>6.4136716950526482</v>
      </c>
    </row>
    <row r="2949" spans="15:19" x14ac:dyDescent="0.2">
      <c r="O2949" s="4">
        <f t="shared" ca="1" si="263"/>
        <v>7.0895665364202221E-2</v>
      </c>
      <c r="P2949" s="4">
        <f t="shared" ca="1" si="264"/>
        <v>-1.4691528683271229</v>
      </c>
      <c r="Q2949" s="4">
        <f t="shared" ca="1" si="265"/>
        <v>1967.7722050809753</v>
      </c>
      <c r="R2949" s="4">
        <f t="shared" ca="1" si="266"/>
        <v>44.102161080975293</v>
      </c>
      <c r="S2949" s="4">
        <f t="shared" ca="1" si="267"/>
        <v>23.116695808866638</v>
      </c>
    </row>
    <row r="2950" spans="15:19" x14ac:dyDescent="0.2">
      <c r="O2950" s="4">
        <f t="shared" ca="1" si="263"/>
        <v>0.5392343733848094</v>
      </c>
      <c r="P2950" s="4">
        <f t="shared" ca="1" si="264"/>
        <v>9.8505061225759166E-2</v>
      </c>
      <c r="Q2950" s="4">
        <f t="shared" ca="1" si="265"/>
        <v>1920.2800777076086</v>
      </c>
      <c r="R2950" s="4">
        <f t="shared" ca="1" si="266"/>
        <v>-3.3899662923913638</v>
      </c>
      <c r="S2950" s="4">
        <f t="shared" ca="1" si="267"/>
        <v>-1.7113561543889537</v>
      </c>
    </row>
    <row r="2951" spans="15:19" x14ac:dyDescent="0.2">
      <c r="O2951" s="4">
        <f t="shared" ca="1" si="263"/>
        <v>0.42423291151212017</v>
      </c>
      <c r="P2951" s="4">
        <f t="shared" ca="1" si="264"/>
        <v>-0.1910762902560327</v>
      </c>
      <c r="Q2951" s="4">
        <f t="shared" ca="1" si="265"/>
        <v>1929.0529318936281</v>
      </c>
      <c r="R2951" s="4">
        <f t="shared" ca="1" si="266"/>
        <v>5.3828878936280944</v>
      </c>
      <c r="S2951" s="4">
        <f t="shared" ca="1" si="267"/>
        <v>2.736665603686129</v>
      </c>
    </row>
    <row r="2952" spans="15:19" x14ac:dyDescent="0.2">
      <c r="O2952" s="4">
        <f t="shared" ca="1" si="263"/>
        <v>0.33076192325408538</v>
      </c>
      <c r="P2952" s="4">
        <f t="shared" ca="1" si="264"/>
        <v>-0.437810241090059</v>
      </c>
      <c r="Q2952" s="4">
        <f t="shared" ca="1" si="265"/>
        <v>1936.5277259794054</v>
      </c>
      <c r="R2952" s="4">
        <f t="shared" ca="1" si="266"/>
        <v>12.85768197940547</v>
      </c>
      <c r="S2952" s="4">
        <f t="shared" ca="1" si="267"/>
        <v>6.5759812364058954</v>
      </c>
    </row>
    <row r="2953" spans="15:19" x14ac:dyDescent="0.2">
      <c r="O2953" s="4">
        <f t="shared" ca="1" si="263"/>
        <v>0.68366305248672088</v>
      </c>
      <c r="P2953" s="4">
        <f t="shared" ca="1" si="264"/>
        <v>0.47796671596322793</v>
      </c>
      <c r="Q2953" s="4">
        <f t="shared" ca="1" si="265"/>
        <v>1908.7843037250534</v>
      </c>
      <c r="R2953" s="4">
        <f t="shared" ca="1" si="266"/>
        <v>-14.885740274946556</v>
      </c>
      <c r="S2953" s="4">
        <f t="shared" ca="1" si="267"/>
        <v>-7.445106989936578</v>
      </c>
    </row>
    <row r="2954" spans="15:19" x14ac:dyDescent="0.2">
      <c r="O2954" s="4">
        <f t="shared" ca="1" si="263"/>
        <v>0.84374140054280944</v>
      </c>
      <c r="P2954" s="4">
        <f t="shared" ca="1" si="264"/>
        <v>1.0099542720401653</v>
      </c>
      <c r="Q2954" s="4">
        <f t="shared" ca="1" si="265"/>
        <v>1892.667764333416</v>
      </c>
      <c r="R2954" s="4">
        <f t="shared" ca="1" si="266"/>
        <v>-31.002279666583945</v>
      </c>
      <c r="S2954" s="4">
        <f t="shared" ca="1" si="267"/>
        <v>-15.302406568688635</v>
      </c>
    </row>
    <row r="2955" spans="15:19" x14ac:dyDescent="0.2">
      <c r="O2955" s="4">
        <f t="shared" ca="1" si="263"/>
        <v>0.25895469424118966</v>
      </c>
      <c r="P2955" s="4">
        <f t="shared" ca="1" si="264"/>
        <v>-0.64657137605068538</v>
      </c>
      <c r="Q2955" s="4">
        <f t="shared" ca="1" si="265"/>
        <v>1942.8521352942525</v>
      </c>
      <c r="R2955" s="4">
        <f t="shared" ca="1" si="266"/>
        <v>19.182091294252587</v>
      </c>
      <c r="S2955" s="4">
        <f t="shared" ca="1" si="267"/>
        <v>9.859944690664296</v>
      </c>
    </row>
    <row r="2956" spans="15:19" x14ac:dyDescent="0.2">
      <c r="O2956" s="4">
        <f t="shared" ca="1" si="263"/>
        <v>0.30037403254642636</v>
      </c>
      <c r="P2956" s="4">
        <f t="shared" ca="1" si="264"/>
        <v>-0.52332505944294316</v>
      </c>
      <c r="Q2956" s="4">
        <f t="shared" ca="1" si="265"/>
        <v>1939.1183936046341</v>
      </c>
      <c r="R2956" s="4">
        <f t="shared" ca="1" si="266"/>
        <v>15.448349604634132</v>
      </c>
      <c r="S2956" s="4">
        <f t="shared" ca="1" si="267"/>
        <v>7.9172535685559229</v>
      </c>
    </row>
    <row r="2957" spans="15:19" x14ac:dyDescent="0.2">
      <c r="O2957" s="4">
        <f t="shared" ca="1" si="263"/>
        <v>0.89836403137464393</v>
      </c>
      <c r="P2957" s="4">
        <f t="shared" ca="1" si="264"/>
        <v>1.2722848280232193</v>
      </c>
      <c r="Q2957" s="4">
        <f t="shared" ca="1" si="265"/>
        <v>1884.7204717871225</v>
      </c>
      <c r="R2957" s="4">
        <f t="shared" ca="1" si="266"/>
        <v>-38.949572212877456</v>
      </c>
      <c r="S2957" s="4">
        <f t="shared" ca="1" si="267"/>
        <v>-19.099102786857067</v>
      </c>
    </row>
    <row r="2958" spans="15:19" x14ac:dyDescent="0.2">
      <c r="O2958" s="4">
        <f t="shared" ca="1" si="263"/>
        <v>5.1436971352387895E-2</v>
      </c>
      <c r="P2958" s="4">
        <f t="shared" ca="1" si="264"/>
        <v>-1.6310776181408719</v>
      </c>
      <c r="Q2958" s="4">
        <f t="shared" ca="1" si="265"/>
        <v>1972.677708187286</v>
      </c>
      <c r="R2958" s="4">
        <f t="shared" ca="1" si="266"/>
        <v>49.007664187286082</v>
      </c>
      <c r="S2958" s="4">
        <f t="shared" ca="1" si="267"/>
        <v>25.785838617702449</v>
      </c>
    </row>
    <row r="2959" spans="15:19" x14ac:dyDescent="0.2">
      <c r="O2959" s="4">
        <f t="shared" ca="1" si="263"/>
        <v>6.6850467278908421E-2</v>
      </c>
      <c r="P2959" s="4">
        <f t="shared" ca="1" si="264"/>
        <v>-1.4996660285860846</v>
      </c>
      <c r="Q2959" s="4">
        <f t="shared" ca="1" si="265"/>
        <v>1968.6965999162667</v>
      </c>
      <c r="R2959" s="4">
        <f t="shared" ca="1" si="266"/>
        <v>45.026555916266716</v>
      </c>
      <c r="S2959" s="4">
        <f t="shared" ca="1" si="267"/>
        <v>23.618172013514915</v>
      </c>
    </row>
    <row r="2960" spans="15:19" x14ac:dyDescent="0.2">
      <c r="O2960" s="4">
        <f t="shared" ca="1" si="263"/>
        <v>0.29275427320750047</v>
      </c>
      <c r="P2960" s="4">
        <f t="shared" ca="1" si="264"/>
        <v>-0.54535621752882535</v>
      </c>
      <c r="Q2960" s="4">
        <f t="shared" ca="1" si="265"/>
        <v>1939.7858265606847</v>
      </c>
      <c r="R2960" s="4">
        <f t="shared" ca="1" si="266"/>
        <v>16.115782560684693</v>
      </c>
      <c r="S2960" s="4">
        <f t="shared" ca="1" si="267"/>
        <v>8.2636903721346489</v>
      </c>
    </row>
    <row r="2961" spans="15:19" x14ac:dyDescent="0.2">
      <c r="O2961" s="4">
        <f t="shared" ca="1" si="263"/>
        <v>0.74533049809196983</v>
      </c>
      <c r="P2961" s="4">
        <f t="shared" ca="1" si="264"/>
        <v>0.65986727897907871</v>
      </c>
      <c r="Q2961" s="4">
        <f t="shared" ca="1" si="265"/>
        <v>1903.2736342446906</v>
      </c>
      <c r="R2961" s="4">
        <f t="shared" ca="1" si="266"/>
        <v>-20.396409755309378</v>
      </c>
      <c r="S2961" s="4">
        <f t="shared" ca="1" si="267"/>
        <v>-10.155516093122818</v>
      </c>
    </row>
    <row r="2962" spans="15:19" x14ac:dyDescent="0.2">
      <c r="O2962" s="4">
        <f t="shared" ca="1" si="263"/>
        <v>0.28445799649393988</v>
      </c>
      <c r="P2962" s="4">
        <f t="shared" ca="1" si="264"/>
        <v>-0.56964869660885831</v>
      </c>
      <c r="Q2962" s="4">
        <f t="shared" ca="1" si="265"/>
        <v>1940.5217661358522</v>
      </c>
      <c r="R2962" s="4">
        <f t="shared" ca="1" si="266"/>
        <v>16.851722135852242</v>
      </c>
      <c r="S2962" s="4">
        <f t="shared" ca="1" si="267"/>
        <v>8.6461065443041285</v>
      </c>
    </row>
    <row r="2963" spans="15:19" x14ac:dyDescent="0.2">
      <c r="O2963" s="4">
        <f t="shared" ca="1" si="263"/>
        <v>0.33958993264751391</v>
      </c>
      <c r="P2963" s="4">
        <f t="shared" ca="1" si="264"/>
        <v>-0.41358253595720568</v>
      </c>
      <c r="Q2963" s="4">
        <f t="shared" ca="1" si="265"/>
        <v>1935.7937487280913</v>
      </c>
      <c r="R2963" s="4">
        <f t="shared" ca="1" si="266"/>
        <v>12.123704728091298</v>
      </c>
      <c r="S2963" s="4">
        <f t="shared" ca="1" si="267"/>
        <v>6.1969708350391421</v>
      </c>
    </row>
    <row r="2964" spans="15:19" x14ac:dyDescent="0.2">
      <c r="O2964" s="4">
        <f t="shared" ca="1" si="263"/>
        <v>0.71417884621067795</v>
      </c>
      <c r="P2964" s="4">
        <f t="shared" ca="1" si="264"/>
        <v>0.5656344446657452</v>
      </c>
      <c r="Q2964" s="4">
        <f t="shared" ca="1" si="265"/>
        <v>1906.1284137763698</v>
      </c>
      <c r="R2964" s="4">
        <f t="shared" ca="1" si="266"/>
        <v>-17.541630223630136</v>
      </c>
      <c r="S2964" s="4">
        <f t="shared" ca="1" si="267"/>
        <v>-8.7544862585476206</v>
      </c>
    </row>
    <row r="2965" spans="15:19" x14ac:dyDescent="0.2">
      <c r="O2965" s="4">
        <f t="shared" ca="1" si="263"/>
        <v>8.7112775644901608E-2</v>
      </c>
      <c r="P2965" s="4">
        <f t="shared" ca="1" si="264"/>
        <v>-1.3587508545932558</v>
      </c>
      <c r="Q2965" s="4">
        <f t="shared" ca="1" si="265"/>
        <v>1964.4275809766461</v>
      </c>
      <c r="R2965" s="4">
        <f t="shared" ca="1" si="266"/>
        <v>40.757536976646179</v>
      </c>
      <c r="S2965" s="4">
        <f t="shared" ca="1" si="267"/>
        <v>21.308078395883694</v>
      </c>
    </row>
    <row r="2966" spans="15:19" x14ac:dyDescent="0.2">
      <c r="O2966" s="4">
        <f t="shared" ca="1" si="263"/>
        <v>0.34854514142813797</v>
      </c>
      <c r="P2966" s="4">
        <f t="shared" ca="1" si="264"/>
        <v>-0.38925126632308338</v>
      </c>
      <c r="Q2966" s="4">
        <f t="shared" ca="1" si="265"/>
        <v>1935.0566339948093</v>
      </c>
      <c r="R2966" s="4">
        <f t="shared" ca="1" si="266"/>
        <v>11.386589994809356</v>
      </c>
      <c r="S2966" s="4">
        <f t="shared" ca="1" si="267"/>
        <v>5.8167817150737005</v>
      </c>
    </row>
    <row r="2967" spans="15:19" x14ac:dyDescent="0.2">
      <c r="O2967" s="4">
        <f t="shared" ca="1" si="263"/>
        <v>0.5217135679439161</v>
      </c>
      <c r="P2967" s="4">
        <f t="shared" ca="1" si="264"/>
        <v>5.4454744000704589E-2</v>
      </c>
      <c r="Q2967" s="4">
        <f t="shared" ca="1" si="265"/>
        <v>1921.6145801121518</v>
      </c>
      <c r="R2967" s="4">
        <f t="shared" ca="1" si="266"/>
        <v>-2.055463887848191</v>
      </c>
      <c r="S2967" s="4">
        <f t="shared" ca="1" si="267"/>
        <v>-1.0387761133889419</v>
      </c>
    </row>
    <row r="2968" spans="15:19" x14ac:dyDescent="0.2">
      <c r="O2968" s="4">
        <f t="shared" ca="1" si="263"/>
        <v>0.23914735445641078</v>
      </c>
      <c r="P2968" s="4">
        <f t="shared" ca="1" si="264"/>
        <v>-0.70904797022191313</v>
      </c>
      <c r="Q2968" s="4">
        <f t="shared" ca="1" si="265"/>
        <v>1944.744860940772</v>
      </c>
      <c r="R2968" s="4">
        <f t="shared" ca="1" si="266"/>
        <v>21.074816940772052</v>
      </c>
      <c r="S2968" s="4">
        <f t="shared" ca="1" si="267"/>
        <v>10.849077706720442</v>
      </c>
    </row>
    <row r="2969" spans="15:19" x14ac:dyDescent="0.2">
      <c r="O2969" s="4">
        <f t="shared" ca="1" si="263"/>
        <v>0.34041844273723121</v>
      </c>
      <c r="P2969" s="4">
        <f t="shared" ca="1" si="264"/>
        <v>-0.41132139223409697</v>
      </c>
      <c r="Q2969" s="4">
        <f t="shared" ca="1" si="265"/>
        <v>1935.7252474793922</v>
      </c>
      <c r="R2969" s="4">
        <f t="shared" ca="1" si="266"/>
        <v>12.055203479392276</v>
      </c>
      <c r="S2969" s="4">
        <f t="shared" ca="1" si="267"/>
        <v>6.1616206091672874</v>
      </c>
    </row>
    <row r="2970" spans="15:19" x14ac:dyDescent="0.2">
      <c r="O2970" s="4">
        <f t="shared" ca="1" si="263"/>
        <v>0.20399134876586145</v>
      </c>
      <c r="P2970" s="4">
        <f t="shared" ca="1" si="264"/>
        <v>-0.82744885845646843</v>
      </c>
      <c r="Q2970" s="4">
        <f t="shared" ca="1" si="265"/>
        <v>1948.3318105929573</v>
      </c>
      <c r="R2970" s="4">
        <f t="shared" ca="1" si="266"/>
        <v>24.661766592957292</v>
      </c>
      <c r="S2970" s="4">
        <f t="shared" ca="1" si="267"/>
        <v>12.731608424020553</v>
      </c>
    </row>
    <row r="2971" spans="15:19" x14ac:dyDescent="0.2">
      <c r="O2971" s="4">
        <f t="shared" ca="1" si="263"/>
        <v>0.70445398174602558</v>
      </c>
      <c r="P2971" s="4">
        <f t="shared" ca="1" si="264"/>
        <v>0.53725420090450782</v>
      </c>
      <c r="Q2971" s="4">
        <f t="shared" ca="1" si="265"/>
        <v>1906.9881920010623</v>
      </c>
      <c r="R2971" s="4">
        <f t="shared" ca="1" si="266"/>
        <v>-16.681851998937645</v>
      </c>
      <c r="S2971" s="4">
        <f t="shared" ca="1" si="267"/>
        <v>-8.331235950850413</v>
      </c>
    </row>
    <row r="2972" spans="15:19" x14ac:dyDescent="0.2">
      <c r="O2972" s="4">
        <f t="shared" ca="1" si="263"/>
        <v>0.82576755057828388</v>
      </c>
      <c r="P2972" s="4">
        <f t="shared" ca="1" si="264"/>
        <v>0.93757104208744579</v>
      </c>
      <c r="Q2972" s="4">
        <f t="shared" ca="1" si="265"/>
        <v>1894.8606110710907</v>
      </c>
      <c r="R2972" s="4">
        <f t="shared" ca="1" si="266"/>
        <v>-28.809432928909246</v>
      </c>
      <c r="S2972" s="4">
        <f t="shared" ca="1" si="267"/>
        <v>-14.245756423821883</v>
      </c>
    </row>
    <row r="2973" spans="15:19" x14ac:dyDescent="0.2">
      <c r="O2973" s="4">
        <f t="shared" ca="1" si="263"/>
        <v>0.24257325258570905</v>
      </c>
      <c r="P2973" s="4">
        <f t="shared" ca="1" si="264"/>
        <v>-0.69804907311376019</v>
      </c>
      <c r="Q2973" s="4">
        <f t="shared" ca="1" si="265"/>
        <v>1944.4116498412204</v>
      </c>
      <c r="R2973" s="4">
        <f t="shared" ca="1" si="266"/>
        <v>20.741605841220462</v>
      </c>
      <c r="S2973" s="4">
        <f t="shared" ca="1" si="267"/>
        <v>10.674731005426597</v>
      </c>
    </row>
    <row r="2974" spans="15:19" x14ac:dyDescent="0.2">
      <c r="O2974" s="4">
        <f t="shared" ca="1" si="263"/>
        <v>0.66259853376619293</v>
      </c>
      <c r="P2974" s="4">
        <f t="shared" ca="1" si="264"/>
        <v>0.41956544997053374</v>
      </c>
      <c r="Q2974" s="4">
        <f t="shared" ca="1" si="265"/>
        <v>1910.5535674853445</v>
      </c>
      <c r="R2974" s="4">
        <f t="shared" ca="1" si="266"/>
        <v>-13.11647651465546</v>
      </c>
      <c r="S2974" s="4">
        <f t="shared" ca="1" si="267"/>
        <v>-6.5696559004787423</v>
      </c>
    </row>
    <row r="2975" spans="15:19" x14ac:dyDescent="0.2">
      <c r="O2975" s="4">
        <f t="shared" ca="1" si="263"/>
        <v>0.56391821955265331</v>
      </c>
      <c r="P2975" s="4">
        <f t="shared" ca="1" si="264"/>
        <v>0.16091092072984375</v>
      </c>
      <c r="Q2975" s="4">
        <f t="shared" ca="1" si="265"/>
        <v>1918.3894949646899</v>
      </c>
      <c r="R2975" s="4">
        <f t="shared" ca="1" si="266"/>
        <v>-5.2805490353100595</v>
      </c>
      <c r="S2975" s="4">
        <f t="shared" ca="1" si="267"/>
        <v>-2.6617148452159496</v>
      </c>
    </row>
    <row r="2976" spans="15:19" x14ac:dyDescent="0.2">
      <c r="O2976" s="4">
        <f t="shared" ca="1" si="263"/>
        <v>0.74653537968714334</v>
      </c>
      <c r="P2976" s="4">
        <f t="shared" ca="1" si="264"/>
        <v>0.66362673667145622</v>
      </c>
      <c r="Q2976" s="4">
        <f t="shared" ca="1" si="265"/>
        <v>1903.159741640816</v>
      </c>
      <c r="R2976" s="4">
        <f t="shared" ca="1" si="266"/>
        <v>-20.510302359183925</v>
      </c>
      <c r="S2976" s="4">
        <f t="shared" ca="1" si="267"/>
        <v>-10.211273120663483</v>
      </c>
    </row>
    <row r="2977" spans="15:19" x14ac:dyDescent="0.2">
      <c r="O2977" s="4">
        <f t="shared" ca="1" si="263"/>
        <v>0.79381965833778478</v>
      </c>
      <c r="P2977" s="4">
        <f t="shared" ca="1" si="264"/>
        <v>0.81974641634463774</v>
      </c>
      <c r="Q2977" s="4">
        <f t="shared" ca="1" si="265"/>
        <v>1898.4301028766743</v>
      </c>
      <c r="R2977" s="4">
        <f t="shared" ca="1" si="266"/>
        <v>-25.239941123325707</v>
      </c>
      <c r="S2977" s="4">
        <f t="shared" ca="1" si="267"/>
        <v>-12.517380085332869</v>
      </c>
    </row>
    <row r="2978" spans="15:19" x14ac:dyDescent="0.2">
      <c r="O2978" s="4">
        <f t="shared" ca="1" si="263"/>
        <v>0.96787382655757959</v>
      </c>
      <c r="P2978" s="4">
        <f t="shared" ca="1" si="264"/>
        <v>1.8504248030757504</v>
      </c>
      <c r="Q2978" s="4">
        <f t="shared" ca="1" si="265"/>
        <v>1867.2057469117408</v>
      </c>
      <c r="R2978" s="4">
        <f t="shared" ca="1" si="266"/>
        <v>-56.464297088259173</v>
      </c>
      <c r="S2978" s="4">
        <f t="shared" ca="1" si="267"/>
        <v>-27.284955285696952</v>
      </c>
    </row>
    <row r="2979" spans="15:19" x14ac:dyDescent="0.2">
      <c r="O2979" s="4">
        <f t="shared" ca="1" si="263"/>
        <v>0.3487057814778699</v>
      </c>
      <c r="P2979" s="4">
        <f t="shared" ca="1" si="264"/>
        <v>-0.38881694768485964</v>
      </c>
      <c r="Q2979" s="4">
        <f t="shared" ca="1" si="265"/>
        <v>1935.0434763309479</v>
      </c>
      <c r="R2979" s="4">
        <f t="shared" ca="1" si="266"/>
        <v>11.373432330947935</v>
      </c>
      <c r="S2979" s="4">
        <f t="shared" ca="1" si="267"/>
        <v>5.8099992722476754</v>
      </c>
    </row>
    <row r="2980" spans="15:19" x14ac:dyDescent="0.2">
      <c r="O2980" s="4">
        <f t="shared" ca="1" si="263"/>
        <v>0.69680319195589824</v>
      </c>
      <c r="P2980" s="4">
        <f t="shared" ca="1" si="264"/>
        <v>0.51522812732981815</v>
      </c>
      <c r="Q2980" s="4">
        <f t="shared" ca="1" si="265"/>
        <v>1907.6554709220718</v>
      </c>
      <c r="R2980" s="4">
        <f t="shared" ca="1" si="266"/>
        <v>-16.014573077928162</v>
      </c>
      <c r="S2980" s="4">
        <f t="shared" ca="1" si="267"/>
        <v>-8.0023341129884145</v>
      </c>
    </row>
    <row r="2981" spans="15:19" x14ac:dyDescent="0.2">
      <c r="O2981" s="4">
        <f t="shared" ca="1" si="263"/>
        <v>0.21866435741853818</v>
      </c>
      <c r="P2981" s="4">
        <f t="shared" ca="1" si="264"/>
        <v>-0.77671198403237551</v>
      </c>
      <c r="Q2981" s="4">
        <f t="shared" ca="1" si="265"/>
        <v>1946.7947392349458</v>
      </c>
      <c r="R2981" s="4">
        <f t="shared" ca="1" si="266"/>
        <v>23.124695234945875</v>
      </c>
      <c r="S2981" s="4">
        <f t="shared" ca="1" si="267"/>
        <v>11.923628123290401</v>
      </c>
    </row>
    <row r="2982" spans="15:19" x14ac:dyDescent="0.2">
      <c r="O2982" s="4">
        <f t="shared" ca="1" si="263"/>
        <v>5.5603823512720973E-3</v>
      </c>
      <c r="P2982" s="4">
        <f t="shared" ca="1" si="264"/>
        <v>-2.5388809845494524</v>
      </c>
      <c r="Q2982" s="4">
        <f t="shared" ca="1" si="265"/>
        <v>2000.1795708670761</v>
      </c>
      <c r="R2982" s="4">
        <f t="shared" ca="1" si="266"/>
        <v>76.509526867076147</v>
      </c>
      <c r="S2982" s="4">
        <f t="shared" ca="1" si="267"/>
        <v>41.112736165372311</v>
      </c>
    </row>
    <row r="2983" spans="15:19" x14ac:dyDescent="0.2">
      <c r="O2983" s="4">
        <f t="shared" ca="1" si="263"/>
        <v>0.54558143416884508</v>
      </c>
      <c r="P2983" s="4">
        <f t="shared" ca="1" si="264"/>
        <v>0.11450544328737579</v>
      </c>
      <c r="Q2983" s="4">
        <f t="shared" ca="1" si="265"/>
        <v>1919.7953468434528</v>
      </c>
      <c r="R2983" s="4">
        <f t="shared" ca="1" si="266"/>
        <v>-3.8746971565471995</v>
      </c>
      <c r="S2983" s="4">
        <f t="shared" ca="1" si="267"/>
        <v>-1.9552982094629727</v>
      </c>
    </row>
    <row r="2984" spans="15:19" x14ac:dyDescent="0.2">
      <c r="O2984" s="4">
        <f t="shared" ca="1" si="263"/>
        <v>0.84733405139824181</v>
      </c>
      <c r="P2984" s="4">
        <f t="shared" ca="1" si="264"/>
        <v>1.0250663173257102</v>
      </c>
      <c r="Q2984" s="4">
        <f t="shared" ca="1" si="265"/>
        <v>1892.2099455924499</v>
      </c>
      <c r="R2984" s="4">
        <f t="shared" ca="1" si="266"/>
        <v>-31.460098407550049</v>
      </c>
      <c r="S2984" s="4">
        <f t="shared" ca="1" si="267"/>
        <v>-15.522518166000907</v>
      </c>
    </row>
    <row r="2985" spans="15:19" x14ac:dyDescent="0.2">
      <c r="O2985" s="4">
        <f t="shared" ca="1" si="263"/>
        <v>0.57125056328693558</v>
      </c>
      <c r="P2985" s="4">
        <f t="shared" ca="1" si="264"/>
        <v>0.17955889972364844</v>
      </c>
      <c r="Q2985" s="4">
        <f t="shared" ca="1" si="265"/>
        <v>1917.8245552690239</v>
      </c>
      <c r="R2985" s="4">
        <f t="shared" ca="1" si="266"/>
        <v>-5.8454887309760579</v>
      </c>
      <c r="S2985" s="4">
        <f t="shared" ca="1" si="267"/>
        <v>-2.9451342026332625</v>
      </c>
    </row>
    <row r="2986" spans="15:19" x14ac:dyDescent="0.2">
      <c r="O2986" s="4">
        <f t="shared" ca="1" si="263"/>
        <v>0.81596640699481093</v>
      </c>
      <c r="P2986" s="4">
        <f t="shared" ca="1" si="264"/>
        <v>0.9000997181626289</v>
      </c>
      <c r="Q2986" s="4">
        <f t="shared" ca="1" si="265"/>
        <v>1895.995803165704</v>
      </c>
      <c r="R2986" s="4">
        <f t="shared" ca="1" si="266"/>
        <v>-27.674240834295915</v>
      </c>
      <c r="S2986" s="4">
        <f t="shared" ca="1" si="267"/>
        <v>-13.697212271882609</v>
      </c>
    </row>
    <row r="2987" spans="15:19" x14ac:dyDescent="0.2">
      <c r="O2987" s="4">
        <f t="shared" ca="1" si="263"/>
        <v>9.1456072140808531E-2</v>
      </c>
      <c r="P2987" s="4">
        <f t="shared" ca="1" si="264"/>
        <v>-1.3318419058478077</v>
      </c>
      <c r="Q2987" s="4">
        <f t="shared" ca="1" si="265"/>
        <v>1963.6123755691331</v>
      </c>
      <c r="R2987" s="4">
        <f t="shared" ca="1" si="266"/>
        <v>39.942331569133103</v>
      </c>
      <c r="S2987" s="4">
        <f t="shared" ca="1" si="267"/>
        <v>20.868633583115404</v>
      </c>
    </row>
    <row r="2988" spans="15:19" x14ac:dyDescent="0.2">
      <c r="O2988" s="4">
        <f t="shared" ca="1" si="263"/>
        <v>6.0771669776764625E-3</v>
      </c>
      <c r="P2988" s="4">
        <f t="shared" ca="1" si="264"/>
        <v>-2.5076315222116512</v>
      </c>
      <c r="Q2988" s="4">
        <f t="shared" ca="1" si="265"/>
        <v>1999.2328697929972</v>
      </c>
      <c r="R2988" s="4">
        <f t="shared" ca="1" si="266"/>
        <v>75.562825792997273</v>
      </c>
      <c r="S2988" s="4">
        <f t="shared" ca="1" si="267"/>
        <v>40.574902249343474</v>
      </c>
    </row>
    <row r="2989" spans="15:19" x14ac:dyDescent="0.2">
      <c r="O2989" s="4">
        <f t="shared" ca="1" si="263"/>
        <v>0.61247212861393618</v>
      </c>
      <c r="P2989" s="4">
        <f t="shared" ca="1" si="264"/>
        <v>0.28576809924659191</v>
      </c>
      <c r="Q2989" s="4">
        <f t="shared" ca="1" si="265"/>
        <v>1914.6069522850585</v>
      </c>
      <c r="R2989" s="4">
        <f t="shared" ca="1" si="266"/>
        <v>-9.0630917149414927</v>
      </c>
      <c r="S2989" s="4">
        <f t="shared" ca="1" si="267"/>
        <v>-4.5543892820603542</v>
      </c>
    </row>
    <row r="2990" spans="15:19" x14ac:dyDescent="0.2">
      <c r="O2990" s="4">
        <f t="shared" ca="1" si="263"/>
        <v>0.53281126779438737</v>
      </c>
      <c r="P2990" s="4">
        <f t="shared" ca="1" si="264"/>
        <v>8.2338594771068835E-2</v>
      </c>
      <c r="Q2990" s="4">
        <f t="shared" ca="1" si="265"/>
        <v>1920.7698400910783</v>
      </c>
      <c r="R2990" s="4">
        <f t="shared" ca="1" si="266"/>
        <v>-2.9002039089216396</v>
      </c>
      <c r="S2990" s="4">
        <f t="shared" ca="1" si="267"/>
        <v>-1.4646876922846133</v>
      </c>
    </row>
    <row r="2991" spans="15:19" x14ac:dyDescent="0.2">
      <c r="O2991" s="4">
        <f t="shared" ca="1" si="263"/>
        <v>0.27896668230708288</v>
      </c>
      <c r="P2991" s="4">
        <f t="shared" ca="1" si="264"/>
        <v>-0.58591391685424565</v>
      </c>
      <c r="Q2991" s="4">
        <f t="shared" ca="1" si="265"/>
        <v>1941.014520261027</v>
      </c>
      <c r="R2991" s="4">
        <f t="shared" ca="1" si="266"/>
        <v>17.344476261027012</v>
      </c>
      <c r="S2991" s="4">
        <f t="shared" ca="1" si="267"/>
        <v>8.9024027547781603</v>
      </c>
    </row>
    <row r="2992" spans="15:19" x14ac:dyDescent="0.2">
      <c r="O2992" s="4">
        <f t="shared" ca="1" si="263"/>
        <v>0.48046697335224087</v>
      </c>
      <c r="P2992" s="4">
        <f t="shared" ca="1" si="264"/>
        <v>-4.8981615942648112E-2</v>
      </c>
      <c r="Q2992" s="4">
        <f t="shared" ca="1" si="265"/>
        <v>1924.7481800441653</v>
      </c>
      <c r="R2992" s="4">
        <f t="shared" ca="1" si="266"/>
        <v>1.078136044165376</v>
      </c>
      <c r="S2992" s="4">
        <f t="shared" ca="1" si="267"/>
        <v>0.54623619383675004</v>
      </c>
    </row>
    <row r="2993" spans="15:19" x14ac:dyDescent="0.2">
      <c r="O2993" s="4">
        <f t="shared" ca="1" si="263"/>
        <v>0.2853558598219843</v>
      </c>
      <c r="P2993" s="4">
        <f t="shared" ca="1" si="264"/>
        <v>-0.56700362371374236</v>
      </c>
      <c r="Q2993" s="4">
        <f t="shared" ca="1" si="265"/>
        <v>1940.4416337699331</v>
      </c>
      <c r="R2993" s="4">
        <f t="shared" ca="1" si="266"/>
        <v>16.771589769933144</v>
      </c>
      <c r="S2993" s="4">
        <f t="shared" ca="1" si="267"/>
        <v>8.6044459828490201</v>
      </c>
    </row>
    <row r="2994" spans="15:19" x14ac:dyDescent="0.2">
      <c r="O2994" s="4">
        <f t="shared" ca="1" si="263"/>
        <v>0.23286582956904589</v>
      </c>
      <c r="P2994" s="4">
        <f t="shared" ca="1" si="264"/>
        <v>-0.72944146870791471</v>
      </c>
      <c r="Q2994" s="4">
        <f t="shared" ca="1" si="265"/>
        <v>1945.3626810719547</v>
      </c>
      <c r="R2994" s="4">
        <f t="shared" ca="1" si="266"/>
        <v>21.692637071954778</v>
      </c>
      <c r="S2994" s="4">
        <f t="shared" ca="1" si="267"/>
        <v>11.172580133516044</v>
      </c>
    </row>
    <row r="2995" spans="15:19" x14ac:dyDescent="0.2">
      <c r="O2995" s="4">
        <f t="shared" ca="1" si="263"/>
        <v>0.1927005885853833</v>
      </c>
      <c r="P2995" s="4">
        <f t="shared" ca="1" si="264"/>
        <v>-0.86798749726653346</v>
      </c>
      <c r="Q2995" s="4">
        <f t="shared" ca="1" si="265"/>
        <v>1949.5599268558333</v>
      </c>
      <c r="R2995" s="4">
        <f t="shared" ca="1" si="266"/>
        <v>25.889882855833321</v>
      </c>
      <c r="S2995" s="4">
        <f t="shared" ca="1" si="267"/>
        <v>13.378565107574051</v>
      </c>
    </row>
    <row r="2996" spans="15:19" x14ac:dyDescent="0.2">
      <c r="O2996" s="4">
        <f t="shared" ca="1" si="263"/>
        <v>0.62646642641318306</v>
      </c>
      <c r="P2996" s="4">
        <f t="shared" ca="1" si="264"/>
        <v>0.322508965038524</v>
      </c>
      <c r="Q2996" s="4">
        <f t="shared" ca="1" si="265"/>
        <v>1913.4938893871495</v>
      </c>
      <c r="R2996" s="4">
        <f t="shared" ca="1" si="266"/>
        <v>-10.176154612850496</v>
      </c>
      <c r="S2996" s="4">
        <f t="shared" ca="1" si="267"/>
        <v>-5.10911544294654</v>
      </c>
    </row>
    <row r="2997" spans="15:19" x14ac:dyDescent="0.2">
      <c r="O2997" s="4">
        <f t="shared" ca="1" si="263"/>
        <v>0.67678258626880006</v>
      </c>
      <c r="P2997" s="4">
        <f t="shared" ca="1" si="264"/>
        <v>0.45872058822970757</v>
      </c>
      <c r="Q2997" s="4">
        <f t="shared" ca="1" si="265"/>
        <v>1909.3673643102318</v>
      </c>
      <c r="R2997" s="4">
        <f t="shared" ca="1" si="266"/>
        <v>-14.302679689768183</v>
      </c>
      <c r="S2997" s="4">
        <f t="shared" ca="1" si="267"/>
        <v>-7.1568837660328057</v>
      </c>
    </row>
    <row r="2998" spans="15:19" x14ac:dyDescent="0.2">
      <c r="O2998" s="4">
        <f t="shared" ca="1" si="263"/>
        <v>0.12232443047750707</v>
      </c>
      <c r="P2998" s="4">
        <f t="shared" ca="1" si="264"/>
        <v>-1.163445344912533</v>
      </c>
      <c r="Q2998" s="4">
        <f t="shared" ca="1" si="265"/>
        <v>1958.5108092322371</v>
      </c>
      <c r="R2998" s="4">
        <f t="shared" ca="1" si="266"/>
        <v>34.840765232237118</v>
      </c>
      <c r="S2998" s="4">
        <f t="shared" ca="1" si="267"/>
        <v>18.130869375456864</v>
      </c>
    </row>
    <row r="2999" spans="15:19" x14ac:dyDescent="0.2">
      <c r="O2999" s="4">
        <f t="shared" ca="1" si="263"/>
        <v>0.33368323484043372</v>
      </c>
      <c r="P2999" s="4">
        <f t="shared" ca="1" si="264"/>
        <v>-0.42976517256060803</v>
      </c>
      <c r="Q2999" s="4">
        <f t="shared" ca="1" si="265"/>
        <v>1936.2840009854988</v>
      </c>
      <c r="R2999" s="4">
        <f t="shared" ca="1" si="266"/>
        <v>12.613956985498817</v>
      </c>
      <c r="S2999" s="4">
        <f t="shared" ca="1" si="267"/>
        <v>6.4500781409225745</v>
      </c>
    </row>
    <row r="3000" spans="15:19" x14ac:dyDescent="0.2">
      <c r="O3000" s="4">
        <f t="shared" ca="1" si="263"/>
        <v>0.17418853887271712</v>
      </c>
      <c r="P3000" s="4">
        <f t="shared" ca="1" si="264"/>
        <v>-0.93774187619226734</v>
      </c>
      <c r="Q3000" s="4">
        <f t="shared" ca="1" si="265"/>
        <v>1951.6731326683639</v>
      </c>
      <c r="R3000" s="4">
        <f t="shared" ca="1" si="266"/>
        <v>28.003088668363944</v>
      </c>
      <c r="S3000" s="4">
        <f t="shared" ca="1" si="267"/>
        <v>14.494650457291502</v>
      </c>
    </row>
    <row r="3001" spans="15:19" x14ac:dyDescent="0.2">
      <c r="O3001" s="4">
        <f t="shared" ca="1" si="263"/>
        <v>0.40152576320152089</v>
      </c>
      <c r="P3001" s="4">
        <f t="shared" ca="1" si="264"/>
        <v>-0.24939981737111505</v>
      </c>
      <c r="Q3001" s="4">
        <f t="shared" ca="1" si="265"/>
        <v>1930.8198405580733</v>
      </c>
      <c r="R3001" s="4">
        <f t="shared" ca="1" si="266"/>
        <v>7.1497965580733762</v>
      </c>
      <c r="S3001" s="4">
        <f t="shared" ca="1" si="267"/>
        <v>3.6401062615335777</v>
      </c>
    </row>
    <row r="3002" spans="15:19" x14ac:dyDescent="0.2">
      <c r="O3002" s="4">
        <f t="shared" ca="1" si="263"/>
        <v>0.22394778754976141</v>
      </c>
      <c r="P3002" s="4">
        <f t="shared" ca="1" si="264"/>
        <v>-0.7589280889135388</v>
      </c>
      <c r="Q3002" s="4">
        <f t="shared" ca="1" si="265"/>
        <v>1946.2559769219074</v>
      </c>
      <c r="R3002" s="4">
        <f t="shared" ca="1" si="266"/>
        <v>22.585932921907443</v>
      </c>
      <c r="S3002" s="4">
        <f t="shared" ca="1" si="267"/>
        <v>11.640876402822222</v>
      </c>
    </row>
    <row r="3003" spans="15:19" x14ac:dyDescent="0.2">
      <c r="O3003" s="4">
        <f t="shared" ca="1" si="263"/>
        <v>0.14944878035707398</v>
      </c>
      <c r="P3003" s="4">
        <f t="shared" ca="1" si="264"/>
        <v>-1.0388004313614732</v>
      </c>
      <c r="Q3003" s="4">
        <f t="shared" ca="1" si="265"/>
        <v>1954.7346971103168</v>
      </c>
      <c r="R3003" s="4">
        <f t="shared" ca="1" si="266"/>
        <v>31.06465311031684</v>
      </c>
      <c r="S3003" s="4">
        <f t="shared" ca="1" si="267"/>
        <v>16.118058641346352</v>
      </c>
    </row>
    <row r="3004" spans="15:19" x14ac:dyDescent="0.2">
      <c r="O3004" s="4">
        <f t="shared" ca="1" si="263"/>
        <v>0.64469720354545146</v>
      </c>
      <c r="P3004" s="4">
        <f t="shared" ca="1" si="264"/>
        <v>0.37104288153933673</v>
      </c>
      <c r="Q3004" s="4">
        <f t="shared" ca="1" si="265"/>
        <v>1912.0235565416142</v>
      </c>
      <c r="R3004" s="4">
        <f t="shared" ca="1" si="266"/>
        <v>-11.646487458385764</v>
      </c>
      <c r="S3004" s="4">
        <f t="shared" ca="1" si="267"/>
        <v>-5.8403508851156083</v>
      </c>
    </row>
    <row r="3005" spans="15:19" x14ac:dyDescent="0.2">
      <c r="O3005" s="4">
        <f t="shared" ca="1" si="263"/>
        <v>3.5576634886460234E-2</v>
      </c>
      <c r="P3005" s="4">
        <f t="shared" ca="1" si="264"/>
        <v>-1.8044980168636551</v>
      </c>
      <c r="Q3005" s="4">
        <f t="shared" ca="1" si="265"/>
        <v>1977.9314714669015</v>
      </c>
      <c r="R3005" s="4">
        <f t="shared" ca="1" si="266"/>
        <v>54.261427466901523</v>
      </c>
      <c r="S3005" s="4">
        <f t="shared" ca="1" si="267"/>
        <v>28.666201012665578</v>
      </c>
    </row>
    <row r="3006" spans="15:19" x14ac:dyDescent="0.2">
      <c r="O3006" s="4">
        <f t="shared" ca="1" si="263"/>
        <v>0.49664362410075558</v>
      </c>
      <c r="P3006" s="4">
        <f t="shared" ca="1" si="264"/>
        <v>-8.4132859817535079E-3</v>
      </c>
      <c r="Q3006" s="4">
        <f t="shared" ca="1" si="265"/>
        <v>1923.519164289193</v>
      </c>
      <c r="R3006" s="4">
        <f t="shared" ca="1" si="266"/>
        <v>-0.15087971080697571</v>
      </c>
      <c r="S3006" s="4">
        <f t="shared" ca="1" si="267"/>
        <v>-7.636752065942766E-2</v>
      </c>
    </row>
    <row r="3007" spans="15:19" x14ac:dyDescent="0.2">
      <c r="O3007" s="4">
        <f t="shared" ca="1" si="263"/>
        <v>0.5177430743449003</v>
      </c>
      <c r="P3007" s="4">
        <f t="shared" ca="1" si="264"/>
        <v>4.4489964395108238E-2</v>
      </c>
      <c r="Q3007" s="4">
        <f t="shared" ca="1" si="265"/>
        <v>1921.9164626678771</v>
      </c>
      <c r="R3007" s="4">
        <f t="shared" ca="1" si="266"/>
        <v>-1.7535813321228488</v>
      </c>
      <c r="S3007" s="4">
        <f t="shared" ca="1" si="267"/>
        <v>-0.8864282892837575</v>
      </c>
    </row>
    <row r="3008" spans="15:19" x14ac:dyDescent="0.2">
      <c r="O3008" s="4">
        <f t="shared" ca="1" si="263"/>
        <v>0.53399910730552669</v>
      </c>
      <c r="P3008" s="4">
        <f t="shared" ca="1" si="264"/>
        <v>8.5326549071610636E-2</v>
      </c>
      <c r="Q3008" s="4">
        <f t="shared" ca="1" si="265"/>
        <v>1920.6793201482058</v>
      </c>
      <c r="R3008" s="4">
        <f t="shared" ca="1" si="266"/>
        <v>-2.9907238517942005</v>
      </c>
      <c r="S3008" s="4">
        <f t="shared" ca="1" si="267"/>
        <v>-1.5102927057837534</v>
      </c>
    </row>
    <row r="3009" spans="15:19" x14ac:dyDescent="0.2">
      <c r="O3009" s="4">
        <f t="shared" ca="1" si="263"/>
        <v>0.17958511119833187</v>
      </c>
      <c r="P3009" s="4">
        <f t="shared" ca="1" si="264"/>
        <v>-0.91694736480199102</v>
      </c>
      <c r="Q3009" s="4">
        <f t="shared" ca="1" si="265"/>
        <v>1951.0431638690511</v>
      </c>
      <c r="R3009" s="4">
        <f t="shared" ca="1" si="266"/>
        <v>27.373119869051152</v>
      </c>
      <c r="S3009" s="4">
        <f t="shared" ca="1" si="267"/>
        <v>14.161553355208923</v>
      </c>
    </row>
    <row r="3010" spans="15:19" x14ac:dyDescent="0.2">
      <c r="O3010" s="4">
        <f t="shared" ca="1" si="263"/>
        <v>8.3779694769241631E-2</v>
      </c>
      <c r="P3010" s="4">
        <f t="shared" ca="1" si="264"/>
        <v>-1.3800885263390315</v>
      </c>
      <c r="Q3010" s="4">
        <f t="shared" ca="1" si="265"/>
        <v>1965.0740047948129</v>
      </c>
      <c r="R3010" s="4">
        <f t="shared" ca="1" si="266"/>
        <v>41.403960794812974</v>
      </c>
      <c r="S3010" s="4">
        <f t="shared" ca="1" si="267"/>
        <v>21.656924378640007</v>
      </c>
    </row>
    <row r="3011" spans="15:19" x14ac:dyDescent="0.2">
      <c r="O3011" s="4">
        <f t="shared" ref="O3011:O3074" ca="1" si="268">RAND()</f>
        <v>0.37661338104954656</v>
      </c>
      <c r="P3011" s="4">
        <f t="shared" ref="P3011:P3074" ca="1" si="269">NORMSINV(O3011)</f>
        <v>-0.31438748245806825</v>
      </c>
      <c r="Q3011" s="4">
        <f t="shared" ref="Q3011:Q3074" ca="1" si="270">$B$4*(1+$B$17-$B$6/SQRT(252)*P3011)</f>
        <v>1932.7886389864959</v>
      </c>
      <c r="R3011" s="4">
        <f t="shared" ref="R3011:R3074" ca="1" si="271">Q3011-$B$4</f>
        <v>9.1185949864959639</v>
      </c>
      <c r="S3011" s="4">
        <f t="shared" ref="S3011:S3074" ca="1" si="272">R3011*$B$12+0.5*$B$13*R3011^2</f>
        <v>4.6497694052075245</v>
      </c>
    </row>
    <row r="3012" spans="15:19" x14ac:dyDescent="0.2">
      <c r="O3012" s="4">
        <f t="shared" ca="1" si="268"/>
        <v>0.55635497289725477</v>
      </c>
      <c r="P3012" s="4">
        <f t="shared" ca="1" si="269"/>
        <v>0.14173408065958085</v>
      </c>
      <c r="Q3012" s="4">
        <f t="shared" ca="1" si="270"/>
        <v>1918.9704564831859</v>
      </c>
      <c r="R3012" s="4">
        <f t="shared" ca="1" si="271"/>
        <v>-4.6995875168140628</v>
      </c>
      <c r="S3012" s="4">
        <f t="shared" ca="1" si="272"/>
        <v>-2.3699866521075843</v>
      </c>
    </row>
    <row r="3013" spans="15:19" x14ac:dyDescent="0.2">
      <c r="O3013" s="4">
        <f t="shared" ca="1" si="268"/>
        <v>0.70754952184317765</v>
      </c>
      <c r="P3013" s="4">
        <f t="shared" ca="1" si="269"/>
        <v>0.5462400253564037</v>
      </c>
      <c r="Q3013" s="4">
        <f t="shared" ca="1" si="270"/>
        <v>1906.7159668482536</v>
      </c>
      <c r="R3013" s="4">
        <f t="shared" ca="1" si="271"/>
        <v>-16.954077151746333</v>
      </c>
      <c r="S3013" s="4">
        <f t="shared" ca="1" si="272"/>
        <v>-8.4653116415503789</v>
      </c>
    </row>
    <row r="3014" spans="15:19" x14ac:dyDescent="0.2">
      <c r="O3014" s="4">
        <f t="shared" ca="1" si="268"/>
        <v>0.77231494554435409</v>
      </c>
      <c r="P3014" s="4">
        <f t="shared" ca="1" si="269"/>
        <v>0.74649225424206678</v>
      </c>
      <c r="Q3014" s="4">
        <f t="shared" ca="1" si="270"/>
        <v>1900.6493344651603</v>
      </c>
      <c r="R3014" s="4">
        <f t="shared" ca="1" si="271"/>
        <v>-23.020709534839625</v>
      </c>
      <c r="S3014" s="4">
        <f t="shared" ca="1" si="272"/>
        <v>-11.437581067353033</v>
      </c>
    </row>
    <row r="3015" spans="15:19" x14ac:dyDescent="0.2">
      <c r="O3015" s="4">
        <f t="shared" ca="1" si="268"/>
        <v>0.18639499687670258</v>
      </c>
      <c r="P3015" s="4">
        <f t="shared" ca="1" si="269"/>
        <v>-0.89125945680225727</v>
      </c>
      <c r="Q3015" s="4">
        <f t="shared" ca="1" si="270"/>
        <v>1950.2649498367166</v>
      </c>
      <c r="R3015" s="4">
        <f t="shared" ca="1" si="271"/>
        <v>26.594905836716634</v>
      </c>
      <c r="S3015" s="4">
        <f t="shared" ca="1" si="272"/>
        <v>13.750517421434376</v>
      </c>
    </row>
    <row r="3016" spans="15:19" x14ac:dyDescent="0.2">
      <c r="O3016" s="4">
        <f t="shared" ca="1" si="268"/>
        <v>0.65597274174070253</v>
      </c>
      <c r="P3016" s="4">
        <f t="shared" ca="1" si="269"/>
        <v>0.40149663309959427</v>
      </c>
      <c r="Q3016" s="4">
        <f t="shared" ca="1" si="270"/>
        <v>1911.1009614902125</v>
      </c>
      <c r="R3016" s="4">
        <f t="shared" ca="1" si="271"/>
        <v>-12.569082509787449</v>
      </c>
      <c r="S3016" s="4">
        <f t="shared" ca="1" si="272"/>
        <v>-6.2982831361200118</v>
      </c>
    </row>
    <row r="3017" spans="15:19" x14ac:dyDescent="0.2">
      <c r="O3017" s="4">
        <f t="shared" ca="1" si="268"/>
        <v>0.45857509633645366</v>
      </c>
      <c r="P3017" s="4">
        <f t="shared" ca="1" si="269"/>
        <v>-0.10402413857746937</v>
      </c>
      <c r="Q3017" s="4">
        <f t="shared" ca="1" si="270"/>
        <v>1926.4156908235541</v>
      </c>
      <c r="R3017" s="4">
        <f t="shared" ca="1" si="271"/>
        <v>2.7456468235541251</v>
      </c>
      <c r="S3017" s="4">
        <f t="shared" ca="1" si="272"/>
        <v>1.3929420379248432</v>
      </c>
    </row>
    <row r="3018" spans="15:19" x14ac:dyDescent="0.2">
      <c r="O3018" s="4">
        <f t="shared" ca="1" si="268"/>
        <v>0.5423026911424017</v>
      </c>
      <c r="P3018" s="4">
        <f t="shared" ca="1" si="269"/>
        <v>0.10623661881818573</v>
      </c>
      <c r="Q3018" s="4">
        <f t="shared" ca="1" si="270"/>
        <v>1920.0458505136194</v>
      </c>
      <c r="R3018" s="4">
        <f t="shared" ca="1" si="271"/>
        <v>-3.6241934863805909</v>
      </c>
      <c r="S3018" s="4">
        <f t="shared" ca="1" si="272"/>
        <v>-1.8292554773540719</v>
      </c>
    </row>
    <row r="3019" spans="15:19" x14ac:dyDescent="0.2">
      <c r="O3019" s="4">
        <f t="shared" ca="1" si="268"/>
        <v>4.8298817685384798E-2</v>
      </c>
      <c r="P3019" s="4">
        <f t="shared" ca="1" si="269"/>
        <v>-1.6615769141609964</v>
      </c>
      <c r="Q3019" s="4">
        <f t="shared" ca="1" si="270"/>
        <v>1973.6016830060778</v>
      </c>
      <c r="R3019" s="4">
        <f t="shared" ca="1" si="271"/>
        <v>49.93163900607783</v>
      </c>
      <c r="S3019" s="4">
        <f t="shared" ca="1" si="272"/>
        <v>26.290776941527877</v>
      </c>
    </row>
    <row r="3020" spans="15:19" x14ac:dyDescent="0.2">
      <c r="O3020" s="4">
        <f t="shared" ca="1" si="268"/>
        <v>0.64214890611815278</v>
      </c>
      <c r="P3020" s="4">
        <f t="shared" ca="1" si="269"/>
        <v>0.36420867733598439</v>
      </c>
      <c r="Q3020" s="4">
        <f t="shared" ca="1" si="270"/>
        <v>1912.230598454523</v>
      </c>
      <c r="R3020" s="4">
        <f t="shared" ca="1" si="271"/>
        <v>-11.439445545476929</v>
      </c>
      <c r="S3020" s="4">
        <f t="shared" ca="1" si="272"/>
        <v>-5.7374899323095567</v>
      </c>
    </row>
    <row r="3021" spans="15:19" x14ac:dyDescent="0.2">
      <c r="O3021" s="4">
        <f t="shared" ca="1" si="268"/>
        <v>0.82881592865935505</v>
      </c>
      <c r="P3021" s="4">
        <f t="shared" ca="1" si="269"/>
        <v>0.94949651689981618</v>
      </c>
      <c r="Q3021" s="4">
        <f t="shared" ca="1" si="270"/>
        <v>1894.4993293411292</v>
      </c>
      <c r="R3021" s="4">
        <f t="shared" ca="1" si="271"/>
        <v>-29.170714658870793</v>
      </c>
      <c r="S3021" s="4">
        <f t="shared" ca="1" si="272"/>
        <v>-14.420113826780034</v>
      </c>
    </row>
    <row r="3022" spans="15:19" x14ac:dyDescent="0.2">
      <c r="O3022" s="4">
        <f t="shared" ca="1" si="268"/>
        <v>0.10115511354403928</v>
      </c>
      <c r="P3022" s="4">
        <f t="shared" ca="1" si="269"/>
        <v>-1.2749972168404304</v>
      </c>
      <c r="Q3022" s="4">
        <f t="shared" ca="1" si="270"/>
        <v>1961.8902682395017</v>
      </c>
      <c r="R3022" s="4">
        <f t="shared" ca="1" si="271"/>
        <v>38.220224239501704</v>
      </c>
      <c r="S3022" s="4">
        <f t="shared" ca="1" si="272"/>
        <v>19.942092712619559</v>
      </c>
    </row>
    <row r="3023" spans="15:19" x14ac:dyDescent="0.2">
      <c r="O3023" s="4">
        <f t="shared" ca="1" si="268"/>
        <v>0.83489687716050265</v>
      </c>
      <c r="P3023" s="4">
        <f t="shared" ca="1" si="269"/>
        <v>0.97369853348151381</v>
      </c>
      <c r="Q3023" s="4">
        <f t="shared" ca="1" si="270"/>
        <v>1893.7661303233319</v>
      </c>
      <c r="R3023" s="4">
        <f t="shared" ca="1" si="271"/>
        <v>-29.903913676668026</v>
      </c>
      <c r="S3023" s="4">
        <f t="shared" ca="1" si="272"/>
        <v>-14.773634774792891</v>
      </c>
    </row>
    <row r="3024" spans="15:19" x14ac:dyDescent="0.2">
      <c r="O3024" s="4">
        <f t="shared" ca="1" si="268"/>
        <v>0.98543232843480821</v>
      </c>
      <c r="P3024" s="4">
        <f t="shared" ca="1" si="269"/>
        <v>2.1816504140270165</v>
      </c>
      <c r="Q3024" s="4">
        <f t="shared" ca="1" si="270"/>
        <v>1857.1712817340567</v>
      </c>
      <c r="R3024" s="4">
        <f t="shared" ca="1" si="271"/>
        <v>-66.498762265943242</v>
      </c>
      <c r="S3024" s="4">
        <f t="shared" ca="1" si="272"/>
        <v>-31.862229935173232</v>
      </c>
    </row>
    <row r="3025" spans="15:19" x14ac:dyDescent="0.2">
      <c r="O3025" s="4">
        <f t="shared" ca="1" si="268"/>
        <v>0.96341793267337972</v>
      </c>
      <c r="P3025" s="4">
        <f t="shared" ca="1" si="269"/>
        <v>1.791805455370568</v>
      </c>
      <c r="Q3025" s="4">
        <f t="shared" ca="1" si="270"/>
        <v>1868.981617447829</v>
      </c>
      <c r="R3025" s="4">
        <f t="shared" ca="1" si="271"/>
        <v>-54.688426552170995</v>
      </c>
      <c r="S3025" s="4">
        <f t="shared" ca="1" si="272"/>
        <v>-26.466344779205354</v>
      </c>
    </row>
    <row r="3026" spans="15:19" x14ac:dyDescent="0.2">
      <c r="O3026" s="4">
        <f t="shared" ca="1" si="268"/>
        <v>0.10321181431865678</v>
      </c>
      <c r="P3026" s="4">
        <f t="shared" ca="1" si="269"/>
        <v>-1.2634607919524519</v>
      </c>
      <c r="Q3026" s="4">
        <f t="shared" ca="1" si="270"/>
        <v>1961.5407727597262</v>
      </c>
      <c r="R3026" s="4">
        <f t="shared" ca="1" si="271"/>
        <v>37.870728759726262</v>
      </c>
      <c r="S3026" s="4">
        <f t="shared" ca="1" si="272"/>
        <v>19.754349304772543</v>
      </c>
    </row>
    <row r="3027" spans="15:19" x14ac:dyDescent="0.2">
      <c r="O3027" s="4">
        <f t="shared" ca="1" si="268"/>
        <v>0.18215417894057617</v>
      </c>
      <c r="P3027" s="4">
        <f t="shared" ca="1" si="269"/>
        <v>-0.90718616639920768</v>
      </c>
      <c r="Q3027" s="4">
        <f t="shared" ca="1" si="270"/>
        <v>1950.7474487968263</v>
      </c>
      <c r="R3027" s="4">
        <f t="shared" ca="1" si="271"/>
        <v>27.077404796826386</v>
      </c>
      <c r="S3027" s="4">
        <f t="shared" ca="1" si="272"/>
        <v>14.005304925266326</v>
      </c>
    </row>
    <row r="3028" spans="15:19" x14ac:dyDescent="0.2">
      <c r="O3028" s="4">
        <f t="shared" ca="1" si="268"/>
        <v>0.97193947571452344</v>
      </c>
      <c r="P3028" s="4">
        <f t="shared" ca="1" si="269"/>
        <v>1.9100944880997899</v>
      </c>
      <c r="Q3028" s="4">
        <f t="shared" ca="1" si="270"/>
        <v>1865.3980564532114</v>
      </c>
      <c r="R3028" s="4">
        <f t="shared" ca="1" si="271"/>
        <v>-58.271987546788523</v>
      </c>
      <c r="S3028" s="4">
        <f t="shared" ca="1" si="272"/>
        <v>-28.115596615411178</v>
      </c>
    </row>
    <row r="3029" spans="15:19" x14ac:dyDescent="0.2">
      <c r="O3029" s="4">
        <f t="shared" ca="1" si="268"/>
        <v>0.49169421743236841</v>
      </c>
      <c r="P3029" s="4">
        <f t="shared" ca="1" si="269"/>
        <v>-2.082101369808655E-2</v>
      </c>
      <c r="Q3029" s="4">
        <f t="shared" ca="1" si="270"/>
        <v>1923.8950558494687</v>
      </c>
      <c r="R3029" s="4">
        <f t="shared" ca="1" si="271"/>
        <v>0.22501184946872854</v>
      </c>
      <c r="S3029" s="4">
        <f t="shared" ca="1" si="272"/>
        <v>0.11392381222107051</v>
      </c>
    </row>
    <row r="3030" spans="15:19" x14ac:dyDescent="0.2">
      <c r="O3030" s="4">
        <f t="shared" ca="1" si="268"/>
        <v>0.16214228390857399</v>
      </c>
      <c r="P3030" s="4">
        <f t="shared" ca="1" si="269"/>
        <v>-0.98569140630458385</v>
      </c>
      <c r="Q3030" s="4">
        <f t="shared" ca="1" si="270"/>
        <v>1953.1257615542056</v>
      </c>
      <c r="R3030" s="4">
        <f t="shared" ca="1" si="271"/>
        <v>29.455717554205648</v>
      </c>
      <c r="S3030" s="4">
        <f t="shared" ca="1" si="272"/>
        <v>15.263961998601937</v>
      </c>
    </row>
    <row r="3031" spans="15:19" x14ac:dyDescent="0.2">
      <c r="O3031" s="4">
        <f t="shared" ca="1" si="268"/>
        <v>0.43850326888528091</v>
      </c>
      <c r="P3031" s="4">
        <f t="shared" ca="1" si="269"/>
        <v>-0.15476505945727201</v>
      </c>
      <c r="Q3031" s="4">
        <f t="shared" ca="1" si="270"/>
        <v>1927.9528847687618</v>
      </c>
      <c r="R3031" s="4">
        <f t="shared" ca="1" si="271"/>
        <v>4.2828407687618437</v>
      </c>
      <c r="S3031" s="4">
        <f t="shared" ca="1" si="272"/>
        <v>2.1754827060517776</v>
      </c>
    </row>
    <row r="3032" spans="15:19" x14ac:dyDescent="0.2">
      <c r="O3032" s="4">
        <f t="shared" ca="1" si="268"/>
        <v>0.54011492634601344</v>
      </c>
      <c r="P3032" s="4">
        <f t="shared" ca="1" si="269"/>
        <v>0.10072325893346969</v>
      </c>
      <c r="Q3032" s="4">
        <f t="shared" ca="1" si="270"/>
        <v>1920.2128775065391</v>
      </c>
      <c r="R3032" s="4">
        <f t="shared" ca="1" si="271"/>
        <v>-3.4571664934608179</v>
      </c>
      <c r="S3032" s="4">
        <f t="shared" ca="1" si="272"/>
        <v>-1.7451862501562982</v>
      </c>
    </row>
    <row r="3033" spans="15:19" x14ac:dyDescent="0.2">
      <c r="O3033" s="4">
        <f t="shared" ca="1" si="268"/>
        <v>0.72578636121144058</v>
      </c>
      <c r="P3033" s="4">
        <f t="shared" ca="1" si="269"/>
        <v>0.60011847974164478</v>
      </c>
      <c r="Q3033" s="4">
        <f t="shared" ca="1" si="270"/>
        <v>1905.083721464802</v>
      </c>
      <c r="R3033" s="4">
        <f t="shared" ca="1" si="271"/>
        <v>-18.586322535197951</v>
      </c>
      <c r="S3033" s="4">
        <f t="shared" ca="1" si="272"/>
        <v>-9.2679558906136652</v>
      </c>
    </row>
    <row r="3034" spans="15:19" x14ac:dyDescent="0.2">
      <c r="O3034" s="4">
        <f t="shared" ca="1" si="268"/>
        <v>0.62384529018299639</v>
      </c>
      <c r="P3034" s="4">
        <f t="shared" ca="1" si="269"/>
        <v>0.31559567664945554</v>
      </c>
      <c r="Q3034" s="4">
        <f t="shared" ca="1" si="270"/>
        <v>1913.7033271519531</v>
      </c>
      <c r="R3034" s="4">
        <f t="shared" ca="1" si="271"/>
        <v>-9.9667168480468717</v>
      </c>
      <c r="S3034" s="4">
        <f t="shared" ca="1" si="272"/>
        <v>-5.004813288956937</v>
      </c>
    </row>
    <row r="3035" spans="15:19" x14ac:dyDescent="0.2">
      <c r="O3035" s="4">
        <f t="shared" ca="1" si="268"/>
        <v>0.86324438961603023</v>
      </c>
      <c r="P3035" s="4">
        <f t="shared" ca="1" si="269"/>
        <v>1.0950123618525247</v>
      </c>
      <c r="Q3035" s="4">
        <f t="shared" ca="1" si="270"/>
        <v>1890.0909332790443</v>
      </c>
      <c r="R3035" s="4">
        <f t="shared" ca="1" si="271"/>
        <v>-33.579110720955669</v>
      </c>
      <c r="S3035" s="4">
        <f t="shared" ca="1" si="272"/>
        <v>-16.539081127765009</v>
      </c>
    </row>
    <row r="3036" spans="15:19" x14ac:dyDescent="0.2">
      <c r="O3036" s="4">
        <f t="shared" ca="1" si="268"/>
        <v>6.4321672560845755E-2</v>
      </c>
      <c r="P3036" s="4">
        <f t="shared" ca="1" si="269"/>
        <v>-1.5194735331379359</v>
      </c>
      <c r="Q3036" s="4">
        <f t="shared" ca="1" si="270"/>
        <v>1969.2966673872315</v>
      </c>
      <c r="R3036" s="4">
        <f t="shared" ca="1" si="271"/>
        <v>45.626623387231575</v>
      </c>
      <c r="S3036" s="4">
        <f t="shared" ca="1" si="272"/>
        <v>23.944075806448577</v>
      </c>
    </row>
    <row r="3037" spans="15:19" x14ac:dyDescent="0.2">
      <c r="O3037" s="4">
        <f t="shared" ca="1" si="268"/>
        <v>0.14396913919011389</v>
      </c>
      <c r="P3037" s="4">
        <f t="shared" ca="1" si="269"/>
        <v>-1.0626553453418404</v>
      </c>
      <c r="Q3037" s="4">
        <f t="shared" ca="1" si="270"/>
        <v>1955.4573806702176</v>
      </c>
      <c r="R3037" s="4">
        <f t="shared" ca="1" si="271"/>
        <v>31.787336670217655</v>
      </c>
      <c r="S3037" s="4">
        <f t="shared" ca="1" si="272"/>
        <v>16.502378076949988</v>
      </c>
    </row>
    <row r="3038" spans="15:19" x14ac:dyDescent="0.2">
      <c r="O3038" s="4">
        <f t="shared" ca="1" si="268"/>
        <v>0.42592213752285479</v>
      </c>
      <c r="P3038" s="4">
        <f t="shared" ca="1" si="269"/>
        <v>-0.18676578424519014</v>
      </c>
      <c r="Q3038" s="4">
        <f t="shared" ca="1" si="270"/>
        <v>1928.9223453054119</v>
      </c>
      <c r="R3038" s="4">
        <f t="shared" ca="1" si="271"/>
        <v>5.2523013054119474</v>
      </c>
      <c r="S3038" s="4">
        <f t="shared" ca="1" si="272"/>
        <v>2.6699960505857079</v>
      </c>
    </row>
    <row r="3039" spans="15:19" x14ac:dyDescent="0.2">
      <c r="O3039" s="4">
        <f t="shared" ca="1" si="268"/>
        <v>0.16113549684734807</v>
      </c>
      <c r="P3039" s="4">
        <f t="shared" ca="1" si="269"/>
        <v>-0.9898018228411275</v>
      </c>
      <c r="Q3039" s="4">
        <f t="shared" ca="1" si="270"/>
        <v>1953.2502864406817</v>
      </c>
      <c r="R3039" s="4">
        <f t="shared" ca="1" si="271"/>
        <v>29.580242440681786</v>
      </c>
      <c r="S3039" s="4">
        <f t="shared" ca="1" si="272"/>
        <v>15.329990263364953</v>
      </c>
    </row>
    <row r="3040" spans="15:19" x14ac:dyDescent="0.2">
      <c r="O3040" s="4">
        <f t="shared" ca="1" si="268"/>
        <v>0.94566259873977399</v>
      </c>
      <c r="P3040" s="4">
        <f t="shared" ca="1" si="269"/>
        <v>1.6041780911867474</v>
      </c>
      <c r="Q3040" s="4">
        <f t="shared" ca="1" si="270"/>
        <v>1874.665780115311</v>
      </c>
      <c r="R3040" s="4">
        <f t="shared" ca="1" si="271"/>
        <v>-49.004263884688953</v>
      </c>
      <c r="S3040" s="4">
        <f t="shared" ca="1" si="272"/>
        <v>-23.828895053947679</v>
      </c>
    </row>
    <row r="3041" spans="15:19" x14ac:dyDescent="0.2">
      <c r="O3041" s="4">
        <f t="shared" ca="1" si="268"/>
        <v>0.44364194771484133</v>
      </c>
      <c r="P3041" s="4">
        <f t="shared" ca="1" si="269"/>
        <v>-0.14174187746591332</v>
      </c>
      <c r="Q3041" s="4">
        <f t="shared" ca="1" si="270"/>
        <v>1927.5583480485498</v>
      </c>
      <c r="R3041" s="4">
        <f t="shared" ca="1" si="271"/>
        <v>3.8883040485497986</v>
      </c>
      <c r="S3041" s="4">
        <f t="shared" ca="1" si="272"/>
        <v>1.9744520372721255</v>
      </c>
    </row>
    <row r="3042" spans="15:19" x14ac:dyDescent="0.2">
      <c r="O3042" s="4">
        <f t="shared" ca="1" si="268"/>
        <v>0.47734010211883005</v>
      </c>
      <c r="P3042" s="4">
        <f t="shared" ca="1" si="269"/>
        <v>-5.6830516907447177E-2</v>
      </c>
      <c r="Q3042" s="4">
        <f t="shared" ca="1" si="270"/>
        <v>1924.9859621504102</v>
      </c>
      <c r="R3042" s="4">
        <f t="shared" ca="1" si="271"/>
        <v>1.315918150410198</v>
      </c>
      <c r="S3042" s="4">
        <f t="shared" ca="1" si="272"/>
        <v>0.66683555462107447</v>
      </c>
    </row>
    <row r="3043" spans="15:19" x14ac:dyDescent="0.2">
      <c r="O3043" s="4">
        <f t="shared" ca="1" si="268"/>
        <v>0.1001406838235368</v>
      </c>
      <c r="P3043" s="4">
        <f t="shared" ca="1" si="269"/>
        <v>-1.2807503520938608</v>
      </c>
      <c r="Q3043" s="4">
        <f t="shared" ca="1" si="270"/>
        <v>1962.0645592165711</v>
      </c>
      <c r="R3043" s="4">
        <f t="shared" ca="1" si="271"/>
        <v>38.394515216571108</v>
      </c>
      <c r="S3043" s="4">
        <f t="shared" ca="1" si="272"/>
        <v>20.03575621268844</v>
      </c>
    </row>
    <row r="3044" spans="15:19" x14ac:dyDescent="0.2">
      <c r="O3044" s="4">
        <f t="shared" ca="1" si="268"/>
        <v>0.55276228221264523</v>
      </c>
      <c r="P3044" s="4">
        <f t="shared" ca="1" si="269"/>
        <v>0.13264336440782198</v>
      </c>
      <c r="Q3044" s="4">
        <f t="shared" ca="1" si="270"/>
        <v>1919.2458593284143</v>
      </c>
      <c r="R3044" s="4">
        <f t="shared" ca="1" si="271"/>
        <v>-4.4241846715856354</v>
      </c>
      <c r="S3044" s="4">
        <f t="shared" ca="1" si="272"/>
        <v>-2.231597882370207</v>
      </c>
    </row>
    <row r="3045" spans="15:19" x14ac:dyDescent="0.2">
      <c r="O3045" s="4">
        <f t="shared" ca="1" si="268"/>
        <v>7.9669050910000427E-2</v>
      </c>
      <c r="P3045" s="4">
        <f t="shared" ca="1" si="269"/>
        <v>-1.4073011724833131</v>
      </c>
      <c r="Q3045" s="4">
        <f t="shared" ca="1" si="270"/>
        <v>1965.8984107015401</v>
      </c>
      <c r="R3045" s="4">
        <f t="shared" ca="1" si="271"/>
        <v>42.228366701540153</v>
      </c>
      <c r="S3045" s="4">
        <f t="shared" ca="1" si="272"/>
        <v>22.10231291931467</v>
      </c>
    </row>
    <row r="3046" spans="15:19" x14ac:dyDescent="0.2">
      <c r="O3046" s="4">
        <f t="shared" ca="1" si="268"/>
        <v>0.78612677545564957</v>
      </c>
      <c r="P3046" s="4">
        <f t="shared" ca="1" si="269"/>
        <v>0.79305385024355057</v>
      </c>
      <c r="Q3046" s="4">
        <f t="shared" ca="1" si="270"/>
        <v>1899.2387529815833</v>
      </c>
      <c r="R3046" s="4">
        <f t="shared" ca="1" si="271"/>
        <v>-24.431291018416687</v>
      </c>
      <c r="S3046" s="4">
        <f t="shared" ca="1" si="272"/>
        <v>-12.124384087504653</v>
      </c>
    </row>
    <row r="3047" spans="15:19" x14ac:dyDescent="0.2">
      <c r="O3047" s="4">
        <f t="shared" ca="1" si="268"/>
        <v>0.88286834269949555</v>
      </c>
      <c r="P3047" s="4">
        <f t="shared" ca="1" si="269"/>
        <v>1.1894482729180313</v>
      </c>
      <c r="Q3047" s="4">
        <f t="shared" ca="1" si="270"/>
        <v>1887.2300015461744</v>
      </c>
      <c r="R3047" s="4">
        <f t="shared" ca="1" si="271"/>
        <v>-36.440042453825527</v>
      </c>
      <c r="S3047" s="4">
        <f t="shared" ca="1" si="272"/>
        <v>-17.9057686791887</v>
      </c>
    </row>
    <row r="3048" spans="15:19" x14ac:dyDescent="0.2">
      <c r="O3048" s="4">
        <f t="shared" ca="1" si="268"/>
        <v>7.8289829675371347E-2</v>
      </c>
      <c r="P3048" s="4">
        <f t="shared" ca="1" si="269"/>
        <v>-1.4166692229744602</v>
      </c>
      <c r="Q3048" s="4">
        <f t="shared" ca="1" si="270"/>
        <v>1966.1822153752373</v>
      </c>
      <c r="R3048" s="4">
        <f t="shared" ca="1" si="271"/>
        <v>42.512171375237358</v>
      </c>
      <c r="S3048" s="4">
        <f t="shared" ca="1" si="272"/>
        <v>22.255767542470842</v>
      </c>
    </row>
    <row r="3049" spans="15:19" x14ac:dyDescent="0.2">
      <c r="O3049" s="4">
        <f t="shared" ca="1" si="268"/>
        <v>0.48146114168328247</v>
      </c>
      <c r="P3049" s="4">
        <f t="shared" ca="1" si="269"/>
        <v>-4.6486764142079508E-2</v>
      </c>
      <c r="Q3049" s="4">
        <f t="shared" ca="1" si="270"/>
        <v>1924.6725986196357</v>
      </c>
      <c r="R3049" s="4">
        <f t="shared" ca="1" si="271"/>
        <v>1.0025546196357027</v>
      </c>
      <c r="S3049" s="4">
        <f t="shared" ca="1" si="272"/>
        <v>0.50791212008367459</v>
      </c>
    </row>
    <row r="3050" spans="15:19" x14ac:dyDescent="0.2">
      <c r="O3050" s="4">
        <f t="shared" ca="1" si="268"/>
        <v>0.53560363727376703</v>
      </c>
      <c r="P3050" s="4">
        <f t="shared" ca="1" si="269"/>
        <v>8.9363883420651671E-2</v>
      </c>
      <c r="Q3050" s="4">
        <f t="shared" ca="1" si="270"/>
        <v>1920.5570092833552</v>
      </c>
      <c r="R3050" s="4">
        <f t="shared" ca="1" si="271"/>
        <v>-3.1130347166447336</v>
      </c>
      <c r="S3050" s="4">
        <f t="shared" ca="1" si="272"/>
        <v>-1.5719037636259021</v>
      </c>
    </row>
    <row r="3051" spans="15:19" x14ac:dyDescent="0.2">
      <c r="O3051" s="4">
        <f t="shared" ca="1" si="268"/>
        <v>0.92405808704997083</v>
      </c>
      <c r="P3051" s="4">
        <f t="shared" ca="1" si="269"/>
        <v>1.4329090665610364</v>
      </c>
      <c r="Q3051" s="4">
        <f t="shared" ca="1" si="270"/>
        <v>1879.8543676121742</v>
      </c>
      <c r="R3051" s="4">
        <f t="shared" ca="1" si="271"/>
        <v>-43.815676387825761</v>
      </c>
      <c r="S3051" s="4">
        <f t="shared" ca="1" si="272"/>
        <v>-21.398427564021063</v>
      </c>
    </row>
    <row r="3052" spans="15:19" x14ac:dyDescent="0.2">
      <c r="O3052" s="4">
        <f t="shared" ca="1" si="268"/>
        <v>0.43196509870206923</v>
      </c>
      <c r="P3052" s="4">
        <f t="shared" ca="1" si="269"/>
        <v>-0.17137336397494635</v>
      </c>
      <c r="Q3052" s="4">
        <f t="shared" ca="1" si="270"/>
        <v>1928.4560326167327</v>
      </c>
      <c r="R3052" s="4">
        <f t="shared" ca="1" si="271"/>
        <v>4.7859886167327659</v>
      </c>
      <c r="S3052" s="4">
        <f t="shared" ca="1" si="272"/>
        <v>2.4320385163841314</v>
      </c>
    </row>
    <row r="3053" spans="15:19" x14ac:dyDescent="0.2">
      <c r="O3053" s="4">
        <f t="shared" ca="1" si="268"/>
        <v>0.34976937146656473</v>
      </c>
      <c r="P3053" s="4">
        <f t="shared" ca="1" si="269"/>
        <v>-0.38594319005465039</v>
      </c>
      <c r="Q3053" s="4">
        <f t="shared" ca="1" si="270"/>
        <v>1934.9564159711329</v>
      </c>
      <c r="R3053" s="4">
        <f t="shared" ca="1" si="271"/>
        <v>11.286371971132894</v>
      </c>
      <c r="S3053" s="4">
        <f t="shared" ca="1" si="272"/>
        <v>5.7651254111134502</v>
      </c>
    </row>
    <row r="3054" spans="15:19" x14ac:dyDescent="0.2">
      <c r="O3054" s="4">
        <f t="shared" ca="1" si="268"/>
        <v>0.75557857475392576</v>
      </c>
      <c r="P3054" s="4">
        <f t="shared" ca="1" si="269"/>
        <v>0.69215045254062635</v>
      </c>
      <c r="Q3054" s="4">
        <f t="shared" ca="1" si="270"/>
        <v>1902.2956169349841</v>
      </c>
      <c r="R3054" s="4">
        <f t="shared" ca="1" si="271"/>
        <v>-21.37442706501588</v>
      </c>
      <c r="S3054" s="4">
        <f t="shared" ca="1" si="272"/>
        <v>-10.633968198041474</v>
      </c>
    </row>
    <row r="3055" spans="15:19" x14ac:dyDescent="0.2">
      <c r="O3055" s="4">
        <f t="shared" ca="1" si="268"/>
        <v>5.2147350971179174E-2</v>
      </c>
      <c r="P3055" s="4">
        <f t="shared" ca="1" si="269"/>
        <v>-1.624380144889096</v>
      </c>
      <c r="Q3055" s="4">
        <f t="shared" ca="1" si="270"/>
        <v>1972.474808532485</v>
      </c>
      <c r="R3055" s="4">
        <f t="shared" ca="1" si="271"/>
        <v>48.804764532485024</v>
      </c>
      <c r="S3055" s="4">
        <f t="shared" ca="1" si="272"/>
        <v>25.675050085232723</v>
      </c>
    </row>
    <row r="3056" spans="15:19" x14ac:dyDescent="0.2">
      <c r="O3056" s="4">
        <f t="shared" ca="1" si="268"/>
        <v>0.51580153277918384</v>
      </c>
      <c r="P3056" s="4">
        <f t="shared" ca="1" si="269"/>
        <v>3.9618931113512064E-2</v>
      </c>
      <c r="Q3056" s="4">
        <f t="shared" ca="1" si="270"/>
        <v>1922.0640304048738</v>
      </c>
      <c r="R3056" s="4">
        <f t="shared" ca="1" si="271"/>
        <v>-1.6060135951261145</v>
      </c>
      <c r="S3056" s="4">
        <f t="shared" ca="1" si="272"/>
        <v>-0.81192986722686955</v>
      </c>
    </row>
    <row r="3057" spans="15:19" x14ac:dyDescent="0.2">
      <c r="O3057" s="4">
        <f t="shared" ca="1" si="268"/>
        <v>0.1374218037424968</v>
      </c>
      <c r="P3057" s="4">
        <f t="shared" ca="1" si="269"/>
        <v>-1.0919760974322548</v>
      </c>
      <c r="Q3057" s="4">
        <f t="shared" ca="1" si="270"/>
        <v>1956.3456515529851</v>
      </c>
      <c r="R3057" s="4">
        <f t="shared" ca="1" si="271"/>
        <v>32.675607552985184</v>
      </c>
      <c r="S3057" s="4">
        <f t="shared" ca="1" si="272"/>
        <v>16.975338508683091</v>
      </c>
    </row>
    <row r="3058" spans="15:19" x14ac:dyDescent="0.2">
      <c r="O3058" s="4">
        <f t="shared" ca="1" si="268"/>
        <v>0.21842604950979461</v>
      </c>
      <c r="P3058" s="4">
        <f t="shared" ca="1" si="269"/>
        <v>-0.7775198989144122</v>
      </c>
      <c r="Q3058" s="4">
        <f t="shared" ca="1" si="270"/>
        <v>1946.8192149804263</v>
      </c>
      <c r="R3058" s="4">
        <f t="shared" ca="1" si="271"/>
        <v>23.149170980426334</v>
      </c>
      <c r="S3058" s="4">
        <f t="shared" ca="1" si="272"/>
        <v>11.936479026854766</v>
      </c>
    </row>
    <row r="3059" spans="15:19" x14ac:dyDescent="0.2">
      <c r="O3059" s="4">
        <f t="shared" ca="1" si="268"/>
        <v>0.29413259398010139</v>
      </c>
      <c r="P3059" s="4">
        <f t="shared" ca="1" si="269"/>
        <v>-0.54135170565187796</v>
      </c>
      <c r="Q3059" s="4">
        <f t="shared" ca="1" si="270"/>
        <v>1939.6645100511687</v>
      </c>
      <c r="R3059" s="4">
        <f t="shared" ca="1" si="271"/>
        <v>15.994466051168729</v>
      </c>
      <c r="S3059" s="4">
        <f t="shared" ca="1" si="272"/>
        <v>8.2006930272293843</v>
      </c>
    </row>
    <row r="3060" spans="15:19" x14ac:dyDescent="0.2">
      <c r="O3060" s="4">
        <f t="shared" ca="1" si="268"/>
        <v>0.59638497466479323</v>
      </c>
      <c r="P3060" s="4">
        <f t="shared" ca="1" si="269"/>
        <v>0.24400099324028759</v>
      </c>
      <c r="Q3060" s="4">
        <f t="shared" ca="1" si="270"/>
        <v>1915.8722849071016</v>
      </c>
      <c r="R3060" s="4">
        <f t="shared" ca="1" si="271"/>
        <v>-7.7977590928983318</v>
      </c>
      <c r="S3060" s="4">
        <f t="shared" ca="1" si="272"/>
        <v>-3.9225501677878927</v>
      </c>
    </row>
    <row r="3061" spans="15:19" x14ac:dyDescent="0.2">
      <c r="O3061" s="4">
        <f t="shared" ca="1" si="268"/>
        <v>0.59659133642077389</v>
      </c>
      <c r="P3061" s="4">
        <f t="shared" ca="1" si="269"/>
        <v>0.24453392989284733</v>
      </c>
      <c r="Q3061" s="4">
        <f t="shared" ca="1" si="270"/>
        <v>1915.8561396148743</v>
      </c>
      <c r="R3061" s="4">
        <f t="shared" ca="1" si="271"/>
        <v>-7.8139043851256247</v>
      </c>
      <c r="S3061" s="4">
        <f t="shared" ca="1" si="272"/>
        <v>-3.9306204690745905</v>
      </c>
    </row>
    <row r="3062" spans="15:19" x14ac:dyDescent="0.2">
      <c r="O3062" s="4">
        <f t="shared" ca="1" si="268"/>
        <v>0.6771770414885111</v>
      </c>
      <c r="P3062" s="4">
        <f t="shared" ca="1" si="269"/>
        <v>0.45981931646456192</v>
      </c>
      <c r="Q3062" s="4">
        <f t="shared" ca="1" si="270"/>
        <v>1909.3340783871392</v>
      </c>
      <c r="R3062" s="4">
        <f t="shared" ca="1" si="271"/>
        <v>-14.335965612860718</v>
      </c>
      <c r="S3062" s="4">
        <f t="shared" ca="1" si="272"/>
        <v>-7.1733453820001136</v>
      </c>
    </row>
    <row r="3063" spans="15:19" x14ac:dyDescent="0.2">
      <c r="O3063" s="4">
        <f t="shared" ca="1" si="268"/>
        <v>0.5808402074796527</v>
      </c>
      <c r="P3063" s="4">
        <f t="shared" ca="1" si="269"/>
        <v>0.20404339862855672</v>
      </c>
      <c r="Q3063" s="4">
        <f t="shared" ca="1" si="270"/>
        <v>1917.082798461787</v>
      </c>
      <c r="R3063" s="4">
        <f t="shared" ca="1" si="271"/>
        <v>-6.5872455382129829</v>
      </c>
      <c r="S3063" s="4">
        <f t="shared" ca="1" si="272"/>
        <v>-3.3168647449225421</v>
      </c>
    </row>
    <row r="3064" spans="15:19" x14ac:dyDescent="0.2">
      <c r="O3064" s="4">
        <f t="shared" ca="1" si="268"/>
        <v>0.68333702733600465</v>
      </c>
      <c r="P3064" s="4">
        <f t="shared" ca="1" si="269"/>
        <v>0.47705080386639465</v>
      </c>
      <c r="Q3064" s="4">
        <f t="shared" ca="1" si="270"/>
        <v>1908.8120512413614</v>
      </c>
      <c r="R3064" s="4">
        <f t="shared" ca="1" si="271"/>
        <v>-14.857992758638602</v>
      </c>
      <c r="S3064" s="4">
        <f t="shared" ca="1" si="272"/>
        <v>-7.4313968856201926</v>
      </c>
    </row>
    <row r="3065" spans="15:19" x14ac:dyDescent="0.2">
      <c r="O3065" s="4">
        <f t="shared" ca="1" si="268"/>
        <v>0.45887457202209492</v>
      </c>
      <c r="P3065" s="4">
        <f t="shared" ca="1" si="269"/>
        <v>-0.10326942137314417</v>
      </c>
      <c r="Q3065" s="4">
        <f t="shared" ca="1" si="270"/>
        <v>1926.392826699358</v>
      </c>
      <c r="R3065" s="4">
        <f t="shared" ca="1" si="271"/>
        <v>2.7227826993580493</v>
      </c>
      <c r="S3065" s="4">
        <f t="shared" ca="1" si="272"/>
        <v>1.3813170980928327</v>
      </c>
    </row>
    <row r="3066" spans="15:19" x14ac:dyDescent="0.2">
      <c r="O3066" s="4">
        <f t="shared" ca="1" si="268"/>
        <v>0.29325478985320119</v>
      </c>
      <c r="P3066" s="4">
        <f t="shared" ca="1" si="269"/>
        <v>-0.54390103063503736</v>
      </c>
      <c r="Q3066" s="4">
        <f t="shared" ca="1" si="270"/>
        <v>1939.741741738346</v>
      </c>
      <c r="R3066" s="4">
        <f t="shared" ca="1" si="271"/>
        <v>16.071697738346074</v>
      </c>
      <c r="S3066" s="4">
        <f t="shared" ca="1" si="272"/>
        <v>8.2407965804346333</v>
      </c>
    </row>
    <row r="3067" spans="15:19" x14ac:dyDescent="0.2">
      <c r="O3067" s="4">
        <f t="shared" ca="1" si="268"/>
        <v>0.99795283430068893</v>
      </c>
      <c r="P3067" s="4">
        <f t="shared" ca="1" si="269"/>
        <v>2.87080103640755</v>
      </c>
      <c r="Q3067" s="4">
        <f t="shared" ca="1" si="270"/>
        <v>1836.293494226634</v>
      </c>
      <c r="R3067" s="4">
        <f t="shared" ca="1" si="271"/>
        <v>-87.376549773365923</v>
      </c>
      <c r="S3067" s="4">
        <f t="shared" ca="1" si="272"/>
        <v>-41.123029615027512</v>
      </c>
    </row>
    <row r="3068" spans="15:19" x14ac:dyDescent="0.2">
      <c r="O3068" s="4">
        <f t="shared" ca="1" si="268"/>
        <v>0.33038224720021636</v>
      </c>
      <c r="P3068" s="4">
        <f t="shared" ca="1" si="269"/>
        <v>-0.4388579125789423</v>
      </c>
      <c r="Q3068" s="4">
        <f t="shared" ca="1" si="270"/>
        <v>1936.5594651406454</v>
      </c>
      <c r="R3068" s="4">
        <f t="shared" ca="1" si="271"/>
        <v>12.889421140645482</v>
      </c>
      <c r="S3068" s="4">
        <f t="shared" ca="1" si="272"/>
        <v>6.5923805642015072</v>
      </c>
    </row>
    <row r="3069" spans="15:19" x14ac:dyDescent="0.2">
      <c r="O3069" s="4">
        <f t="shared" ca="1" si="268"/>
        <v>2.9199027595182558E-2</v>
      </c>
      <c r="P3069" s="4">
        <f t="shared" ca="1" si="269"/>
        <v>-1.8926979049447599</v>
      </c>
      <c r="Q3069" s="4">
        <f t="shared" ca="1" si="270"/>
        <v>1980.6034831603322</v>
      </c>
      <c r="R3069" s="4">
        <f t="shared" ca="1" si="271"/>
        <v>56.933439160332227</v>
      </c>
      <c r="S3069" s="4">
        <f t="shared" ca="1" si="272"/>
        <v>30.139745463353066</v>
      </c>
    </row>
    <row r="3070" spans="15:19" x14ac:dyDescent="0.2">
      <c r="O3070" s="4">
        <f t="shared" ca="1" si="268"/>
        <v>0.84307886114131958</v>
      </c>
      <c r="P3070" s="4">
        <f t="shared" ca="1" si="269"/>
        <v>1.00719249752052</v>
      </c>
      <c r="Q3070" s="4">
        <f t="shared" ca="1" si="270"/>
        <v>1892.7514321698686</v>
      </c>
      <c r="R3070" s="4">
        <f t="shared" ca="1" si="271"/>
        <v>-30.91861183013134</v>
      </c>
      <c r="S3070" s="4">
        <f t="shared" ca="1" si="272"/>
        <v>-15.262162029319809</v>
      </c>
    </row>
    <row r="3071" spans="15:19" x14ac:dyDescent="0.2">
      <c r="O3071" s="4">
        <f t="shared" ca="1" si="268"/>
        <v>0.8360685720353408</v>
      </c>
      <c r="P3071" s="4">
        <f t="shared" ca="1" si="269"/>
        <v>0.97842765505230056</v>
      </c>
      <c r="Q3071" s="4">
        <f t="shared" ca="1" si="270"/>
        <v>1893.6228617953132</v>
      </c>
      <c r="R3071" s="4">
        <f t="shared" ca="1" si="271"/>
        <v>-30.047182204686806</v>
      </c>
      <c r="S3071" s="4">
        <f t="shared" ca="1" si="272"/>
        <v>-14.842662346549755</v>
      </c>
    </row>
    <row r="3072" spans="15:19" x14ac:dyDescent="0.2">
      <c r="O3072" s="4">
        <f t="shared" ca="1" si="268"/>
        <v>0.10367612037523122</v>
      </c>
      <c r="P3072" s="4">
        <f t="shared" ca="1" si="269"/>
        <v>-1.2608795676803437</v>
      </c>
      <c r="Q3072" s="4">
        <f t="shared" ca="1" si="270"/>
        <v>1961.4625746850063</v>
      </c>
      <c r="R3072" s="4">
        <f t="shared" ca="1" si="271"/>
        <v>37.792530685006341</v>
      </c>
      <c r="S3072" s="4">
        <f t="shared" ca="1" si="272"/>
        <v>19.712356158282461</v>
      </c>
    </row>
    <row r="3073" spans="15:19" x14ac:dyDescent="0.2">
      <c r="O3073" s="4">
        <f t="shared" ca="1" si="268"/>
        <v>0.69728193930391458</v>
      </c>
      <c r="P3073" s="4">
        <f t="shared" ca="1" si="269"/>
        <v>0.51659898929354209</v>
      </c>
      <c r="Q3073" s="4">
        <f t="shared" ca="1" si="270"/>
        <v>1907.6139407197456</v>
      </c>
      <c r="R3073" s="4">
        <f t="shared" ca="1" si="271"/>
        <v>-16.05610328025432</v>
      </c>
      <c r="S3073" s="4">
        <f t="shared" ca="1" si="272"/>
        <v>-8.0228149320055504</v>
      </c>
    </row>
    <row r="3074" spans="15:19" x14ac:dyDescent="0.2">
      <c r="O3074" s="4">
        <f t="shared" ca="1" si="268"/>
        <v>0.28580452105717424</v>
      </c>
      <c r="P3074" s="4">
        <f t="shared" ca="1" si="269"/>
        <v>-0.5656833700370747</v>
      </c>
      <c r="Q3074" s="4">
        <f t="shared" ca="1" si="270"/>
        <v>1940.4016367434169</v>
      </c>
      <c r="R3074" s="4">
        <f t="shared" ca="1" si="271"/>
        <v>16.731592743416968</v>
      </c>
      <c r="S3074" s="4">
        <f t="shared" ca="1" si="272"/>
        <v>8.5836536122295417</v>
      </c>
    </row>
    <row r="3075" spans="15:19" x14ac:dyDescent="0.2">
      <c r="O3075" s="4">
        <f t="shared" ref="O3075:O3138" ca="1" si="273">RAND()</f>
        <v>0.67089627437629396</v>
      </c>
      <c r="P3075" s="4">
        <f t="shared" ref="P3075:P3138" ca="1" si="274">NORMSINV(O3075)</f>
        <v>0.44238939575643155</v>
      </c>
      <c r="Q3075" s="4">
        <f t="shared" ref="Q3075:Q3138" ca="1" si="275">$B$4*(1+$B$17-$B$6/SQRT(252)*P3075)</f>
        <v>1909.8621170611209</v>
      </c>
      <c r="R3075" s="4">
        <f t="shared" ref="R3075:R3138" ca="1" si="276">Q3075-$B$4</f>
        <v>-13.807926938879064</v>
      </c>
      <c r="S3075" s="4">
        <f t="shared" ref="S3075:S3138" ca="1" si="277">R3075*$B$12+0.5*$B$13*R3075^2</f>
        <v>-6.9120965148371249</v>
      </c>
    </row>
    <row r="3076" spans="15:19" x14ac:dyDescent="0.2">
      <c r="O3076" s="4">
        <f t="shared" ca="1" si="273"/>
        <v>0.62831413487283017</v>
      </c>
      <c r="P3076" s="4">
        <f t="shared" ca="1" si="274"/>
        <v>0.32739158504866439</v>
      </c>
      <c r="Q3076" s="4">
        <f t="shared" ca="1" si="275"/>
        <v>1913.3459706307256</v>
      </c>
      <c r="R3076" s="4">
        <f t="shared" ca="1" si="276"/>
        <v>-10.324073369274402</v>
      </c>
      <c r="S3076" s="4">
        <f t="shared" ca="1" si="277"/>
        <v>-5.1827589825112312</v>
      </c>
    </row>
    <row r="3077" spans="15:19" x14ac:dyDescent="0.2">
      <c r="O3077" s="4">
        <f t="shared" ca="1" si="273"/>
        <v>0.306864306963891</v>
      </c>
      <c r="P3077" s="4">
        <f t="shared" ca="1" si="274"/>
        <v>-0.50475829106908598</v>
      </c>
      <c r="Q3077" s="4">
        <f t="shared" ca="1" si="275"/>
        <v>1938.5559141810938</v>
      </c>
      <c r="R3077" s="4">
        <f t="shared" ca="1" si="276"/>
        <v>14.885870181093878</v>
      </c>
      <c r="S3077" s="4">
        <f t="shared" ca="1" si="277"/>
        <v>7.625575407367065</v>
      </c>
    </row>
    <row r="3078" spans="15:19" x14ac:dyDescent="0.2">
      <c r="O3078" s="4">
        <f t="shared" ca="1" si="273"/>
        <v>0.73533150594004459</v>
      </c>
      <c r="P3078" s="4">
        <f t="shared" ca="1" si="274"/>
        <v>0.62901843374061506</v>
      </c>
      <c r="Q3078" s="4">
        <f t="shared" ca="1" si="275"/>
        <v>1904.2081986415321</v>
      </c>
      <c r="R3078" s="4">
        <f t="shared" ca="1" si="276"/>
        <v>-19.461845358467826</v>
      </c>
      <c r="S3078" s="4">
        <f t="shared" ca="1" si="277"/>
        <v>-9.6975938133404362</v>
      </c>
    </row>
    <row r="3079" spans="15:19" x14ac:dyDescent="0.2">
      <c r="O3079" s="4">
        <f t="shared" ca="1" si="273"/>
        <v>0.45964854507877029</v>
      </c>
      <c r="P3079" s="4">
        <f t="shared" ca="1" si="274"/>
        <v>-0.10131918119052445</v>
      </c>
      <c r="Q3079" s="4">
        <f t="shared" ca="1" si="275"/>
        <v>1926.3337442596141</v>
      </c>
      <c r="R3079" s="4">
        <f t="shared" ca="1" si="276"/>
        <v>2.6637002596141883</v>
      </c>
      <c r="S3079" s="4">
        <f t="shared" ca="1" si="277"/>
        <v>1.3512794400089025</v>
      </c>
    </row>
    <row r="3080" spans="15:19" x14ac:dyDescent="0.2">
      <c r="O3080" s="4">
        <f t="shared" ca="1" si="273"/>
        <v>0.81221951477175569</v>
      </c>
      <c r="P3080" s="4">
        <f t="shared" ca="1" si="274"/>
        <v>0.88610496011096562</v>
      </c>
      <c r="Q3080" s="4">
        <f t="shared" ca="1" si="275"/>
        <v>1896.4197737395259</v>
      </c>
      <c r="R3080" s="4">
        <f t="shared" ca="1" si="276"/>
        <v>-27.250270260474053</v>
      </c>
      <c r="S3080" s="4">
        <f t="shared" ca="1" si="277"/>
        <v>-13.492073381908437</v>
      </c>
    </row>
    <row r="3081" spans="15:19" x14ac:dyDescent="0.2">
      <c r="O3081" s="4">
        <f t="shared" ca="1" si="273"/>
        <v>0.98203027047865599</v>
      </c>
      <c r="P3081" s="4">
        <f t="shared" ca="1" si="274"/>
        <v>2.0976117187751595</v>
      </c>
      <c r="Q3081" s="4">
        <f t="shared" ca="1" si="275"/>
        <v>1859.717230275478</v>
      </c>
      <c r="R3081" s="4">
        <f t="shared" ca="1" si="276"/>
        <v>-63.952813724522002</v>
      </c>
      <c r="S3081" s="4">
        <f t="shared" ca="1" si="277"/>
        <v>-30.708642898483063</v>
      </c>
    </row>
    <row r="3082" spans="15:19" x14ac:dyDescent="0.2">
      <c r="O3082" s="4">
        <f t="shared" ca="1" si="273"/>
        <v>0.89565029948037789</v>
      </c>
      <c r="P3082" s="4">
        <f t="shared" ca="1" si="274"/>
        <v>1.2571497890596162</v>
      </c>
      <c r="Q3082" s="4">
        <f t="shared" ca="1" si="275"/>
        <v>1885.1789871205444</v>
      </c>
      <c r="R3082" s="4">
        <f t="shared" ca="1" si="276"/>
        <v>-38.491056879455527</v>
      </c>
      <c r="S3082" s="4">
        <f t="shared" ca="1" si="277"/>
        <v>-18.881451932370702</v>
      </c>
    </row>
    <row r="3083" spans="15:19" x14ac:dyDescent="0.2">
      <c r="O3083" s="4">
        <f t="shared" ca="1" si="273"/>
        <v>0.67991106461886741</v>
      </c>
      <c r="P3083" s="4">
        <f t="shared" ca="1" si="274"/>
        <v>0.46745012045865086</v>
      </c>
      <c r="Q3083" s="4">
        <f t="shared" ca="1" si="275"/>
        <v>1909.1029035189383</v>
      </c>
      <c r="R3083" s="4">
        <f t="shared" ca="1" si="276"/>
        <v>-14.567140481061642</v>
      </c>
      <c r="S3083" s="4">
        <f t="shared" ca="1" si="277"/>
        <v>-7.2876484616768478</v>
      </c>
    </row>
    <row r="3084" spans="15:19" x14ac:dyDescent="0.2">
      <c r="O3084" s="4">
        <f t="shared" ca="1" si="273"/>
        <v>0.8618098202554525</v>
      </c>
      <c r="P3084" s="4">
        <f t="shared" ca="1" si="274"/>
        <v>1.0884865762080327</v>
      </c>
      <c r="Q3084" s="4">
        <f t="shared" ca="1" si="275"/>
        <v>1890.2886316654058</v>
      </c>
      <c r="R3084" s="4">
        <f t="shared" ca="1" si="276"/>
        <v>-33.381412334594188</v>
      </c>
      <c r="S3084" s="4">
        <f t="shared" ca="1" si="277"/>
        <v>-16.444393045415886</v>
      </c>
    </row>
    <row r="3085" spans="15:19" x14ac:dyDescent="0.2">
      <c r="O3085" s="4">
        <f t="shared" ca="1" si="273"/>
        <v>0.64219351784933976</v>
      </c>
      <c r="P3085" s="4">
        <f t="shared" ca="1" si="274"/>
        <v>0.36432817312496174</v>
      </c>
      <c r="Q3085" s="4">
        <f t="shared" ca="1" si="275"/>
        <v>1912.2269783349013</v>
      </c>
      <c r="R3085" s="4">
        <f t="shared" ca="1" si="276"/>
        <v>-11.443065665098629</v>
      </c>
      <c r="S3085" s="4">
        <f t="shared" ca="1" si="277"/>
        <v>-5.7392887517531834</v>
      </c>
    </row>
    <row r="3086" spans="15:19" x14ac:dyDescent="0.2">
      <c r="O3086" s="4">
        <f t="shared" ca="1" si="273"/>
        <v>0.46144671341690846</v>
      </c>
      <c r="P3086" s="4">
        <f t="shared" ca="1" si="274"/>
        <v>-9.67896709172201E-2</v>
      </c>
      <c r="Q3086" s="4">
        <f t="shared" ca="1" si="275"/>
        <v>1926.1965229469899</v>
      </c>
      <c r="R3086" s="4">
        <f t="shared" ca="1" si="276"/>
        <v>2.5264789469899824</v>
      </c>
      <c r="S3086" s="4">
        <f t="shared" ca="1" si="277"/>
        <v>1.2815267514821405</v>
      </c>
    </row>
    <row r="3087" spans="15:19" x14ac:dyDescent="0.2">
      <c r="O3087" s="4">
        <f t="shared" ca="1" si="273"/>
        <v>0.99912644181396204</v>
      </c>
      <c r="P3087" s="4">
        <f t="shared" ca="1" si="274"/>
        <v>3.1301591224825001</v>
      </c>
      <c r="Q3087" s="4">
        <f t="shared" ca="1" si="275"/>
        <v>1828.436252524232</v>
      </c>
      <c r="R3087" s="4">
        <f t="shared" ca="1" si="276"/>
        <v>-95.23379147576793</v>
      </c>
      <c r="S3087" s="4">
        <f t="shared" ca="1" si="277"/>
        <v>-44.516373869162003</v>
      </c>
    </row>
    <row r="3088" spans="15:19" x14ac:dyDescent="0.2">
      <c r="O3088" s="4">
        <f t="shared" ca="1" si="273"/>
        <v>0.12649657626487543</v>
      </c>
      <c r="P3088" s="4">
        <f t="shared" ca="1" si="274"/>
        <v>-1.1431094468240561</v>
      </c>
      <c r="Q3088" s="4">
        <f t="shared" ca="1" si="275"/>
        <v>1957.8947341025403</v>
      </c>
      <c r="R3088" s="4">
        <f t="shared" ca="1" si="276"/>
        <v>34.224690102540308</v>
      </c>
      <c r="S3088" s="4">
        <f t="shared" ca="1" si="277"/>
        <v>17.801685514579138</v>
      </c>
    </row>
    <row r="3089" spans="15:19" x14ac:dyDescent="0.2">
      <c r="O3089" s="4">
        <f t="shared" ca="1" si="273"/>
        <v>0.12548850715751669</v>
      </c>
      <c r="P3089" s="4">
        <f t="shared" ca="1" si="274"/>
        <v>-1.1479795301077389</v>
      </c>
      <c r="Q3089" s="4">
        <f t="shared" ca="1" si="275"/>
        <v>1958.0422730593928</v>
      </c>
      <c r="R3089" s="4">
        <f t="shared" ca="1" si="276"/>
        <v>34.372229059392794</v>
      </c>
      <c r="S3089" s="4">
        <f t="shared" ca="1" si="277"/>
        <v>17.880491012465953</v>
      </c>
    </row>
    <row r="3090" spans="15:19" x14ac:dyDescent="0.2">
      <c r="O3090" s="4">
        <f t="shared" ca="1" si="273"/>
        <v>3.0823928335669937E-2</v>
      </c>
      <c r="P3090" s="4">
        <f t="shared" ca="1" si="274"/>
        <v>-1.868820033680449</v>
      </c>
      <c r="Q3090" s="4">
        <f t="shared" ca="1" si="275"/>
        <v>1979.880104110533</v>
      </c>
      <c r="R3090" s="4">
        <f t="shared" ca="1" si="276"/>
        <v>56.21006011053305</v>
      </c>
      <c r="S3090" s="4">
        <f t="shared" ca="1" si="277"/>
        <v>29.740247062834879</v>
      </c>
    </row>
    <row r="3091" spans="15:19" x14ac:dyDescent="0.2">
      <c r="O3091" s="4">
        <f t="shared" ca="1" si="273"/>
        <v>0.3859813706063423</v>
      </c>
      <c r="P3091" s="4">
        <f t="shared" ca="1" si="274"/>
        <v>-0.28980850462352642</v>
      </c>
      <c r="Q3091" s="4">
        <f t="shared" ca="1" si="275"/>
        <v>1932.0440199442803</v>
      </c>
      <c r="R3091" s="4">
        <f t="shared" ca="1" si="276"/>
        <v>8.3739759442803461</v>
      </c>
      <c r="S3091" s="4">
        <f t="shared" ca="1" si="277"/>
        <v>4.267533753204015</v>
      </c>
    </row>
    <row r="3092" spans="15:19" x14ac:dyDescent="0.2">
      <c r="O3092" s="4">
        <f t="shared" ca="1" si="273"/>
        <v>0.30731293880289767</v>
      </c>
      <c r="P3092" s="4">
        <f t="shared" ca="1" si="274"/>
        <v>-0.50348136676418054</v>
      </c>
      <c r="Q3092" s="4">
        <f t="shared" ca="1" si="275"/>
        <v>1938.5172298159707</v>
      </c>
      <c r="R3092" s="4">
        <f t="shared" ca="1" si="276"/>
        <v>14.847185815970761</v>
      </c>
      <c r="S3092" s="4">
        <f t="shared" ca="1" si="277"/>
        <v>7.6055247900197767</v>
      </c>
    </row>
    <row r="3093" spans="15:19" x14ac:dyDescent="0.2">
      <c r="O3093" s="4">
        <f t="shared" ca="1" si="273"/>
        <v>0.23659640479650368</v>
      </c>
      <c r="P3093" s="4">
        <f t="shared" ca="1" si="274"/>
        <v>-0.71729383635088584</v>
      </c>
      <c r="Q3093" s="4">
        <f t="shared" ca="1" si="275"/>
        <v>1944.9946690890411</v>
      </c>
      <c r="R3093" s="4">
        <f t="shared" ca="1" si="276"/>
        <v>21.324625089041092</v>
      </c>
      <c r="S3093" s="4">
        <f t="shared" ca="1" si="277"/>
        <v>10.97984460396456</v>
      </c>
    </row>
    <row r="3094" spans="15:19" x14ac:dyDescent="0.2">
      <c r="O3094" s="4">
        <f t="shared" ca="1" si="273"/>
        <v>0.94308581338497433</v>
      </c>
      <c r="P3094" s="4">
        <f t="shared" ca="1" si="274"/>
        <v>1.5812172468120869</v>
      </c>
      <c r="Q3094" s="4">
        <f t="shared" ca="1" si="275"/>
        <v>1875.3613778762033</v>
      </c>
      <c r="R3094" s="4">
        <f t="shared" ca="1" si="276"/>
        <v>-48.308666123796684</v>
      </c>
      <c r="S3094" s="4">
        <f t="shared" ca="1" si="277"/>
        <v>-23.504331437086346</v>
      </c>
    </row>
    <row r="3095" spans="15:19" x14ac:dyDescent="0.2">
      <c r="O3095" s="4">
        <f t="shared" ca="1" si="273"/>
        <v>0.39179184301299008</v>
      </c>
      <c r="P3095" s="4">
        <f t="shared" ca="1" si="274"/>
        <v>-0.2746519033703792</v>
      </c>
      <c r="Q3095" s="4">
        <f t="shared" ca="1" si="275"/>
        <v>1931.5848513822541</v>
      </c>
      <c r="R3095" s="4">
        <f t="shared" ca="1" si="276"/>
        <v>7.9148073822541392</v>
      </c>
      <c r="S3095" s="4">
        <f t="shared" ca="1" si="277"/>
        <v>4.0320535378664761</v>
      </c>
    </row>
    <row r="3096" spans="15:19" x14ac:dyDescent="0.2">
      <c r="O3096" s="4">
        <f t="shared" ca="1" si="273"/>
        <v>0.5858821496422888</v>
      </c>
      <c r="P3096" s="4">
        <f t="shared" ca="1" si="274"/>
        <v>0.21696489794262327</v>
      </c>
      <c r="Q3096" s="4">
        <f t="shared" ca="1" si="275"/>
        <v>1916.6913422137691</v>
      </c>
      <c r="R3096" s="4">
        <f t="shared" ca="1" si="276"/>
        <v>-6.9787017862308858</v>
      </c>
      <c r="S3096" s="4">
        <f t="shared" ca="1" si="277"/>
        <v>-3.5128620010645806</v>
      </c>
    </row>
    <row r="3097" spans="15:19" x14ac:dyDescent="0.2">
      <c r="O3097" s="4">
        <f t="shared" ca="1" si="273"/>
        <v>0.36726849179826726</v>
      </c>
      <c r="P3097" s="4">
        <f t="shared" ca="1" si="274"/>
        <v>-0.33909656824244083</v>
      </c>
      <c r="Q3097" s="4">
        <f t="shared" ca="1" si="275"/>
        <v>1933.5371996432748</v>
      </c>
      <c r="R3097" s="4">
        <f t="shared" ca="1" si="276"/>
        <v>9.8671556432748275</v>
      </c>
      <c r="S3097" s="4">
        <f t="shared" ca="1" si="277"/>
        <v>5.0344834038710369</v>
      </c>
    </row>
    <row r="3098" spans="15:19" x14ac:dyDescent="0.2">
      <c r="O3098" s="4">
        <f t="shared" ca="1" si="273"/>
        <v>0.62723772050184945</v>
      </c>
      <c r="P3098" s="4">
        <f t="shared" ca="1" si="274"/>
        <v>0.32454618923734413</v>
      </c>
      <c r="Q3098" s="4">
        <f t="shared" ca="1" si="275"/>
        <v>1913.4321717704968</v>
      </c>
      <c r="R3098" s="4">
        <f t="shared" ca="1" si="276"/>
        <v>-10.237872229503182</v>
      </c>
      <c r="S3098" s="4">
        <f t="shared" ca="1" si="277"/>
        <v>-5.1398446364277204</v>
      </c>
    </row>
    <row r="3099" spans="15:19" x14ac:dyDescent="0.2">
      <c r="O3099" s="4">
        <f t="shared" ca="1" si="273"/>
        <v>0.41379169080795875</v>
      </c>
      <c r="P3099" s="4">
        <f t="shared" ca="1" si="274"/>
        <v>-0.21780200588171697</v>
      </c>
      <c r="Q3099" s="4">
        <f t="shared" ca="1" si="275"/>
        <v>1929.8625862619131</v>
      </c>
      <c r="R3099" s="4">
        <f t="shared" ca="1" si="276"/>
        <v>6.1925422619131041</v>
      </c>
      <c r="S3099" s="4">
        <f t="shared" ca="1" si="277"/>
        <v>3.1503356679095131</v>
      </c>
    </row>
    <row r="3100" spans="15:19" x14ac:dyDescent="0.2">
      <c r="O3100" s="4">
        <f t="shared" ca="1" si="273"/>
        <v>0.6569886318605177</v>
      </c>
      <c r="P3100" s="4">
        <f t="shared" ca="1" si="274"/>
        <v>0.40425836817632821</v>
      </c>
      <c r="Q3100" s="4">
        <f t="shared" ca="1" si="275"/>
        <v>1911.0172948486811</v>
      </c>
      <c r="R3100" s="4">
        <f t="shared" ca="1" si="276"/>
        <v>-12.652749151318858</v>
      </c>
      <c r="S3100" s="4">
        <f t="shared" ca="1" si="277"/>
        <v>-6.3397770015271391</v>
      </c>
    </row>
    <row r="3101" spans="15:19" x14ac:dyDescent="0.2">
      <c r="O3101" s="4">
        <f t="shared" ca="1" si="273"/>
        <v>0.56308983486689645</v>
      </c>
      <c r="P3101" s="4">
        <f t="shared" ca="1" si="274"/>
        <v>0.15880776576515809</v>
      </c>
      <c r="Q3101" s="4">
        <f t="shared" ca="1" si="275"/>
        <v>1918.453209950967</v>
      </c>
      <c r="R3101" s="4">
        <f t="shared" ca="1" si="276"/>
        <v>-5.2168340490329683</v>
      </c>
      <c r="S3101" s="4">
        <f t="shared" ca="1" si="277"/>
        <v>-2.6297339595132003</v>
      </c>
    </row>
    <row r="3102" spans="15:19" x14ac:dyDescent="0.2">
      <c r="O3102" s="4">
        <f t="shared" ca="1" si="273"/>
        <v>0.91437682505082207</v>
      </c>
      <c r="P3102" s="4">
        <f t="shared" ca="1" si="274"/>
        <v>1.3682100078204669</v>
      </c>
      <c r="Q3102" s="4">
        <f t="shared" ca="1" si="275"/>
        <v>1881.8144227241467</v>
      </c>
      <c r="R3102" s="4">
        <f t="shared" ca="1" si="276"/>
        <v>-41.855621275853309</v>
      </c>
      <c r="S3102" s="4">
        <f t="shared" ca="1" si="277"/>
        <v>-20.47458372143166</v>
      </c>
    </row>
    <row r="3103" spans="15:19" x14ac:dyDescent="0.2">
      <c r="O3103" s="4">
        <f t="shared" ca="1" si="273"/>
        <v>0.88917408844385537</v>
      </c>
      <c r="P3103" s="4">
        <f t="shared" ca="1" si="274"/>
        <v>1.2221475794721361</v>
      </c>
      <c r="Q3103" s="4">
        <f t="shared" ca="1" si="275"/>
        <v>1886.2393775059343</v>
      </c>
      <c r="R3103" s="4">
        <f t="shared" ca="1" si="276"/>
        <v>-37.43066649406569</v>
      </c>
      <c r="S3103" s="4">
        <f t="shared" ca="1" si="277"/>
        <v>-18.377443718857158</v>
      </c>
    </row>
    <row r="3104" spans="15:19" x14ac:dyDescent="0.2">
      <c r="O3104" s="4">
        <f t="shared" ca="1" si="273"/>
        <v>0.95796574178387539</v>
      </c>
      <c r="P3104" s="4">
        <f t="shared" ca="1" si="274"/>
        <v>1.7275523251266942</v>
      </c>
      <c r="Q3104" s="4">
        <f t="shared" ca="1" si="275"/>
        <v>1870.9281631757926</v>
      </c>
      <c r="R3104" s="4">
        <f t="shared" ca="1" si="276"/>
        <v>-52.741880824207328</v>
      </c>
      <c r="S3104" s="4">
        <f t="shared" ca="1" si="277"/>
        <v>-25.566109770217757</v>
      </c>
    </row>
    <row r="3105" spans="15:19" x14ac:dyDescent="0.2">
      <c r="O3105" s="4">
        <f t="shared" ca="1" si="273"/>
        <v>0.30949566979927268</v>
      </c>
      <c r="P3105" s="4">
        <f t="shared" ca="1" si="274"/>
        <v>-0.4972803883463448</v>
      </c>
      <c r="Q3105" s="4">
        <f t="shared" ca="1" si="275"/>
        <v>1938.3293714501197</v>
      </c>
      <c r="R3105" s="4">
        <f t="shared" ca="1" si="276"/>
        <v>14.65932745011969</v>
      </c>
      <c r="S3105" s="4">
        <f t="shared" ca="1" si="277"/>
        <v>7.5081726419864623</v>
      </c>
    </row>
    <row r="3106" spans="15:19" x14ac:dyDescent="0.2">
      <c r="O3106" s="4">
        <f t="shared" ca="1" si="273"/>
        <v>0.9111781288430143</v>
      </c>
      <c r="P3106" s="4">
        <f t="shared" ca="1" si="274"/>
        <v>1.3480455199849772</v>
      </c>
      <c r="Q3106" s="4">
        <f t="shared" ca="1" si="275"/>
        <v>1882.4253049878398</v>
      </c>
      <c r="R3106" s="4">
        <f t="shared" ca="1" si="276"/>
        <v>-41.244739012160153</v>
      </c>
      <c r="S3106" s="4">
        <f t="shared" ca="1" si="277"/>
        <v>-20.186013816464342</v>
      </c>
    </row>
    <row r="3107" spans="15:19" x14ac:dyDescent="0.2">
      <c r="O3107" s="4">
        <f t="shared" ca="1" si="273"/>
        <v>0.20937945728609997</v>
      </c>
      <c r="P3107" s="4">
        <f t="shared" ca="1" si="274"/>
        <v>-0.80857627754120087</v>
      </c>
      <c r="Q3107" s="4">
        <f t="shared" ca="1" si="275"/>
        <v>1947.7600665920527</v>
      </c>
      <c r="R3107" s="4">
        <f t="shared" ca="1" si="276"/>
        <v>24.090022592052719</v>
      </c>
      <c r="S3107" s="4">
        <f t="shared" ca="1" si="277"/>
        <v>12.43083954901687</v>
      </c>
    </row>
    <row r="3108" spans="15:19" x14ac:dyDescent="0.2">
      <c r="O3108" s="4">
        <f t="shared" ca="1" si="273"/>
        <v>0.2155959271667276</v>
      </c>
      <c r="P3108" s="4">
        <f t="shared" ca="1" si="274"/>
        <v>-0.78715377299101219</v>
      </c>
      <c r="Q3108" s="4">
        <f t="shared" ca="1" si="275"/>
        <v>1947.1110727678429</v>
      </c>
      <c r="R3108" s="4">
        <f t="shared" ca="1" si="276"/>
        <v>23.441028767842909</v>
      </c>
      <c r="S3108" s="4">
        <f t="shared" ca="1" si="277"/>
        <v>12.089755507909898</v>
      </c>
    </row>
    <row r="3109" spans="15:19" x14ac:dyDescent="0.2">
      <c r="O3109" s="4">
        <f t="shared" ca="1" si="273"/>
        <v>0.90690843900621398</v>
      </c>
      <c r="P3109" s="4">
        <f t="shared" ca="1" si="274"/>
        <v>1.3219550422407167</v>
      </c>
      <c r="Q3109" s="4">
        <f t="shared" ca="1" si="275"/>
        <v>1883.215714852711</v>
      </c>
      <c r="R3109" s="4">
        <f t="shared" ca="1" si="276"/>
        <v>-40.454329147288945</v>
      </c>
      <c r="S3109" s="4">
        <f t="shared" ca="1" si="277"/>
        <v>-19.812187401195704</v>
      </c>
    </row>
    <row r="3110" spans="15:19" x14ac:dyDescent="0.2">
      <c r="O3110" s="4">
        <f t="shared" ca="1" si="273"/>
        <v>0.18119573410407352</v>
      </c>
      <c r="P3110" s="4">
        <f t="shared" ca="1" si="274"/>
        <v>-0.91081763662472093</v>
      </c>
      <c r="Q3110" s="4">
        <f t="shared" ca="1" si="275"/>
        <v>1950.8574640260745</v>
      </c>
      <c r="R3110" s="4">
        <f t="shared" ca="1" si="276"/>
        <v>27.187420026074506</v>
      </c>
      <c r="S3110" s="4">
        <f t="shared" ca="1" si="277"/>
        <v>14.063425897732346</v>
      </c>
    </row>
    <row r="3111" spans="15:19" x14ac:dyDescent="0.2">
      <c r="O3111" s="4">
        <f t="shared" ca="1" si="273"/>
        <v>0.69376579292935214</v>
      </c>
      <c r="P3111" s="4">
        <f t="shared" ca="1" si="274"/>
        <v>0.506553112554612</v>
      </c>
      <c r="Q3111" s="4">
        <f t="shared" ca="1" si="275"/>
        <v>1907.9182801095249</v>
      </c>
      <c r="R3111" s="4">
        <f t="shared" ca="1" si="276"/>
        <v>-15.751763890475104</v>
      </c>
      <c r="S3111" s="4">
        <f t="shared" ca="1" si="277"/>
        <v>-7.8726959395177873</v>
      </c>
    </row>
    <row r="3112" spans="15:19" x14ac:dyDescent="0.2">
      <c r="O3112" s="4">
        <f t="shared" ca="1" si="273"/>
        <v>0.25782118981874735</v>
      </c>
      <c r="P3112" s="4">
        <f t="shared" ca="1" si="274"/>
        <v>-0.65007716329701803</v>
      </c>
      <c r="Q3112" s="4">
        <f t="shared" ca="1" si="275"/>
        <v>1942.9583429632271</v>
      </c>
      <c r="R3112" s="4">
        <f t="shared" ca="1" si="276"/>
        <v>19.288298963227135</v>
      </c>
      <c r="S3112" s="4">
        <f t="shared" ca="1" si="277"/>
        <v>9.915371276982107</v>
      </c>
    </row>
    <row r="3113" spans="15:19" x14ac:dyDescent="0.2">
      <c r="O3113" s="4">
        <f t="shared" ca="1" si="273"/>
        <v>0.89139939967049975</v>
      </c>
      <c r="P3113" s="4">
        <f t="shared" ca="1" si="274"/>
        <v>1.2340045717975694</v>
      </c>
      <c r="Q3113" s="4">
        <f t="shared" ca="1" si="275"/>
        <v>1885.8801704498737</v>
      </c>
      <c r="R3113" s="4">
        <f t="shared" ca="1" si="276"/>
        <v>-37.789873550126231</v>
      </c>
      <c r="S3113" s="4">
        <f t="shared" ca="1" si="277"/>
        <v>-18.548278940833249</v>
      </c>
    </row>
    <row r="3114" spans="15:19" x14ac:dyDescent="0.2">
      <c r="O3114" s="4">
        <f t="shared" ca="1" si="273"/>
        <v>0.30982906412175981</v>
      </c>
      <c r="P3114" s="4">
        <f t="shared" ca="1" si="274"/>
        <v>-0.49633492660195666</v>
      </c>
      <c r="Q3114" s="4">
        <f t="shared" ca="1" si="275"/>
        <v>1938.3007287285511</v>
      </c>
      <c r="R3114" s="4">
        <f t="shared" ca="1" si="276"/>
        <v>14.630684728551159</v>
      </c>
      <c r="S3114" s="4">
        <f t="shared" ca="1" si="277"/>
        <v>7.4933319068140207</v>
      </c>
    </row>
    <row r="3115" spans="15:19" x14ac:dyDescent="0.2">
      <c r="O3115" s="4">
        <f t="shared" ca="1" si="273"/>
        <v>0.7458771653710865</v>
      </c>
      <c r="P3115" s="4">
        <f t="shared" ca="1" si="274"/>
        <v>0.66157182504471579</v>
      </c>
      <c r="Q3115" s="4">
        <f t="shared" ca="1" si="275"/>
        <v>1903.2219950973122</v>
      </c>
      <c r="R3115" s="4">
        <f t="shared" ca="1" si="276"/>
        <v>-20.448048902687788</v>
      </c>
      <c r="S3115" s="4">
        <f t="shared" ca="1" si="277"/>
        <v>-10.180797755898057</v>
      </c>
    </row>
    <row r="3116" spans="15:19" x14ac:dyDescent="0.2">
      <c r="O3116" s="4">
        <f t="shared" ca="1" si="273"/>
        <v>0.30655782589333003</v>
      </c>
      <c r="P3116" s="4">
        <f t="shared" ca="1" si="274"/>
        <v>-0.50563109015570928</v>
      </c>
      <c r="Q3116" s="4">
        <f t="shared" ca="1" si="275"/>
        <v>1938.5823555906716</v>
      </c>
      <c r="R3116" s="4">
        <f t="shared" ca="1" si="276"/>
        <v>14.912311590671607</v>
      </c>
      <c r="S3116" s="4">
        <f t="shared" ca="1" si="277"/>
        <v>7.639281040142845</v>
      </c>
    </row>
    <row r="3117" spans="15:19" x14ac:dyDescent="0.2">
      <c r="O3117" s="4">
        <f t="shared" ca="1" si="273"/>
        <v>0.65940075315878077</v>
      </c>
      <c r="P3117" s="4">
        <f t="shared" ca="1" si="274"/>
        <v>0.41082822716785788</v>
      </c>
      <c r="Q3117" s="4">
        <f t="shared" ca="1" si="275"/>
        <v>1910.8182612622277</v>
      </c>
      <c r="R3117" s="4">
        <f t="shared" ca="1" si="276"/>
        <v>-12.851782737772282</v>
      </c>
      <c r="S3117" s="4">
        <f t="shared" ca="1" si="277"/>
        <v>-6.4384633639070694</v>
      </c>
    </row>
    <row r="3118" spans="15:19" x14ac:dyDescent="0.2">
      <c r="O3118" s="4">
        <f t="shared" ca="1" si="273"/>
        <v>0.12151711302756396</v>
      </c>
      <c r="P3118" s="4">
        <f t="shared" ca="1" si="274"/>
        <v>-1.1674362822412967</v>
      </c>
      <c r="Q3118" s="4">
        <f t="shared" ca="1" si="275"/>
        <v>1958.6317145014186</v>
      </c>
      <c r="R3118" s="4">
        <f t="shared" ca="1" si="276"/>
        <v>34.961670501418666</v>
      </c>
      <c r="S3118" s="4">
        <f t="shared" ca="1" si="277"/>
        <v>18.195508260490314</v>
      </c>
    </row>
    <row r="3119" spans="15:19" x14ac:dyDescent="0.2">
      <c r="O3119" s="4">
        <f t="shared" ca="1" si="273"/>
        <v>5.411180117870007E-3</v>
      </c>
      <c r="P3119" s="4">
        <f t="shared" ca="1" si="274"/>
        <v>-2.5483829351765861</v>
      </c>
      <c r="Q3119" s="4">
        <f t="shared" ca="1" si="275"/>
        <v>2000.4674320394483</v>
      </c>
      <c r="R3119" s="4">
        <f t="shared" ca="1" si="276"/>
        <v>76.797388039448379</v>
      </c>
      <c r="S3119" s="4">
        <f t="shared" ca="1" si="277"/>
        <v>41.276418726469259</v>
      </c>
    </row>
    <row r="3120" spans="15:19" x14ac:dyDescent="0.2">
      <c r="O3120" s="4">
        <f t="shared" ca="1" si="273"/>
        <v>0.38180054861933055</v>
      </c>
      <c r="P3120" s="4">
        <f t="shared" ca="1" si="274"/>
        <v>-0.30075529904439796</v>
      </c>
      <c r="Q3120" s="4">
        <f t="shared" ca="1" si="275"/>
        <v>1932.3756525952335</v>
      </c>
      <c r="R3120" s="4">
        <f t="shared" ca="1" si="276"/>
        <v>8.7056085952335707</v>
      </c>
      <c r="S3120" s="4">
        <f t="shared" ca="1" si="277"/>
        <v>4.4377151497262721</v>
      </c>
    </row>
    <row r="3121" spans="15:19" x14ac:dyDescent="0.2">
      <c r="O3121" s="4">
        <f t="shared" ca="1" si="273"/>
        <v>0.98084142876001146</v>
      </c>
      <c r="P3121" s="4">
        <f t="shared" ca="1" si="274"/>
        <v>2.0714459294857654</v>
      </c>
      <c r="Q3121" s="4">
        <f t="shared" ca="1" si="275"/>
        <v>1860.5099217002653</v>
      </c>
      <c r="R3121" s="4">
        <f t="shared" ca="1" si="276"/>
        <v>-63.160122299734667</v>
      </c>
      <c r="S3121" s="4">
        <f t="shared" ca="1" si="277"/>
        <v>-30.348391573282175</v>
      </c>
    </row>
    <row r="3122" spans="15:19" x14ac:dyDescent="0.2">
      <c r="O3122" s="4">
        <f t="shared" ca="1" si="273"/>
        <v>0.42014515870563263</v>
      </c>
      <c r="P3122" s="4">
        <f t="shared" ca="1" si="274"/>
        <v>-0.20152214243202898</v>
      </c>
      <c r="Q3122" s="4">
        <f t="shared" ca="1" si="275"/>
        <v>1929.3693885215146</v>
      </c>
      <c r="R3122" s="4">
        <f t="shared" ca="1" si="276"/>
        <v>5.6993445215146039</v>
      </c>
      <c r="S3122" s="4">
        <f t="shared" ca="1" si="277"/>
        <v>2.8982866588439644</v>
      </c>
    </row>
    <row r="3123" spans="15:19" x14ac:dyDescent="0.2">
      <c r="O3123" s="4">
        <f t="shared" ca="1" si="273"/>
        <v>0.13855057833557982</v>
      </c>
      <c r="P3123" s="4">
        <f t="shared" ca="1" si="274"/>
        <v>-1.0868544111309866</v>
      </c>
      <c r="Q3123" s="4">
        <f t="shared" ca="1" si="275"/>
        <v>1956.1904902938859</v>
      </c>
      <c r="R3123" s="4">
        <f t="shared" ca="1" si="276"/>
        <v>32.520446293885925</v>
      </c>
      <c r="S3123" s="4">
        <f t="shared" ca="1" si="277"/>
        <v>16.892676487222587</v>
      </c>
    </row>
    <row r="3124" spans="15:19" x14ac:dyDescent="0.2">
      <c r="O3124" s="4">
        <f t="shared" ca="1" si="273"/>
        <v>0.32873717479085474</v>
      </c>
      <c r="P3124" s="4">
        <f t="shared" ca="1" si="274"/>
        <v>-0.44340288491921648</v>
      </c>
      <c r="Q3124" s="4">
        <f t="shared" ca="1" si="275"/>
        <v>1936.697154875902</v>
      </c>
      <c r="R3124" s="4">
        <f t="shared" ca="1" si="276"/>
        <v>13.027110875902054</v>
      </c>
      <c r="S3124" s="4">
        <f t="shared" ca="1" si="277"/>
        <v>6.6635330591300974</v>
      </c>
    </row>
    <row r="3125" spans="15:19" x14ac:dyDescent="0.2">
      <c r="O3125" s="4">
        <f t="shared" ca="1" si="273"/>
        <v>0.19760386314732126</v>
      </c>
      <c r="P3125" s="4">
        <f t="shared" ca="1" si="274"/>
        <v>-0.85021110946583411</v>
      </c>
      <c r="Q3125" s="4">
        <f t="shared" ca="1" si="275"/>
        <v>1949.0213919766647</v>
      </c>
      <c r="R3125" s="4">
        <f t="shared" ca="1" si="276"/>
        <v>25.351347976664783</v>
      </c>
      <c r="S3125" s="4">
        <f t="shared" ca="1" si="277"/>
        <v>13.094720324191185</v>
      </c>
    </row>
    <row r="3126" spans="15:19" x14ac:dyDescent="0.2">
      <c r="O3126" s="4">
        <f t="shared" ca="1" si="273"/>
        <v>0.88183076250923975</v>
      </c>
      <c r="P3126" s="4">
        <f t="shared" ca="1" si="274"/>
        <v>1.1841884454101106</v>
      </c>
      <c r="Q3126" s="4">
        <f t="shared" ca="1" si="275"/>
        <v>1887.3893477869958</v>
      </c>
      <c r="R3126" s="4">
        <f t="shared" ca="1" si="276"/>
        <v>-36.280696213004148</v>
      </c>
      <c r="S3126" s="4">
        <f t="shared" ca="1" si="277"/>
        <v>-17.829823078444726</v>
      </c>
    </row>
    <row r="3127" spans="15:19" x14ac:dyDescent="0.2">
      <c r="O3127" s="4">
        <f t="shared" ca="1" si="273"/>
        <v>0.99183047813209746</v>
      </c>
      <c r="P3127" s="4">
        <f t="shared" ca="1" si="274"/>
        <v>2.4012528148827315</v>
      </c>
      <c r="Q3127" s="4">
        <f t="shared" ca="1" si="275"/>
        <v>1850.5184367502588</v>
      </c>
      <c r="R3127" s="4">
        <f t="shared" ca="1" si="276"/>
        <v>-73.151607249741119</v>
      </c>
      <c r="S3127" s="4">
        <f t="shared" ca="1" si="277"/>
        <v>-34.851768504303166</v>
      </c>
    </row>
    <row r="3128" spans="15:19" x14ac:dyDescent="0.2">
      <c r="O3128" s="4">
        <f t="shared" ca="1" si="273"/>
        <v>0.99671579770122409</v>
      </c>
      <c r="P3128" s="4">
        <f t="shared" ca="1" si="274"/>
        <v>2.717968727518234</v>
      </c>
      <c r="Q3128" s="4">
        <f t="shared" ca="1" si="275"/>
        <v>1840.9235422388347</v>
      </c>
      <c r="R3128" s="4">
        <f t="shared" ca="1" si="276"/>
        <v>-82.746501761165291</v>
      </c>
      <c r="S3128" s="4">
        <f t="shared" ca="1" si="277"/>
        <v>-39.09989339185843</v>
      </c>
    </row>
    <row r="3129" spans="15:19" x14ac:dyDescent="0.2">
      <c r="O3129" s="4">
        <f t="shared" ca="1" si="273"/>
        <v>0.3611876452612145</v>
      </c>
      <c r="P3129" s="4">
        <f t="shared" ca="1" si="274"/>
        <v>-0.35528606952042735</v>
      </c>
      <c r="Q3129" s="4">
        <f t="shared" ca="1" si="275"/>
        <v>1934.0276598656937</v>
      </c>
      <c r="R3129" s="4">
        <f t="shared" ca="1" si="276"/>
        <v>10.357615865693788</v>
      </c>
      <c r="S3129" s="4">
        <f t="shared" ca="1" si="277"/>
        <v>5.2867970736465137</v>
      </c>
    </row>
    <row r="3130" spans="15:19" x14ac:dyDescent="0.2">
      <c r="O3130" s="4">
        <f t="shared" ca="1" si="273"/>
        <v>0.21286110820795334</v>
      </c>
      <c r="P3130" s="4">
        <f t="shared" ca="1" si="274"/>
        <v>-0.79653314839708966</v>
      </c>
      <c r="Q3130" s="4">
        <f t="shared" ca="1" si="275"/>
        <v>1947.3952205293351</v>
      </c>
      <c r="R3130" s="4">
        <f t="shared" ca="1" si="276"/>
        <v>23.725176529335158</v>
      </c>
      <c r="S3130" s="4">
        <f t="shared" ca="1" si="277"/>
        <v>12.239049499615753</v>
      </c>
    </row>
    <row r="3131" spans="15:19" x14ac:dyDescent="0.2">
      <c r="O3131" s="4">
        <f t="shared" ca="1" si="273"/>
        <v>0.64273534834974977</v>
      </c>
      <c r="P3131" s="4">
        <f t="shared" ca="1" si="274"/>
        <v>0.36577992175523655</v>
      </c>
      <c r="Q3131" s="4">
        <f t="shared" ca="1" si="275"/>
        <v>1912.1829976746035</v>
      </c>
      <c r="R3131" s="4">
        <f t="shared" ca="1" si="276"/>
        <v>-11.487046325396477</v>
      </c>
      <c r="S3131" s="4">
        <f t="shared" ca="1" si="277"/>
        <v>-5.7611416710128154</v>
      </c>
    </row>
    <row r="3132" spans="15:19" x14ac:dyDescent="0.2">
      <c r="O3132" s="4">
        <f t="shared" ca="1" si="273"/>
        <v>0.36776925517785986</v>
      </c>
      <c r="P3132" s="4">
        <f t="shared" ca="1" si="274"/>
        <v>-0.3377673578055177</v>
      </c>
      <c r="Q3132" s="4">
        <f t="shared" ca="1" si="275"/>
        <v>1933.4969312721039</v>
      </c>
      <c r="R3132" s="4">
        <f t="shared" ca="1" si="276"/>
        <v>9.8268872721039315</v>
      </c>
      <c r="S3132" s="4">
        <f t="shared" ca="1" si="277"/>
        <v>5.0137763349189814</v>
      </c>
    </row>
    <row r="3133" spans="15:19" x14ac:dyDescent="0.2">
      <c r="O3133" s="4">
        <f t="shared" ca="1" si="273"/>
        <v>0.95129645873123092</v>
      </c>
      <c r="P3133" s="4">
        <f t="shared" ca="1" si="274"/>
        <v>1.6575561701996793</v>
      </c>
      <c r="Q3133" s="4">
        <f t="shared" ca="1" si="275"/>
        <v>1873.0486935815475</v>
      </c>
      <c r="R3133" s="4">
        <f t="shared" ca="1" si="276"/>
        <v>-50.621350418452494</v>
      </c>
      <c r="S3133" s="4">
        <f t="shared" ca="1" si="277"/>
        <v>-24.58189992566075</v>
      </c>
    </row>
    <row r="3134" spans="15:19" x14ac:dyDescent="0.2">
      <c r="O3134" s="4">
        <f t="shared" ca="1" si="273"/>
        <v>0.8263930586578242</v>
      </c>
      <c r="P3134" s="4">
        <f t="shared" ca="1" si="274"/>
        <v>0.94000717040342119</v>
      </c>
      <c r="Q3134" s="4">
        <f t="shared" ca="1" si="275"/>
        <v>1894.78680867192</v>
      </c>
      <c r="R3134" s="4">
        <f t="shared" ca="1" si="276"/>
        <v>-28.883235328079991</v>
      </c>
      <c r="S3134" s="4">
        <f t="shared" ca="1" si="277"/>
        <v>-14.281382678482254</v>
      </c>
    </row>
    <row r="3135" spans="15:19" x14ac:dyDescent="0.2">
      <c r="O3135" s="4">
        <f t="shared" ca="1" si="273"/>
        <v>0.60387438375225788</v>
      </c>
      <c r="P3135" s="4">
        <f t="shared" ca="1" si="274"/>
        <v>0.26338839742860642</v>
      </c>
      <c r="Q3135" s="4">
        <f t="shared" ca="1" si="275"/>
        <v>1915.2849443579978</v>
      </c>
      <c r="R3135" s="4">
        <f t="shared" ca="1" si="276"/>
        <v>-8.3850996420021602</v>
      </c>
      <c r="S3135" s="4">
        <f t="shared" ca="1" si="277"/>
        <v>-4.2159985751111453</v>
      </c>
    </row>
    <row r="3136" spans="15:19" x14ac:dyDescent="0.2">
      <c r="O3136" s="4">
        <f t="shared" ca="1" si="273"/>
        <v>0.39809062009617258</v>
      </c>
      <c r="P3136" s="4">
        <f t="shared" ca="1" si="274"/>
        <v>-0.25829241431756716</v>
      </c>
      <c r="Q3136" s="4">
        <f t="shared" ca="1" si="275"/>
        <v>1931.0892413877439</v>
      </c>
      <c r="R3136" s="4">
        <f t="shared" ca="1" si="276"/>
        <v>7.4191973877439068</v>
      </c>
      <c r="S3136" s="4">
        <f t="shared" ca="1" si="277"/>
        <v>3.7780773058884458</v>
      </c>
    </row>
    <row r="3137" spans="15:19" x14ac:dyDescent="0.2">
      <c r="O3137" s="4">
        <f t="shared" ca="1" si="273"/>
        <v>0.46175670754058351</v>
      </c>
      <c r="P3137" s="4">
        <f t="shared" ca="1" si="274"/>
        <v>-9.6009012009715511E-2</v>
      </c>
      <c r="Q3137" s="4">
        <f t="shared" ca="1" si="275"/>
        <v>1926.1728729200477</v>
      </c>
      <c r="R3137" s="4">
        <f t="shared" ca="1" si="276"/>
        <v>2.5028289200477047</v>
      </c>
      <c r="S3137" s="4">
        <f t="shared" ca="1" si="277"/>
        <v>1.2695064580507587</v>
      </c>
    </row>
    <row r="3138" spans="15:19" x14ac:dyDescent="0.2">
      <c r="O3138" s="4">
        <f t="shared" ca="1" si="273"/>
        <v>0.52860865896958498</v>
      </c>
      <c r="P3138" s="4">
        <f t="shared" ca="1" si="274"/>
        <v>7.1772846961859954E-2</v>
      </c>
      <c r="Q3138" s="4">
        <f t="shared" ca="1" si="275"/>
        <v>1921.08992895185</v>
      </c>
      <c r="R3138" s="4">
        <f t="shared" ca="1" si="276"/>
        <v>-2.5801150481499917</v>
      </c>
      <c r="S3138" s="4">
        <f t="shared" ca="1" si="277"/>
        <v>-1.303369652100913</v>
      </c>
    </row>
    <row r="3139" spans="15:19" x14ac:dyDescent="0.2">
      <c r="O3139" s="4">
        <f t="shared" ref="O3139:O3202" ca="1" si="278">RAND()</f>
        <v>0.62450508621978951</v>
      </c>
      <c r="P3139" s="4">
        <f t="shared" ref="P3139:P3202" ca="1" si="279">NORMSINV(O3139)</f>
        <v>0.31733446616496802</v>
      </c>
      <c r="Q3139" s="4">
        <f t="shared" ref="Q3139:Q3202" ca="1" si="280">$B$4*(1+$B$17-$B$6/SQRT(252)*P3139)</f>
        <v>1913.6506506007811</v>
      </c>
      <c r="R3139" s="4">
        <f t="shared" ref="R3139:R3202" ca="1" si="281">Q3139-$B$4</f>
        <v>-10.01939339921887</v>
      </c>
      <c r="S3139" s="4">
        <f t="shared" ref="S3139:S3202" ca="1" si="282">R3139*$B$12+0.5*$B$13*R3139^2</f>
        <v>-5.0310501129020535</v>
      </c>
    </row>
    <row r="3140" spans="15:19" x14ac:dyDescent="0.2">
      <c r="O3140" s="4">
        <f t="shared" ca="1" si="278"/>
        <v>0.93730222288036569</v>
      </c>
      <c r="P3140" s="4">
        <f t="shared" ca="1" si="279"/>
        <v>1.5325143701818729</v>
      </c>
      <c r="Q3140" s="4">
        <f t="shared" ca="1" si="280"/>
        <v>1876.8368293613566</v>
      </c>
      <c r="R3140" s="4">
        <f t="shared" ca="1" si="281"/>
        <v>-46.833214638643312</v>
      </c>
      <c r="S3140" s="4">
        <f t="shared" ca="1" si="282"/>
        <v>-22.814586693423671</v>
      </c>
    </row>
    <row r="3141" spans="15:19" x14ac:dyDescent="0.2">
      <c r="O3141" s="4">
        <f t="shared" ca="1" si="278"/>
        <v>0.87831894314107861</v>
      </c>
      <c r="P3141" s="4">
        <f t="shared" ca="1" si="279"/>
        <v>1.166624329394484</v>
      </c>
      <c r="Q3141" s="4">
        <f t="shared" ca="1" si="280"/>
        <v>1887.9214519018601</v>
      </c>
      <c r="R3141" s="4">
        <f t="shared" ca="1" si="281"/>
        <v>-35.748592098139852</v>
      </c>
      <c r="S3141" s="4">
        <f t="shared" ca="1" si="282"/>
        <v>-17.576068538656472</v>
      </c>
    </row>
    <row r="3142" spans="15:19" x14ac:dyDescent="0.2">
      <c r="O3142" s="4">
        <f t="shared" ca="1" si="278"/>
        <v>0.99651171556256024</v>
      </c>
      <c r="P3142" s="4">
        <f t="shared" ca="1" si="279"/>
        <v>2.6979606405458791</v>
      </c>
      <c r="Q3142" s="4">
        <f t="shared" ca="1" si="280"/>
        <v>1841.5296863453232</v>
      </c>
      <c r="R3142" s="4">
        <f t="shared" ca="1" si="281"/>
        <v>-82.140357654676791</v>
      </c>
      <c r="S3142" s="4">
        <f t="shared" ca="1" si="282"/>
        <v>-38.833741922424608</v>
      </c>
    </row>
    <row r="3143" spans="15:19" x14ac:dyDescent="0.2">
      <c r="O3143" s="4">
        <f t="shared" ca="1" si="278"/>
        <v>0.11790539488910734</v>
      </c>
      <c r="P3143" s="4">
        <f t="shared" ca="1" si="279"/>
        <v>-1.1855228395893394</v>
      </c>
      <c r="Q3143" s="4">
        <f t="shared" ca="1" si="280"/>
        <v>1959.1796459532525</v>
      </c>
      <c r="R3143" s="4">
        <f t="shared" ca="1" si="281"/>
        <v>35.509601953252513</v>
      </c>
      <c r="S3143" s="4">
        <f t="shared" ca="1" si="282"/>
        <v>18.488594866025942</v>
      </c>
    </row>
    <row r="3144" spans="15:19" x14ac:dyDescent="0.2">
      <c r="O3144" s="4">
        <f t="shared" ca="1" si="278"/>
        <v>0.89506012326178852</v>
      </c>
      <c r="P3144" s="4">
        <f t="shared" ca="1" si="279"/>
        <v>1.2538961530820241</v>
      </c>
      <c r="Q3144" s="4">
        <f t="shared" ca="1" si="280"/>
        <v>1885.2775558780274</v>
      </c>
      <c r="R3144" s="4">
        <f t="shared" ca="1" si="281"/>
        <v>-38.392488121972519</v>
      </c>
      <c r="S3144" s="4">
        <f t="shared" ca="1" si="282"/>
        <v>-18.834640360884759</v>
      </c>
    </row>
    <row r="3145" spans="15:19" x14ac:dyDescent="0.2">
      <c r="O3145" s="4">
        <f t="shared" ca="1" si="278"/>
        <v>0.98057817618402998</v>
      </c>
      <c r="P3145" s="4">
        <f t="shared" ca="1" si="279"/>
        <v>2.0658393875436438</v>
      </c>
      <c r="Q3145" s="4">
        <f t="shared" ca="1" si="280"/>
        <v>1860.6797716394772</v>
      </c>
      <c r="R3145" s="4">
        <f t="shared" ca="1" si="281"/>
        <v>-62.990272360522795</v>
      </c>
      <c r="S3145" s="4">
        <f t="shared" ca="1" si="282"/>
        <v>-30.27113399486753</v>
      </c>
    </row>
    <row r="3146" spans="15:19" x14ac:dyDescent="0.2">
      <c r="O3146" s="4">
        <f t="shared" ca="1" si="278"/>
        <v>0.54930053762305331</v>
      </c>
      <c r="P3146" s="4">
        <f t="shared" ca="1" si="279"/>
        <v>0.12389435224115627</v>
      </c>
      <c r="Q3146" s="4">
        <f t="shared" ca="1" si="280"/>
        <v>1919.5109102635561</v>
      </c>
      <c r="R3146" s="4">
        <f t="shared" ca="1" si="281"/>
        <v>-4.1591337364438914</v>
      </c>
      <c r="S3146" s="4">
        <f t="shared" ca="1" si="282"/>
        <v>-2.0983525920865547</v>
      </c>
    </row>
    <row r="3147" spans="15:19" x14ac:dyDescent="0.2">
      <c r="O3147" s="4">
        <f t="shared" ca="1" si="278"/>
        <v>0.45942995751829196</v>
      </c>
      <c r="P3147" s="4">
        <f t="shared" ca="1" si="279"/>
        <v>-0.10186993391994385</v>
      </c>
      <c r="Q3147" s="4">
        <f t="shared" ca="1" si="280"/>
        <v>1926.3504292890989</v>
      </c>
      <c r="R3147" s="4">
        <f t="shared" ca="1" si="281"/>
        <v>2.6803852890989219</v>
      </c>
      <c r="S3147" s="4">
        <f t="shared" ca="1" si="282"/>
        <v>1.3597618621885126</v>
      </c>
    </row>
    <row r="3148" spans="15:19" x14ac:dyDescent="0.2">
      <c r="O3148" s="4">
        <f t="shared" ca="1" si="278"/>
        <v>0.18267316092828989</v>
      </c>
      <c r="P3148" s="4">
        <f t="shared" ca="1" si="279"/>
        <v>-0.90522477006497692</v>
      </c>
      <c r="Q3148" s="4">
        <f t="shared" ca="1" si="280"/>
        <v>1950.6880283819646</v>
      </c>
      <c r="R3148" s="4">
        <f t="shared" ca="1" si="281"/>
        <v>27.017984381964652</v>
      </c>
      <c r="S3148" s="4">
        <f t="shared" ca="1" si="282"/>
        <v>13.973917257948711</v>
      </c>
    </row>
    <row r="3149" spans="15:19" x14ac:dyDescent="0.2">
      <c r="O3149" s="4">
        <f t="shared" ca="1" si="278"/>
        <v>0.51695553099828739</v>
      </c>
      <c r="P3149" s="4">
        <f t="shared" ca="1" si="279"/>
        <v>4.2514016874267119E-2</v>
      </c>
      <c r="Q3149" s="4">
        <f t="shared" ca="1" si="280"/>
        <v>1921.9763239102908</v>
      </c>
      <c r="R3149" s="4">
        <f t="shared" ca="1" si="281"/>
        <v>-1.6937200897091316</v>
      </c>
      <c r="S3149" s="4">
        <f t="shared" ca="1" si="282"/>
        <v>-0.85620994474078527</v>
      </c>
    </row>
    <row r="3150" spans="15:19" x14ac:dyDescent="0.2">
      <c r="O3150" s="4">
        <f t="shared" ca="1" si="278"/>
        <v>9.5056601762931514E-2</v>
      </c>
      <c r="P3150" s="4">
        <f t="shared" ca="1" si="279"/>
        <v>-1.3102443005358917</v>
      </c>
      <c r="Q3150" s="4">
        <f t="shared" ca="1" si="280"/>
        <v>1962.9580770751206</v>
      </c>
      <c r="R3150" s="4">
        <f t="shared" ca="1" si="281"/>
        <v>39.288033075120666</v>
      </c>
      <c r="S3150" s="4">
        <f t="shared" ca="1" si="282"/>
        <v>20.516318682506586</v>
      </c>
    </row>
    <row r="3151" spans="15:19" x14ac:dyDescent="0.2">
      <c r="O3151" s="4">
        <f t="shared" ca="1" si="278"/>
        <v>0.39279568415090149</v>
      </c>
      <c r="P3151" s="4">
        <f t="shared" ca="1" si="279"/>
        <v>-0.27203986327489532</v>
      </c>
      <c r="Q3151" s="4">
        <f t="shared" ca="1" si="280"/>
        <v>1931.5057197435333</v>
      </c>
      <c r="R3151" s="4">
        <f t="shared" ca="1" si="281"/>
        <v>7.8356757435333293</v>
      </c>
      <c r="S3151" s="4">
        <f t="shared" ca="1" si="282"/>
        <v>3.9914889718318554</v>
      </c>
    </row>
    <row r="3152" spans="15:19" x14ac:dyDescent="0.2">
      <c r="O3152" s="4">
        <f t="shared" ca="1" si="278"/>
        <v>0.30253394004614753</v>
      </c>
      <c r="P3152" s="4">
        <f t="shared" ca="1" si="279"/>
        <v>-0.5171264652742128</v>
      </c>
      <c r="Q3152" s="4">
        <f t="shared" ca="1" si="280"/>
        <v>1938.9306074695037</v>
      </c>
      <c r="R3152" s="4">
        <f t="shared" ca="1" si="281"/>
        <v>15.260563469503722</v>
      </c>
      <c r="S3152" s="4">
        <f t="shared" ca="1" si="282"/>
        <v>7.8198469382040843</v>
      </c>
    </row>
    <row r="3153" spans="15:19" x14ac:dyDescent="0.2">
      <c r="O3153" s="4">
        <f t="shared" ca="1" si="278"/>
        <v>0.86220077562965181</v>
      </c>
      <c r="P3153" s="4">
        <f t="shared" ca="1" si="279"/>
        <v>1.0902604113602183</v>
      </c>
      <c r="Q3153" s="4">
        <f t="shared" ca="1" si="280"/>
        <v>1890.234893408227</v>
      </c>
      <c r="R3153" s="4">
        <f t="shared" ca="1" si="281"/>
        <v>-33.435150591772981</v>
      </c>
      <c r="S3153" s="4">
        <f t="shared" ca="1" si="282"/>
        <v>-16.470134252502206</v>
      </c>
    </row>
    <row r="3154" spans="15:19" x14ac:dyDescent="0.2">
      <c r="O3154" s="4">
        <f t="shared" ca="1" si="278"/>
        <v>0.38037705772613672</v>
      </c>
      <c r="P3154" s="4">
        <f t="shared" ca="1" si="279"/>
        <v>-0.30449064942345261</v>
      </c>
      <c r="Q3154" s="4">
        <f t="shared" ca="1" si="280"/>
        <v>1932.4888148691216</v>
      </c>
      <c r="R3154" s="4">
        <f t="shared" ca="1" si="281"/>
        <v>8.8187708691216358</v>
      </c>
      <c r="S3154" s="4">
        <f t="shared" ca="1" si="282"/>
        <v>4.4958062596055033</v>
      </c>
    </row>
    <row r="3155" spans="15:19" x14ac:dyDescent="0.2">
      <c r="O3155" s="4">
        <f t="shared" ca="1" si="278"/>
        <v>0.79525511741556132</v>
      </c>
      <c r="P3155" s="4">
        <f t="shared" ca="1" si="279"/>
        <v>0.82479186641017344</v>
      </c>
      <c r="Q3155" s="4">
        <f t="shared" ca="1" si="280"/>
        <v>1898.2772511909518</v>
      </c>
      <c r="R3155" s="4">
        <f t="shared" ca="1" si="281"/>
        <v>-25.39279280904816</v>
      </c>
      <c r="S3155" s="4">
        <f t="shared" ca="1" si="282"/>
        <v>-12.59160467546991</v>
      </c>
    </row>
    <row r="3156" spans="15:19" x14ac:dyDescent="0.2">
      <c r="O3156" s="4">
        <f t="shared" ca="1" si="278"/>
        <v>0.69766110926744695</v>
      </c>
      <c r="P3156" s="4">
        <f t="shared" ca="1" si="279"/>
        <v>0.51768540710647248</v>
      </c>
      <c r="Q3156" s="4">
        <f t="shared" ca="1" si="280"/>
        <v>1907.5810277403386</v>
      </c>
      <c r="R3156" s="4">
        <f t="shared" ca="1" si="281"/>
        <v>-16.089016259661321</v>
      </c>
      <c r="S3156" s="4">
        <f t="shared" ca="1" si="282"/>
        <v>-8.0390451287160651</v>
      </c>
    </row>
    <row r="3157" spans="15:19" x14ac:dyDescent="0.2">
      <c r="O3157" s="4">
        <f t="shared" ca="1" si="278"/>
        <v>0.64192560668961729</v>
      </c>
      <c r="P3157" s="4">
        <f t="shared" ca="1" si="279"/>
        <v>0.3636106315811633</v>
      </c>
      <c r="Q3157" s="4">
        <f t="shared" ca="1" si="280"/>
        <v>1912.2487162241127</v>
      </c>
      <c r="R3157" s="4">
        <f t="shared" ca="1" si="281"/>
        <v>-11.421327775887221</v>
      </c>
      <c r="S3157" s="4">
        <f t="shared" ca="1" si="282"/>
        <v>-5.7284871423467871</v>
      </c>
    </row>
    <row r="3158" spans="15:19" x14ac:dyDescent="0.2">
      <c r="O3158" s="4">
        <f t="shared" ca="1" si="278"/>
        <v>0.37072887063958226</v>
      </c>
      <c r="P3158" s="4">
        <f t="shared" ca="1" si="279"/>
        <v>-0.32992353318149092</v>
      </c>
      <c r="Q3158" s="4">
        <f t="shared" ca="1" si="280"/>
        <v>1933.2593029533768</v>
      </c>
      <c r="R3158" s="4">
        <f t="shared" ca="1" si="281"/>
        <v>9.5892589533768842</v>
      </c>
      <c r="S3158" s="4">
        <f t="shared" ca="1" si="282"/>
        <v>4.8916084057801692</v>
      </c>
    </row>
    <row r="3159" spans="15:19" x14ac:dyDescent="0.2">
      <c r="O3159" s="4">
        <f t="shared" ca="1" si="278"/>
        <v>8.3192371643574514E-2</v>
      </c>
      <c r="P3159" s="4">
        <f t="shared" ca="1" si="279"/>
        <v>-1.3839141507060937</v>
      </c>
      <c r="Q3159" s="4">
        <f t="shared" ca="1" si="280"/>
        <v>1965.1899019151595</v>
      </c>
      <c r="R3159" s="4">
        <f t="shared" ca="1" si="281"/>
        <v>41.519857915159491</v>
      </c>
      <c r="S3159" s="4">
        <f t="shared" ca="1" si="282"/>
        <v>21.71950482860499</v>
      </c>
    </row>
    <row r="3160" spans="15:19" x14ac:dyDescent="0.2">
      <c r="O3160" s="4">
        <f t="shared" ca="1" si="278"/>
        <v>9.9731382165654803E-2</v>
      </c>
      <c r="P3160" s="4">
        <f t="shared" ca="1" si="279"/>
        <v>-1.2830836697784773</v>
      </c>
      <c r="Q3160" s="4">
        <f t="shared" ca="1" si="280"/>
        <v>1962.1352469722292</v>
      </c>
      <c r="R3160" s="4">
        <f t="shared" ca="1" si="281"/>
        <v>38.465202972229235</v>
      </c>
      <c r="S3160" s="4">
        <f t="shared" ca="1" si="282"/>
        <v>20.073750670767271</v>
      </c>
    </row>
    <row r="3161" spans="15:19" x14ac:dyDescent="0.2">
      <c r="O3161" s="4">
        <f t="shared" ca="1" si="278"/>
        <v>0.98713918471955298</v>
      </c>
      <c r="P3161" s="4">
        <f t="shared" ca="1" si="279"/>
        <v>2.2303889795661642</v>
      </c>
      <c r="Q3161" s="4">
        <f t="shared" ca="1" si="280"/>
        <v>1855.6947490549915</v>
      </c>
      <c r="R3161" s="4">
        <f t="shared" ca="1" si="281"/>
        <v>-67.9752949450085</v>
      </c>
      <c r="S3161" s="4">
        <f t="shared" ca="1" si="282"/>
        <v>-32.528839471312331</v>
      </c>
    </row>
    <row r="3162" spans="15:19" x14ac:dyDescent="0.2">
      <c r="O3162" s="4">
        <f t="shared" ca="1" si="278"/>
        <v>0.40879546094751562</v>
      </c>
      <c r="P3162" s="4">
        <f t="shared" ca="1" si="279"/>
        <v>-0.23064459219010938</v>
      </c>
      <c r="Q3162" s="4">
        <f t="shared" ca="1" si="280"/>
        <v>1930.2516518439281</v>
      </c>
      <c r="R3162" s="4">
        <f t="shared" ca="1" si="281"/>
        <v>6.5816078439281682</v>
      </c>
      <c r="S3162" s="4">
        <f t="shared" ca="1" si="282"/>
        <v>3.3493076031700686</v>
      </c>
    </row>
    <row r="3163" spans="15:19" x14ac:dyDescent="0.2">
      <c r="O3163" s="4">
        <f t="shared" ca="1" si="278"/>
        <v>0.62660275118459507</v>
      </c>
      <c r="P3163" s="4">
        <f t="shared" ca="1" si="279"/>
        <v>0.32286894295360857</v>
      </c>
      <c r="Q3163" s="4">
        <f t="shared" ca="1" si="280"/>
        <v>1913.4829838721944</v>
      </c>
      <c r="R3163" s="4">
        <f t="shared" ca="1" si="281"/>
        <v>-10.18706012780558</v>
      </c>
      <c r="S3163" s="4">
        <f t="shared" ca="1" si="282"/>
        <v>-5.1145455230256847</v>
      </c>
    </row>
    <row r="3164" spans="15:19" x14ac:dyDescent="0.2">
      <c r="O3164" s="4">
        <f t="shared" ca="1" si="278"/>
        <v>0.14579932813768026</v>
      </c>
      <c r="P3164" s="4">
        <f t="shared" ca="1" si="279"/>
        <v>-1.0546210856801019</v>
      </c>
      <c r="Q3164" s="4">
        <f t="shared" ca="1" si="280"/>
        <v>1955.2139831304785</v>
      </c>
      <c r="R3164" s="4">
        <f t="shared" ca="1" si="281"/>
        <v>31.54393913047852</v>
      </c>
      <c r="S3164" s="4">
        <f t="shared" ca="1" si="282"/>
        <v>16.372893017761481</v>
      </c>
    </row>
    <row r="3165" spans="15:19" x14ac:dyDescent="0.2">
      <c r="O3165" s="4">
        <f t="shared" ca="1" si="278"/>
        <v>0.19879821811478504</v>
      </c>
      <c r="P3165" s="4">
        <f t="shared" ca="1" si="279"/>
        <v>-0.8459216817793539</v>
      </c>
      <c r="Q3165" s="4">
        <f t="shared" ca="1" si="280"/>
        <v>1948.8914439553491</v>
      </c>
      <c r="R3165" s="4">
        <f t="shared" ca="1" si="281"/>
        <v>25.22139995534917</v>
      </c>
      <c r="S3165" s="4">
        <f t="shared" ca="1" si="282"/>
        <v>13.026264173822817</v>
      </c>
    </row>
    <row r="3166" spans="15:19" x14ac:dyDescent="0.2">
      <c r="O3166" s="4">
        <f t="shared" ca="1" si="278"/>
        <v>0.84583467776603494</v>
      </c>
      <c r="P3166" s="4">
        <f t="shared" ca="1" si="279"/>
        <v>1.0187310983065505</v>
      </c>
      <c r="Q3166" s="4">
        <f t="shared" ca="1" si="280"/>
        <v>1892.4018707713581</v>
      </c>
      <c r="R3166" s="4">
        <f t="shared" ca="1" si="281"/>
        <v>-31.268173228641899</v>
      </c>
      <c r="S3166" s="4">
        <f t="shared" ca="1" si="282"/>
        <v>-15.430264521812374</v>
      </c>
    </row>
    <row r="3167" spans="15:19" x14ac:dyDescent="0.2">
      <c r="O3167" s="4">
        <f t="shared" ca="1" si="278"/>
        <v>0.18850519944660205</v>
      </c>
      <c r="P3167" s="4">
        <f t="shared" ca="1" si="279"/>
        <v>-0.88341812970592404</v>
      </c>
      <c r="Q3167" s="4">
        <f t="shared" ca="1" si="280"/>
        <v>1950.0273971804802</v>
      </c>
      <c r="R3167" s="4">
        <f t="shared" ca="1" si="281"/>
        <v>26.357353180480231</v>
      </c>
      <c r="S3167" s="4">
        <f t="shared" ca="1" si="282"/>
        <v>13.625145436692918</v>
      </c>
    </row>
    <row r="3168" spans="15:19" x14ac:dyDescent="0.2">
      <c r="O3168" s="4">
        <f t="shared" ca="1" si="278"/>
        <v>0.40914412257359833</v>
      </c>
      <c r="P3168" s="4">
        <f t="shared" ca="1" si="279"/>
        <v>-0.22974716182028027</v>
      </c>
      <c r="Q3168" s="4">
        <f t="shared" ca="1" si="280"/>
        <v>1930.2244642307191</v>
      </c>
      <c r="R3168" s="4">
        <f t="shared" ca="1" si="281"/>
        <v>6.5544202307191881</v>
      </c>
      <c r="S3168" s="4">
        <f t="shared" ca="1" si="282"/>
        <v>3.3353995874795839</v>
      </c>
    </row>
    <row r="3169" spans="15:19" x14ac:dyDescent="0.2">
      <c r="O3169" s="4">
        <f t="shared" ca="1" si="278"/>
        <v>0.18204845716074303</v>
      </c>
      <c r="P3169" s="4">
        <f t="shared" ca="1" si="279"/>
        <v>-0.90758615029248968</v>
      </c>
      <c r="Q3169" s="4">
        <f t="shared" ca="1" si="280"/>
        <v>1950.7595662911142</v>
      </c>
      <c r="R3169" s="4">
        <f t="shared" ca="1" si="281"/>
        <v>27.089522291114235</v>
      </c>
      <c r="S3169" s="4">
        <f t="shared" ca="1" si="282"/>
        <v>14.011706106545901</v>
      </c>
    </row>
    <row r="3170" spans="15:19" x14ac:dyDescent="0.2">
      <c r="O3170" s="4">
        <f t="shared" ca="1" si="278"/>
        <v>0.91560910938461859</v>
      </c>
      <c r="P3170" s="4">
        <f t="shared" ca="1" si="279"/>
        <v>1.3761287331218524</v>
      </c>
      <c r="Q3170" s="4">
        <f t="shared" ca="1" si="280"/>
        <v>1881.5745252927247</v>
      </c>
      <c r="R3170" s="4">
        <f t="shared" ca="1" si="281"/>
        <v>-42.095518707275232</v>
      </c>
      <c r="S3170" s="4">
        <f t="shared" ca="1" si="282"/>
        <v>-20.587823914028515</v>
      </c>
    </row>
    <row r="3171" spans="15:19" x14ac:dyDescent="0.2">
      <c r="O3171" s="4">
        <f t="shared" ca="1" si="278"/>
        <v>0.61549001174725271</v>
      </c>
      <c r="P3171" s="4">
        <f t="shared" ca="1" si="279"/>
        <v>0.29365705072159665</v>
      </c>
      <c r="Q3171" s="4">
        <f t="shared" ca="1" si="280"/>
        <v>1914.3679568503846</v>
      </c>
      <c r="R3171" s="4">
        <f t="shared" ca="1" si="281"/>
        <v>-9.3020871496153177</v>
      </c>
      <c r="S3171" s="4">
        <f t="shared" ca="1" si="282"/>
        <v>-4.6735844062651939</v>
      </c>
    </row>
    <row r="3172" spans="15:19" x14ac:dyDescent="0.2">
      <c r="O3172" s="4">
        <f t="shared" ca="1" si="278"/>
        <v>0.90648228453598079</v>
      </c>
      <c r="P3172" s="4">
        <f t="shared" ca="1" si="279"/>
        <v>1.3193999726053711</v>
      </c>
      <c r="Q3172" s="4">
        <f t="shared" ca="1" si="280"/>
        <v>1883.2931205738714</v>
      </c>
      <c r="R3172" s="4">
        <f t="shared" ca="1" si="281"/>
        <v>-40.376923426128542</v>
      </c>
      <c r="S3172" s="4">
        <f t="shared" ca="1" si="282"/>
        <v>-19.77555081826312</v>
      </c>
    </row>
    <row r="3173" spans="15:19" x14ac:dyDescent="0.2">
      <c r="O3173" s="4">
        <f t="shared" ca="1" si="278"/>
        <v>0.34567233496608574</v>
      </c>
      <c r="P3173" s="4">
        <f t="shared" ca="1" si="279"/>
        <v>-0.39703090609549074</v>
      </c>
      <c r="Q3173" s="4">
        <f t="shared" ca="1" si="280"/>
        <v>1935.2923178363064</v>
      </c>
      <c r="R3173" s="4">
        <f t="shared" ca="1" si="281"/>
        <v>11.622273836306476</v>
      </c>
      <c r="S3173" s="4">
        <f t="shared" ca="1" si="282"/>
        <v>5.9382946462273818</v>
      </c>
    </row>
    <row r="3174" spans="15:19" x14ac:dyDescent="0.2">
      <c r="O3174" s="4">
        <f t="shared" ca="1" si="278"/>
        <v>4.0578173523496797E-2</v>
      </c>
      <c r="P3174" s="4">
        <f t="shared" ca="1" si="279"/>
        <v>-1.7440157296741761</v>
      </c>
      <c r="Q3174" s="4">
        <f t="shared" ca="1" si="280"/>
        <v>1976.0991632618488</v>
      </c>
      <c r="R3174" s="4">
        <f t="shared" ca="1" si="281"/>
        <v>52.429119261848882</v>
      </c>
      <c r="S3174" s="4">
        <f t="shared" ca="1" si="282"/>
        <v>27.659090703628287</v>
      </c>
    </row>
    <row r="3175" spans="15:19" x14ac:dyDescent="0.2">
      <c r="O3175" s="4">
        <f t="shared" ca="1" si="278"/>
        <v>0.56858661171560965</v>
      </c>
      <c r="P3175" s="4">
        <f t="shared" ca="1" si="279"/>
        <v>0.17277692355138161</v>
      </c>
      <c r="Q3175" s="4">
        <f t="shared" ca="1" si="280"/>
        <v>1918.0300149360501</v>
      </c>
      <c r="R3175" s="4">
        <f t="shared" ca="1" si="281"/>
        <v>-5.6400290639498962</v>
      </c>
      <c r="S3175" s="4">
        <f t="shared" ca="1" si="282"/>
        <v>-2.8420891130255659</v>
      </c>
    </row>
    <row r="3176" spans="15:19" x14ac:dyDescent="0.2">
      <c r="O3176" s="4">
        <f t="shared" ca="1" si="278"/>
        <v>0.25664297230753108</v>
      </c>
      <c r="P3176" s="4">
        <f t="shared" ca="1" si="279"/>
        <v>-0.65372973179427141</v>
      </c>
      <c r="Q3176" s="4">
        <f t="shared" ca="1" si="280"/>
        <v>1943.0689973636806</v>
      </c>
      <c r="R3176" s="4">
        <f t="shared" ca="1" si="281"/>
        <v>19.398953363680675</v>
      </c>
      <c r="S3176" s="4">
        <f t="shared" ca="1" si="282"/>
        <v>9.9731282469780833</v>
      </c>
    </row>
    <row r="3177" spans="15:19" x14ac:dyDescent="0.2">
      <c r="O3177" s="4">
        <f t="shared" ca="1" si="278"/>
        <v>0.74875003099445292</v>
      </c>
      <c r="P3177" s="4">
        <f t="shared" ca="1" si="279"/>
        <v>0.67056146502562963</v>
      </c>
      <c r="Q3177" s="4">
        <f t="shared" ca="1" si="280"/>
        <v>1902.9496543532214</v>
      </c>
      <c r="R3177" s="4">
        <f t="shared" ca="1" si="281"/>
        <v>-20.720389646778585</v>
      </c>
      <c r="S3177" s="4">
        <f t="shared" ca="1" si="282"/>
        <v>-10.314095311783252</v>
      </c>
    </row>
    <row r="3178" spans="15:19" x14ac:dyDescent="0.2">
      <c r="O3178" s="4">
        <f t="shared" ca="1" si="278"/>
        <v>0.79797954210399835</v>
      </c>
      <c r="P3178" s="4">
        <f t="shared" ca="1" si="279"/>
        <v>0.83442609805947643</v>
      </c>
      <c r="Q3178" s="4">
        <f t="shared" ca="1" si="280"/>
        <v>1897.9853825708863</v>
      </c>
      <c r="R3178" s="4">
        <f t="shared" ca="1" si="281"/>
        <v>-25.684661429113703</v>
      </c>
      <c r="S3178" s="4">
        <f t="shared" ca="1" si="282"/>
        <v>-12.733282879985346</v>
      </c>
    </row>
    <row r="3179" spans="15:19" x14ac:dyDescent="0.2">
      <c r="O3179" s="4">
        <f t="shared" ca="1" si="278"/>
        <v>0.69201069910280888</v>
      </c>
      <c r="P3179" s="4">
        <f t="shared" ca="1" si="279"/>
        <v>0.50155781200099014</v>
      </c>
      <c r="Q3179" s="4">
        <f t="shared" ca="1" si="280"/>
        <v>1908.0696125180104</v>
      </c>
      <c r="R3179" s="4">
        <f t="shared" ca="1" si="281"/>
        <v>-15.600431481989517</v>
      </c>
      <c r="S3179" s="4">
        <f t="shared" ca="1" si="282"/>
        <v>-7.7980213740218502</v>
      </c>
    </row>
    <row r="3180" spans="15:19" x14ac:dyDescent="0.2">
      <c r="O3180" s="4">
        <f t="shared" ca="1" si="278"/>
        <v>0.39698367406996493</v>
      </c>
      <c r="P3180" s="4">
        <f t="shared" ca="1" si="279"/>
        <v>-0.26116230201515711</v>
      </c>
      <c r="Q3180" s="4">
        <f t="shared" ca="1" si="280"/>
        <v>1931.1761845081223</v>
      </c>
      <c r="R3180" s="4">
        <f t="shared" ca="1" si="281"/>
        <v>7.5061405081223711</v>
      </c>
      <c r="S3180" s="4">
        <f t="shared" ca="1" si="282"/>
        <v>3.8226170006227091</v>
      </c>
    </row>
    <row r="3181" spans="15:19" x14ac:dyDescent="0.2">
      <c r="O3181" s="4">
        <f t="shared" ca="1" si="278"/>
        <v>3.3149542666894294E-2</v>
      </c>
      <c r="P3181" s="4">
        <f t="shared" ca="1" si="279"/>
        <v>-1.836396171888111</v>
      </c>
      <c r="Q3181" s="4">
        <f t="shared" ca="1" si="280"/>
        <v>1978.8978246571212</v>
      </c>
      <c r="R3181" s="4">
        <f t="shared" ca="1" si="281"/>
        <v>55.22778065712123</v>
      </c>
      <c r="S3181" s="4">
        <f t="shared" ca="1" si="282"/>
        <v>29.198448522283506</v>
      </c>
    </row>
    <row r="3182" spans="15:19" x14ac:dyDescent="0.2">
      <c r="O3182" s="4">
        <f t="shared" ca="1" si="278"/>
        <v>0.12261040045942373</v>
      </c>
      <c r="P3182" s="4">
        <f t="shared" ca="1" si="279"/>
        <v>-1.162036101368686</v>
      </c>
      <c r="Q3182" s="4">
        <f t="shared" ca="1" si="280"/>
        <v>1958.4681162616453</v>
      </c>
      <c r="R3182" s="4">
        <f t="shared" ca="1" si="281"/>
        <v>34.798072261645302</v>
      </c>
      <c r="S3182" s="4">
        <f t="shared" ca="1" si="282"/>
        <v>18.108047522597069</v>
      </c>
    </row>
    <row r="3183" spans="15:19" x14ac:dyDescent="0.2">
      <c r="O3183" s="4">
        <f t="shared" ca="1" si="278"/>
        <v>0.5484713402824013</v>
      </c>
      <c r="P3183" s="4">
        <f t="shared" ca="1" si="279"/>
        <v>0.12180011934009889</v>
      </c>
      <c r="Q3183" s="4">
        <f t="shared" ca="1" si="280"/>
        <v>1919.5743549563117</v>
      </c>
      <c r="R3183" s="4">
        <f t="shared" ca="1" si="281"/>
        <v>-4.0956890436882532</v>
      </c>
      <c r="S3183" s="4">
        <f t="shared" ca="1" si="282"/>
        <v>-2.0664494593849887</v>
      </c>
    </row>
    <row r="3184" spans="15:19" x14ac:dyDescent="0.2">
      <c r="O3184" s="4">
        <f t="shared" ca="1" si="278"/>
        <v>0.85116782061462304</v>
      </c>
      <c r="P3184" s="4">
        <f t="shared" ca="1" si="279"/>
        <v>1.0414551488226313</v>
      </c>
      <c r="Q3184" s="4">
        <f t="shared" ca="1" si="280"/>
        <v>1891.7134466698985</v>
      </c>
      <c r="R3184" s="4">
        <f t="shared" ca="1" si="281"/>
        <v>-31.956597330101431</v>
      </c>
      <c r="S3184" s="4">
        <f t="shared" ca="1" si="282"/>
        <v>-15.761033671402869</v>
      </c>
    </row>
    <row r="3185" spans="15:19" x14ac:dyDescent="0.2">
      <c r="O3185" s="4">
        <f t="shared" ca="1" si="278"/>
        <v>0.48024381489286949</v>
      </c>
      <c r="P3185" s="4">
        <f t="shared" ca="1" si="279"/>
        <v>-4.9541670386542842E-2</v>
      </c>
      <c r="Q3185" s="4">
        <f t="shared" ca="1" si="280"/>
        <v>1924.7651468686772</v>
      </c>
      <c r="R3185" s="4">
        <f t="shared" ca="1" si="281"/>
        <v>1.0951028686772588</v>
      </c>
      <c r="S3185" s="4">
        <f t="shared" ca="1" si="282"/>
        <v>0.55483997644171024</v>
      </c>
    </row>
    <row r="3186" spans="15:19" x14ac:dyDescent="0.2">
      <c r="O3186" s="4">
        <f t="shared" ca="1" si="278"/>
        <v>0.94907924662906973</v>
      </c>
      <c r="P3186" s="4">
        <f t="shared" ca="1" si="279"/>
        <v>1.6359908292760466</v>
      </c>
      <c r="Q3186" s="4">
        <f t="shared" ca="1" si="280"/>
        <v>1873.7020146273494</v>
      </c>
      <c r="R3186" s="4">
        <f t="shared" ca="1" si="281"/>
        <v>-49.968029372650562</v>
      </c>
      <c r="S3186" s="4">
        <f t="shared" ca="1" si="282"/>
        <v>-24.277933846008615</v>
      </c>
    </row>
    <row r="3187" spans="15:19" x14ac:dyDescent="0.2">
      <c r="O3187" s="4">
        <f t="shared" ca="1" si="278"/>
        <v>0.91369278189054526</v>
      </c>
      <c r="P3187" s="4">
        <f t="shared" ca="1" si="279"/>
        <v>1.3638510921986473</v>
      </c>
      <c r="Q3187" s="4">
        <f t="shared" ca="1" si="280"/>
        <v>1881.9464758793783</v>
      </c>
      <c r="R3187" s="4">
        <f t="shared" ca="1" si="281"/>
        <v>-41.723568120621621</v>
      </c>
      <c r="S3187" s="4">
        <f t="shared" ca="1" si="282"/>
        <v>-20.412229901380687</v>
      </c>
    </row>
    <row r="3188" spans="15:19" x14ac:dyDescent="0.2">
      <c r="O3188" s="4">
        <f t="shared" ca="1" si="278"/>
        <v>0.41181764077573235</v>
      </c>
      <c r="P3188" s="4">
        <f t="shared" ca="1" si="279"/>
        <v>-0.22287180408302859</v>
      </c>
      <c r="Q3188" s="4">
        <f t="shared" ca="1" si="280"/>
        <v>1930.0161755733279</v>
      </c>
      <c r="R3188" s="4">
        <f t="shared" ca="1" si="281"/>
        <v>6.3461315733279662</v>
      </c>
      <c r="S3188" s="4">
        <f t="shared" ca="1" si="282"/>
        <v>3.2288680182119753</v>
      </c>
    </row>
    <row r="3189" spans="15:19" x14ac:dyDescent="0.2">
      <c r="O3189" s="4">
        <f t="shared" ca="1" si="278"/>
        <v>0.70926964928483305</v>
      </c>
      <c r="P3189" s="4">
        <f t="shared" ca="1" si="279"/>
        <v>0.5512523451208432</v>
      </c>
      <c r="Q3189" s="4">
        <f t="shared" ca="1" si="280"/>
        <v>1906.5641188435318</v>
      </c>
      <c r="R3189" s="4">
        <f t="shared" ca="1" si="281"/>
        <v>-17.105925156468174</v>
      </c>
      <c r="S3189" s="4">
        <f t="shared" ca="1" si="282"/>
        <v>-8.5400732498855909</v>
      </c>
    </row>
    <row r="3190" spans="15:19" x14ac:dyDescent="0.2">
      <c r="O3190" s="4">
        <f t="shared" ca="1" si="278"/>
        <v>4.9056310198183795E-2</v>
      </c>
      <c r="P3190" s="4">
        <f t="shared" ca="1" si="279"/>
        <v>-1.6540732995825094</v>
      </c>
      <c r="Q3190" s="4">
        <f t="shared" ca="1" si="280"/>
        <v>1973.3743613355755</v>
      </c>
      <c r="R3190" s="4">
        <f t="shared" ca="1" si="281"/>
        <v>49.704317335575524</v>
      </c>
      <c r="S3190" s="4">
        <f t="shared" ca="1" si="282"/>
        <v>26.166484606703889</v>
      </c>
    </row>
    <row r="3191" spans="15:19" x14ac:dyDescent="0.2">
      <c r="O3191" s="4">
        <f t="shared" ca="1" si="278"/>
        <v>2.899712832403567E-2</v>
      </c>
      <c r="P3191" s="4">
        <f t="shared" ca="1" si="279"/>
        <v>-1.895741334902566</v>
      </c>
      <c r="Q3191" s="4">
        <f t="shared" ca="1" si="280"/>
        <v>1980.6956837357782</v>
      </c>
      <c r="R3191" s="4">
        <f t="shared" ca="1" si="281"/>
        <v>57.025639735778213</v>
      </c>
      <c r="S3191" s="4">
        <f t="shared" ca="1" si="282"/>
        <v>30.190695411810086</v>
      </c>
    </row>
    <row r="3192" spans="15:19" x14ac:dyDescent="0.2">
      <c r="O3192" s="4">
        <f t="shared" ca="1" si="278"/>
        <v>0.86816409963397345</v>
      </c>
      <c r="P3192" s="4">
        <f t="shared" ca="1" si="279"/>
        <v>1.117754636630049</v>
      </c>
      <c r="Q3192" s="4">
        <f t="shared" ca="1" si="280"/>
        <v>1889.4019570743935</v>
      </c>
      <c r="R3192" s="4">
        <f t="shared" ca="1" si="281"/>
        <v>-34.26808692560644</v>
      </c>
      <c r="S3192" s="4">
        <f t="shared" ca="1" si="282"/>
        <v>-16.868819137426545</v>
      </c>
    </row>
    <row r="3193" spans="15:19" x14ac:dyDescent="0.2">
      <c r="O3193" s="4">
        <f t="shared" ca="1" si="278"/>
        <v>0.86742758079175242</v>
      </c>
      <c r="P3193" s="4">
        <f t="shared" ca="1" si="279"/>
        <v>1.1143132178738502</v>
      </c>
      <c r="Q3193" s="4">
        <f t="shared" ca="1" si="280"/>
        <v>1889.5062147028168</v>
      </c>
      <c r="R3193" s="4">
        <f t="shared" ca="1" si="281"/>
        <v>-34.163829297183156</v>
      </c>
      <c r="S3193" s="4">
        <f t="shared" ca="1" si="282"/>
        <v>-16.818947160182052</v>
      </c>
    </row>
    <row r="3194" spans="15:19" x14ac:dyDescent="0.2">
      <c r="O3194" s="4">
        <f t="shared" ca="1" si="278"/>
        <v>0.49303556790272818</v>
      </c>
      <c r="P3194" s="4">
        <f t="shared" ca="1" si="279"/>
        <v>-1.7458129204255535E-2</v>
      </c>
      <c r="Q3194" s="4">
        <f t="shared" ca="1" si="280"/>
        <v>1923.7931774130366</v>
      </c>
      <c r="R3194" s="4">
        <f t="shared" ca="1" si="281"/>
        <v>0.12313341303661218</v>
      </c>
      <c r="S3194" s="4">
        <f t="shared" ca="1" si="282"/>
        <v>6.2337511676685234E-2</v>
      </c>
    </row>
    <row r="3195" spans="15:19" x14ac:dyDescent="0.2">
      <c r="O3195" s="4">
        <f t="shared" ca="1" si="278"/>
        <v>0.98025967293319083</v>
      </c>
      <c r="P3195" s="4">
        <f t="shared" ca="1" si="279"/>
        <v>2.0591418253725422</v>
      </c>
      <c r="Q3195" s="4">
        <f t="shared" ca="1" si="280"/>
        <v>1860.8826739880856</v>
      </c>
      <c r="R3195" s="4">
        <f t="shared" ca="1" si="281"/>
        <v>-62.78737001191439</v>
      </c>
      <c r="S3195" s="4">
        <f t="shared" ca="1" si="282"/>
        <v>-30.178811480942585</v>
      </c>
    </row>
    <row r="3196" spans="15:19" x14ac:dyDescent="0.2">
      <c r="O3196" s="4">
        <f t="shared" ca="1" si="278"/>
        <v>0.234812066572754</v>
      </c>
      <c r="P3196" s="4">
        <f t="shared" ca="1" si="279"/>
        <v>-0.72309074787243677</v>
      </c>
      <c r="Q3196" s="4">
        <f t="shared" ca="1" si="280"/>
        <v>1945.1702862662096</v>
      </c>
      <c r="R3196" s="4">
        <f t="shared" ca="1" si="281"/>
        <v>21.500242266209625</v>
      </c>
      <c r="S3196" s="4">
        <f t="shared" ca="1" si="282"/>
        <v>11.071805218235815</v>
      </c>
    </row>
    <row r="3197" spans="15:19" x14ac:dyDescent="0.2">
      <c r="O3197" s="4">
        <f t="shared" ca="1" si="278"/>
        <v>0.72728847468405788</v>
      </c>
      <c r="P3197" s="4">
        <f t="shared" ca="1" si="279"/>
        <v>0.60463273560395059</v>
      </c>
      <c r="Q3197" s="4">
        <f t="shared" ca="1" si="280"/>
        <v>1904.9469622838819</v>
      </c>
      <c r="R3197" s="4">
        <f t="shared" ca="1" si="281"/>
        <v>-18.723081716118031</v>
      </c>
      <c r="S3197" s="4">
        <f t="shared" ca="1" si="282"/>
        <v>-9.3351076960696648</v>
      </c>
    </row>
    <row r="3198" spans="15:19" x14ac:dyDescent="0.2">
      <c r="O3198" s="4">
        <f t="shared" ca="1" si="278"/>
        <v>0.79884302706202381</v>
      </c>
      <c r="P3198" s="4">
        <f t="shared" ca="1" si="279"/>
        <v>0.83749578381783008</v>
      </c>
      <c r="Q3198" s="4">
        <f t="shared" ca="1" si="280"/>
        <v>1897.8923865771278</v>
      </c>
      <c r="R3198" s="4">
        <f t="shared" ca="1" si="281"/>
        <v>-25.777657422872153</v>
      </c>
      <c r="S3198" s="4">
        <f t="shared" ca="1" si="282"/>
        <v>-12.778410215293581</v>
      </c>
    </row>
    <row r="3199" spans="15:19" x14ac:dyDescent="0.2">
      <c r="O3199" s="4">
        <f t="shared" ca="1" si="278"/>
        <v>0.52544059605728621</v>
      </c>
      <c r="P3199" s="4">
        <f t="shared" ca="1" si="279"/>
        <v>6.3813400583182689E-2</v>
      </c>
      <c r="Q3199" s="4">
        <f t="shared" ca="1" si="280"/>
        <v>1921.3310600265006</v>
      </c>
      <c r="R3199" s="4">
        <f t="shared" ca="1" si="281"/>
        <v>-2.3389839734993529</v>
      </c>
      <c r="S3199" s="4">
        <f t="shared" ca="1" si="282"/>
        <v>-1.1817895844554147</v>
      </c>
    </row>
    <row r="3200" spans="15:19" x14ac:dyDescent="0.2">
      <c r="O3200" s="4">
        <f t="shared" ca="1" si="278"/>
        <v>0.32062790877580005</v>
      </c>
      <c r="P3200" s="4">
        <f t="shared" ca="1" si="279"/>
        <v>-0.46594367551262839</v>
      </c>
      <c r="Q3200" s="4">
        <f t="shared" ca="1" si="280"/>
        <v>1937.3800271261409</v>
      </c>
      <c r="R3200" s="4">
        <f t="shared" ca="1" si="281"/>
        <v>13.709983126140969</v>
      </c>
      <c r="S3200" s="4">
        <f t="shared" ca="1" si="282"/>
        <v>7.0166419587501512</v>
      </c>
    </row>
    <row r="3201" spans="15:19" x14ac:dyDescent="0.2">
      <c r="O3201" s="4">
        <f t="shared" ca="1" si="278"/>
        <v>0.41071924178947095</v>
      </c>
      <c r="P3201" s="4">
        <f t="shared" ca="1" si="279"/>
        <v>-0.22569521033554141</v>
      </c>
      <c r="Q3201" s="4">
        <f t="shared" ca="1" si="280"/>
        <v>1930.1017105403919</v>
      </c>
      <c r="R3201" s="4">
        <f t="shared" ca="1" si="281"/>
        <v>6.431666540391916</v>
      </c>
      <c r="S3201" s="4">
        <f t="shared" ca="1" si="282"/>
        <v>3.2726115620629326</v>
      </c>
    </row>
    <row r="3202" spans="15:19" x14ac:dyDescent="0.2">
      <c r="O3202" s="4">
        <f t="shared" ca="1" si="278"/>
        <v>0.46067606351393542</v>
      </c>
      <c r="P3202" s="4">
        <f t="shared" ca="1" si="279"/>
        <v>-9.8730656979005599E-2</v>
      </c>
      <c r="Q3202" s="4">
        <f t="shared" ca="1" si="280"/>
        <v>1926.2553250335541</v>
      </c>
      <c r="R3202" s="4">
        <f t="shared" ca="1" si="281"/>
        <v>2.5852810335541108</v>
      </c>
      <c r="S3202" s="4">
        <f t="shared" ca="1" si="282"/>
        <v>1.3114153014060184</v>
      </c>
    </row>
    <row r="3203" spans="15:19" x14ac:dyDescent="0.2">
      <c r="O3203" s="4">
        <f t="shared" ref="O3203:O3266" ca="1" si="283">RAND()</f>
        <v>0.7215093982624815</v>
      </c>
      <c r="P3203" s="4">
        <f t="shared" ref="P3203:P3266" ca="1" si="284">NORMSINV(O3203)</f>
        <v>0.58733132997458548</v>
      </c>
      <c r="Q3203" s="4">
        <f t="shared" ref="Q3203:Q3266" ca="1" si="285">$B$4*(1+$B$17-$B$6/SQRT(252)*P3203)</f>
        <v>1905.4711075992584</v>
      </c>
      <c r="R3203" s="4">
        <f t="shared" ref="R3203:R3266" ca="1" si="286">Q3203-$B$4</f>
        <v>-18.198936400741559</v>
      </c>
      <c r="S3203" s="4">
        <f t="shared" ref="S3203:S3266" ca="1" si="287">R3203*$B$12+0.5*$B$13*R3203^2</f>
        <v>-9.0776580118153412</v>
      </c>
    </row>
    <row r="3204" spans="15:19" x14ac:dyDescent="0.2">
      <c r="O3204" s="4">
        <f t="shared" ca="1" si="283"/>
        <v>0.81330942967848241</v>
      </c>
      <c r="P3204" s="4">
        <f t="shared" ca="1" si="284"/>
        <v>0.89015783709083474</v>
      </c>
      <c r="Q3204" s="4">
        <f t="shared" ca="1" si="285"/>
        <v>1896.2969920113644</v>
      </c>
      <c r="R3204" s="4">
        <f t="shared" ca="1" si="286"/>
        <v>-27.373051988635552</v>
      </c>
      <c r="S3204" s="4">
        <f t="shared" ca="1" si="287"/>
        <v>-13.551496585477022</v>
      </c>
    </row>
    <row r="3205" spans="15:19" x14ac:dyDescent="0.2">
      <c r="O3205" s="4">
        <f t="shared" ca="1" si="283"/>
        <v>0.51938302730533692</v>
      </c>
      <c r="P3205" s="4">
        <f t="shared" ca="1" si="284"/>
        <v>4.8605175500303667E-2</v>
      </c>
      <c r="Q3205" s="4">
        <f t="shared" ca="1" si="285"/>
        <v>1921.7917925301565</v>
      </c>
      <c r="R3205" s="4">
        <f t="shared" ca="1" si="286"/>
        <v>-1.8782514698434625</v>
      </c>
      <c r="S3205" s="4">
        <f t="shared" ca="1" si="287"/>
        <v>-0.9493532208801323</v>
      </c>
    </row>
    <row r="3206" spans="15:19" x14ac:dyDescent="0.2">
      <c r="O3206" s="4">
        <f t="shared" ca="1" si="283"/>
        <v>0.58133046839346203</v>
      </c>
      <c r="P3206" s="4">
        <f t="shared" ca="1" si="284"/>
        <v>0.2052983114724751</v>
      </c>
      <c r="Q3206" s="4">
        <f t="shared" ca="1" si="285"/>
        <v>1917.0447809328975</v>
      </c>
      <c r="R3206" s="4">
        <f t="shared" ca="1" si="286"/>
        <v>-6.6252630671024235</v>
      </c>
      <c r="S3206" s="4">
        <f t="shared" ca="1" si="287"/>
        <v>-3.3359051167323788</v>
      </c>
    </row>
    <row r="3207" spans="15:19" x14ac:dyDescent="0.2">
      <c r="O3207" s="4">
        <f t="shared" ca="1" si="283"/>
        <v>5.1234282969456313E-2</v>
      </c>
      <c r="P3207" s="4">
        <f t="shared" ca="1" si="284"/>
        <v>-1.6330020479985941</v>
      </c>
      <c r="Q3207" s="4">
        <f t="shared" ca="1" si="285"/>
        <v>1972.7360087043835</v>
      </c>
      <c r="R3207" s="4">
        <f t="shared" ca="1" si="286"/>
        <v>49.065964704383532</v>
      </c>
      <c r="S3207" s="4">
        <f t="shared" ca="1" si="287"/>
        <v>25.817678427834341</v>
      </c>
    </row>
    <row r="3208" spans="15:19" x14ac:dyDescent="0.2">
      <c r="O3208" s="4">
        <f t="shared" ca="1" si="283"/>
        <v>0.80432110647194033</v>
      </c>
      <c r="P3208" s="4">
        <f t="shared" ca="1" si="284"/>
        <v>0.8571576082195882</v>
      </c>
      <c r="Q3208" s="4">
        <f t="shared" ca="1" si="285"/>
        <v>1897.2967324798419</v>
      </c>
      <c r="R3208" s="4">
        <f t="shared" ca="1" si="286"/>
        <v>-26.37331152015804</v>
      </c>
      <c r="S3208" s="4">
        <f t="shared" ca="1" si="287"/>
        <v>-13.067290980391775</v>
      </c>
    </row>
    <row r="3209" spans="15:19" x14ac:dyDescent="0.2">
      <c r="O3209" s="4">
        <f t="shared" ca="1" si="283"/>
        <v>1.9979671307218672E-3</v>
      </c>
      <c r="P3209" s="4">
        <f t="shared" ca="1" si="284"/>
        <v>-2.8784825192059071</v>
      </c>
      <c r="Q3209" s="4">
        <f t="shared" ca="1" si="285"/>
        <v>2010.4677842815263</v>
      </c>
      <c r="R3209" s="4">
        <f t="shared" ca="1" si="286"/>
        <v>86.79774028152633</v>
      </c>
      <c r="S3209" s="4">
        <f t="shared" ca="1" si="287"/>
        <v>47.004663863504227</v>
      </c>
    </row>
    <row r="3210" spans="15:19" x14ac:dyDescent="0.2">
      <c r="O3210" s="4">
        <f t="shared" ca="1" si="283"/>
        <v>0.34532513259104369</v>
      </c>
      <c r="P3210" s="4">
        <f t="shared" ca="1" si="284"/>
        <v>-0.39797276006546362</v>
      </c>
      <c r="Q3210" s="4">
        <f t="shared" ca="1" si="285"/>
        <v>1935.3208512605092</v>
      </c>
      <c r="R3210" s="4">
        <f t="shared" ca="1" si="286"/>
        <v>11.650807260509282</v>
      </c>
      <c r="S3210" s="4">
        <f t="shared" ca="1" si="287"/>
        <v>5.9530088637141674</v>
      </c>
    </row>
    <row r="3211" spans="15:19" x14ac:dyDescent="0.2">
      <c r="O3211" s="4">
        <f t="shared" ca="1" si="283"/>
        <v>0.47408700483367594</v>
      </c>
      <c r="P3211" s="4">
        <f t="shared" ca="1" si="284"/>
        <v>-6.4999988179992613E-2</v>
      </c>
      <c r="Q3211" s="4">
        <f t="shared" ca="1" si="285"/>
        <v>1925.2334559198957</v>
      </c>
      <c r="R3211" s="4">
        <f t="shared" ca="1" si="286"/>
        <v>1.5634119198957706</v>
      </c>
      <c r="S3211" s="4">
        <f t="shared" ca="1" si="287"/>
        <v>0.79240940905897073</v>
      </c>
    </row>
    <row r="3212" spans="15:19" x14ac:dyDescent="0.2">
      <c r="O3212" s="4">
        <f t="shared" ca="1" si="283"/>
        <v>0.80580140938870548</v>
      </c>
      <c r="P3212" s="4">
        <f t="shared" ca="1" si="284"/>
        <v>0.8625277284303341</v>
      </c>
      <c r="Q3212" s="4">
        <f t="shared" ca="1" si="285"/>
        <v>1897.1340449264853</v>
      </c>
      <c r="R3212" s="4">
        <f t="shared" ca="1" si="286"/>
        <v>-26.535999073514631</v>
      </c>
      <c r="S3212" s="4">
        <f t="shared" ca="1" si="287"/>
        <v>-13.146141089216565</v>
      </c>
    </row>
    <row r="3213" spans="15:19" x14ac:dyDescent="0.2">
      <c r="O3213" s="4">
        <f t="shared" ca="1" si="283"/>
        <v>0.46656113614382766</v>
      </c>
      <c r="P3213" s="4">
        <f t="shared" ca="1" si="284"/>
        <v>-8.3917189795458397E-2</v>
      </c>
      <c r="Q3213" s="4">
        <f t="shared" ca="1" si="285"/>
        <v>1925.8065517029318</v>
      </c>
      <c r="R3213" s="4">
        <f t="shared" ca="1" si="286"/>
        <v>2.1365077029317945</v>
      </c>
      <c r="S3213" s="4">
        <f t="shared" ca="1" si="287"/>
        <v>1.0833792608293329</v>
      </c>
    </row>
    <row r="3214" spans="15:19" x14ac:dyDescent="0.2">
      <c r="O3214" s="4">
        <f t="shared" ca="1" si="283"/>
        <v>0.17615243391210667</v>
      </c>
      <c r="P3214" s="4">
        <f t="shared" ca="1" si="284"/>
        <v>-0.93012789799286411</v>
      </c>
      <c r="Q3214" s="4">
        <f t="shared" ca="1" si="285"/>
        <v>1951.4424675368664</v>
      </c>
      <c r="R3214" s="4">
        <f t="shared" ca="1" si="286"/>
        <v>27.772423536866427</v>
      </c>
      <c r="S3214" s="4">
        <f t="shared" ca="1" si="287"/>
        <v>14.372648373159155</v>
      </c>
    </row>
    <row r="3215" spans="15:19" x14ac:dyDescent="0.2">
      <c r="O3215" s="4">
        <f t="shared" ca="1" si="283"/>
        <v>3.1645522821609262E-2</v>
      </c>
      <c r="P3215" s="4">
        <f t="shared" ca="1" si="284"/>
        <v>-1.857141356731842</v>
      </c>
      <c r="Q3215" s="4">
        <f t="shared" ca="1" si="285"/>
        <v>1979.5262991108966</v>
      </c>
      <c r="R3215" s="4">
        <f t="shared" ca="1" si="286"/>
        <v>55.856255110896655</v>
      </c>
      <c r="S3215" s="4">
        <f t="shared" ca="1" si="287"/>
        <v>29.545007365353513</v>
      </c>
    </row>
    <row r="3216" spans="15:19" x14ac:dyDescent="0.2">
      <c r="O3216" s="4">
        <f t="shared" ca="1" si="283"/>
        <v>0.52182764504944479</v>
      </c>
      <c r="P3216" s="4">
        <f t="shared" ca="1" si="284"/>
        <v>5.4741119415078442E-2</v>
      </c>
      <c r="Q3216" s="4">
        <f t="shared" ca="1" si="285"/>
        <v>1921.6059043816879</v>
      </c>
      <c r="R3216" s="4">
        <f t="shared" ca="1" si="286"/>
        <v>-2.0641396183120833</v>
      </c>
      <c r="S3216" s="4">
        <f t="shared" ca="1" si="287"/>
        <v>-1.0431533042417143</v>
      </c>
    </row>
    <row r="3217" spans="15:19" x14ac:dyDescent="0.2">
      <c r="O3217" s="4">
        <f t="shared" ca="1" si="283"/>
        <v>0.57427572984176822</v>
      </c>
      <c r="P3217" s="4">
        <f t="shared" ca="1" si="284"/>
        <v>0.1872705141115697</v>
      </c>
      <c r="Q3217" s="4">
        <f t="shared" ca="1" si="285"/>
        <v>1917.5909322535299</v>
      </c>
      <c r="R3217" s="4">
        <f t="shared" ca="1" si="286"/>
        <v>-6.0791117464700619</v>
      </c>
      <c r="S3217" s="4">
        <f t="shared" ca="1" si="287"/>
        <v>-3.0622624230617062</v>
      </c>
    </row>
    <row r="3218" spans="15:19" x14ac:dyDescent="0.2">
      <c r="O3218" s="4">
        <f t="shared" ca="1" si="283"/>
        <v>0.35706445755579586</v>
      </c>
      <c r="P3218" s="4">
        <f t="shared" ca="1" si="284"/>
        <v>-0.36631650491756262</v>
      </c>
      <c r="Q3218" s="4">
        <f t="shared" ca="1" si="285"/>
        <v>1934.3618264163094</v>
      </c>
      <c r="R3218" s="4">
        <f t="shared" ca="1" si="286"/>
        <v>10.691782416309479</v>
      </c>
      <c r="S3218" s="4">
        <f t="shared" ca="1" si="287"/>
        <v>5.4588187815923614</v>
      </c>
    </row>
    <row r="3219" spans="15:19" x14ac:dyDescent="0.2">
      <c r="O3219" s="4">
        <f t="shared" ca="1" si="283"/>
        <v>0.6388760715289471</v>
      </c>
      <c r="P3219" s="4">
        <f t="shared" ca="1" si="284"/>
        <v>0.35545619409572937</v>
      </c>
      <c r="Q3219" s="4">
        <f t="shared" ca="1" si="285"/>
        <v>1912.4957545456853</v>
      </c>
      <c r="R3219" s="4">
        <f t="shared" ca="1" si="286"/>
        <v>-11.174289454314703</v>
      </c>
      <c r="S3219" s="4">
        <f t="shared" ca="1" si="287"/>
        <v>-5.6057061778923227</v>
      </c>
    </row>
    <row r="3220" spans="15:19" x14ac:dyDescent="0.2">
      <c r="O3220" s="4">
        <f t="shared" ca="1" si="283"/>
        <v>0.65832191124083517</v>
      </c>
      <c r="P3220" s="4">
        <f t="shared" ca="1" si="284"/>
        <v>0.40788762624257785</v>
      </c>
      <c r="Q3220" s="4">
        <f t="shared" ca="1" si="285"/>
        <v>1910.9073466366992</v>
      </c>
      <c r="R3220" s="4">
        <f t="shared" ca="1" si="286"/>
        <v>-12.762697363300731</v>
      </c>
      <c r="S3220" s="4">
        <f t="shared" ca="1" si="287"/>
        <v>-6.3942963560807948</v>
      </c>
    </row>
    <row r="3221" spans="15:19" x14ac:dyDescent="0.2">
      <c r="O3221" s="4">
        <f t="shared" ca="1" si="283"/>
        <v>1.1558609079929894E-2</v>
      </c>
      <c r="P3221" s="4">
        <f t="shared" ca="1" si="284"/>
        <v>-2.2714918768926147</v>
      </c>
      <c r="Q3221" s="4">
        <f t="shared" ca="1" si="285"/>
        <v>1992.07902972242</v>
      </c>
      <c r="R3221" s="4">
        <f t="shared" ca="1" si="286"/>
        <v>68.408985722420084</v>
      </c>
      <c r="S3221" s="4">
        <f t="shared" ca="1" si="287"/>
        <v>36.534296850396352</v>
      </c>
    </row>
    <row r="3222" spans="15:19" x14ac:dyDescent="0.2">
      <c r="O3222" s="4">
        <f t="shared" ca="1" si="283"/>
        <v>0.56384149006117856</v>
      </c>
      <c r="P3222" s="4">
        <f t="shared" ca="1" si="284"/>
        <v>0.16071608531712436</v>
      </c>
      <c r="Q3222" s="4">
        <f t="shared" ca="1" si="285"/>
        <v>1918.3953974948677</v>
      </c>
      <c r="R3222" s="4">
        <f t="shared" ca="1" si="286"/>
        <v>-5.2746465051322957</v>
      </c>
      <c r="S3222" s="4">
        <f t="shared" ca="1" si="287"/>
        <v>-2.6587522879987722</v>
      </c>
    </row>
    <row r="3223" spans="15:19" x14ac:dyDescent="0.2">
      <c r="O3223" s="4">
        <f t="shared" ca="1" si="283"/>
        <v>0.28011992546093811</v>
      </c>
      <c r="P3223" s="4">
        <f t="shared" ca="1" si="284"/>
        <v>-0.58248528416265788</v>
      </c>
      <c r="Q3223" s="4">
        <f t="shared" ca="1" si="285"/>
        <v>1940.9106499858633</v>
      </c>
      <c r="R3223" s="4">
        <f t="shared" ca="1" si="286"/>
        <v>17.24060598586334</v>
      </c>
      <c r="S3223" s="4">
        <f t="shared" ca="1" si="287"/>
        <v>8.8483602640690133</v>
      </c>
    </row>
    <row r="3224" spans="15:19" x14ac:dyDescent="0.2">
      <c r="O3224" s="4">
        <f t="shared" ca="1" si="283"/>
        <v>0.14706006446076603</v>
      </c>
      <c r="P3224" s="4">
        <f t="shared" ca="1" si="284"/>
        <v>-1.0491260047783266</v>
      </c>
      <c r="Q3224" s="4">
        <f t="shared" ca="1" si="285"/>
        <v>1955.0475098985353</v>
      </c>
      <c r="R3224" s="4">
        <f t="shared" ca="1" si="286"/>
        <v>31.37746589853532</v>
      </c>
      <c r="S3224" s="4">
        <f t="shared" ca="1" si="287"/>
        <v>16.284358697072431</v>
      </c>
    </row>
    <row r="3225" spans="15:19" x14ac:dyDescent="0.2">
      <c r="O3225" s="4">
        <f t="shared" ca="1" si="283"/>
        <v>0.961136263566442</v>
      </c>
      <c r="P3225" s="4">
        <f t="shared" ca="1" si="284"/>
        <v>1.7640267663429012</v>
      </c>
      <c r="Q3225" s="4">
        <f t="shared" ca="1" si="285"/>
        <v>1869.8231715985762</v>
      </c>
      <c r="R3225" s="4">
        <f t="shared" ca="1" si="286"/>
        <v>-53.846872401423752</v>
      </c>
      <c r="S3225" s="4">
        <f t="shared" ca="1" si="287"/>
        <v>-26.077522848970709</v>
      </c>
    </row>
    <row r="3226" spans="15:19" x14ac:dyDescent="0.2">
      <c r="O3226" s="4">
        <f t="shared" ca="1" si="283"/>
        <v>0.48812759917136883</v>
      </c>
      <c r="P3226" s="4">
        <f t="shared" ca="1" si="284"/>
        <v>-2.9764089693853305E-2</v>
      </c>
      <c r="Q3226" s="4">
        <f t="shared" ca="1" si="285"/>
        <v>1924.1659859396966</v>
      </c>
      <c r="R3226" s="4">
        <f t="shared" ca="1" si="286"/>
        <v>0.49594193969664957</v>
      </c>
      <c r="S3226" s="4">
        <f t="shared" ca="1" si="287"/>
        <v>0.25115078967737625</v>
      </c>
    </row>
    <row r="3227" spans="15:19" x14ac:dyDescent="0.2">
      <c r="O3227" s="4">
        <f t="shared" ca="1" si="283"/>
        <v>0.49079582369376229</v>
      </c>
      <c r="P3227" s="4">
        <f t="shared" ca="1" si="284"/>
        <v>-2.307349574556147E-2</v>
      </c>
      <c r="Q3227" s="4">
        <f t="shared" ca="1" si="285"/>
        <v>1923.963294693089</v>
      </c>
      <c r="R3227" s="4">
        <f t="shared" ca="1" si="286"/>
        <v>0.2932506930890213</v>
      </c>
      <c r="S3227" s="4">
        <f t="shared" ca="1" si="287"/>
        <v>0.14848137951699064</v>
      </c>
    </row>
    <row r="3228" spans="15:19" x14ac:dyDescent="0.2">
      <c r="O3228" s="4">
        <f t="shared" ca="1" si="283"/>
        <v>0.46907878199186981</v>
      </c>
      <c r="P3228" s="4">
        <f t="shared" ca="1" si="284"/>
        <v>-7.7585767697978994E-2</v>
      </c>
      <c r="Q3228" s="4">
        <f t="shared" ca="1" si="285"/>
        <v>1925.614741551597</v>
      </c>
      <c r="R3228" s="4">
        <f t="shared" ca="1" si="286"/>
        <v>1.9446975515970735</v>
      </c>
      <c r="S3228" s="4">
        <f t="shared" ca="1" si="287"/>
        <v>0.98596442291516651</v>
      </c>
    </row>
    <row r="3229" spans="15:19" x14ac:dyDescent="0.2">
      <c r="O3229" s="4">
        <f t="shared" ca="1" si="283"/>
        <v>0.17953579338707315</v>
      </c>
      <c r="P3229" s="4">
        <f t="shared" ca="1" si="284"/>
        <v>-0.91713560266160132</v>
      </c>
      <c r="Q3229" s="4">
        <f t="shared" ca="1" si="285"/>
        <v>1951.0488665266505</v>
      </c>
      <c r="R3229" s="4">
        <f t="shared" ca="1" si="286"/>
        <v>27.378822526650538</v>
      </c>
      <c r="S3229" s="4">
        <f t="shared" ca="1" si="287"/>
        <v>14.164567196210401</v>
      </c>
    </row>
    <row r="3230" spans="15:19" x14ac:dyDescent="0.2">
      <c r="O3230" s="4">
        <f t="shared" ca="1" si="283"/>
        <v>0.36778705109637544</v>
      </c>
      <c r="P3230" s="4">
        <f t="shared" ca="1" si="284"/>
        <v>-0.33772013187646921</v>
      </c>
      <c r="Q3230" s="4">
        <f t="shared" ca="1" si="285"/>
        <v>1933.4955005646802</v>
      </c>
      <c r="R3230" s="4">
        <f t="shared" ca="1" si="286"/>
        <v>9.8254565646802803</v>
      </c>
      <c r="S3230" s="4">
        <f t="shared" ca="1" si="287"/>
        <v>5.0130406513421155</v>
      </c>
    </row>
    <row r="3231" spans="15:19" x14ac:dyDescent="0.2">
      <c r="O3231" s="4">
        <f t="shared" ca="1" si="283"/>
        <v>0.54724352009220123</v>
      </c>
      <c r="P3231" s="4">
        <f t="shared" ca="1" si="284"/>
        <v>0.11870009685051063</v>
      </c>
      <c r="Q3231" s="4">
        <f t="shared" ca="1" si="285"/>
        <v>1919.668269999996</v>
      </c>
      <c r="R3231" s="4">
        <f t="shared" ca="1" si="286"/>
        <v>-4.0017740000039339</v>
      </c>
      <c r="S3231" s="4">
        <f t="shared" ca="1" si="287"/>
        <v>-2.0192183097807144</v>
      </c>
    </row>
    <row r="3232" spans="15:19" x14ac:dyDescent="0.2">
      <c r="O3232" s="4">
        <f t="shared" ca="1" si="283"/>
        <v>0.89072161373073444</v>
      </c>
      <c r="P3232" s="4">
        <f t="shared" ca="1" si="284"/>
        <v>1.2303748347130872</v>
      </c>
      <c r="Q3232" s="4">
        <f t="shared" ca="1" si="285"/>
        <v>1885.9901331736914</v>
      </c>
      <c r="R3232" s="4">
        <f t="shared" ca="1" si="286"/>
        <v>-37.679910826308515</v>
      </c>
      <c r="S3232" s="4">
        <f t="shared" ca="1" si="287"/>
        <v>-18.495992944720882</v>
      </c>
    </row>
    <row r="3233" spans="15:19" x14ac:dyDescent="0.2">
      <c r="O3233" s="4">
        <f t="shared" ca="1" si="283"/>
        <v>0.25374558762960997</v>
      </c>
      <c r="P3233" s="4">
        <f t="shared" ca="1" si="284"/>
        <v>-0.66274922868783193</v>
      </c>
      <c r="Q3233" s="4">
        <f t="shared" ca="1" si="285"/>
        <v>1943.3422426216146</v>
      </c>
      <c r="R3233" s="4">
        <f t="shared" ca="1" si="286"/>
        <v>19.672198621614598</v>
      </c>
      <c r="S3233" s="4">
        <f t="shared" ca="1" si="287"/>
        <v>10.115793546859909</v>
      </c>
    </row>
    <row r="3234" spans="15:19" x14ac:dyDescent="0.2">
      <c r="O3234" s="4">
        <f t="shared" ca="1" si="283"/>
        <v>0.52750529457638573</v>
      </c>
      <c r="P3234" s="4">
        <f t="shared" ca="1" si="284"/>
        <v>6.9000262131856088E-2</v>
      </c>
      <c r="Q3234" s="4">
        <f t="shared" ca="1" si="285"/>
        <v>1921.173924286175</v>
      </c>
      <c r="R3234" s="4">
        <f t="shared" ca="1" si="286"/>
        <v>-2.49611971382501</v>
      </c>
      <c r="S3234" s="4">
        <f t="shared" ca="1" si="287"/>
        <v>-1.2610239573303483</v>
      </c>
    </row>
    <row r="3235" spans="15:19" x14ac:dyDescent="0.2">
      <c r="O3235" s="4">
        <f t="shared" ca="1" si="283"/>
        <v>0.97512348135578963</v>
      </c>
      <c r="P3235" s="4">
        <f t="shared" ca="1" si="284"/>
        <v>1.9620811489604157</v>
      </c>
      <c r="Q3235" s="4">
        <f t="shared" ca="1" si="285"/>
        <v>1863.8231228705945</v>
      </c>
      <c r="R3235" s="4">
        <f t="shared" ca="1" si="286"/>
        <v>-59.846921129405473</v>
      </c>
      <c r="S3235" s="4">
        <f t="shared" ca="1" si="287"/>
        <v>-28.837116562775048</v>
      </c>
    </row>
    <row r="3236" spans="15:19" x14ac:dyDescent="0.2">
      <c r="O3236" s="4">
        <f t="shared" ca="1" si="283"/>
        <v>0.29716642810450478</v>
      </c>
      <c r="P3236" s="4">
        <f t="shared" ca="1" si="284"/>
        <v>-0.53256771435950534</v>
      </c>
      <c r="Q3236" s="4">
        <f t="shared" ca="1" si="285"/>
        <v>1939.3983994249663</v>
      </c>
      <c r="R3236" s="4">
        <f t="shared" ca="1" si="286"/>
        <v>15.728355424966367</v>
      </c>
      <c r="S3236" s="4">
        <f t="shared" ca="1" si="287"/>
        <v>8.0625488329145529</v>
      </c>
    </row>
    <row r="3237" spans="15:19" x14ac:dyDescent="0.2">
      <c r="O3237" s="4">
        <f t="shared" ca="1" si="283"/>
        <v>0.8223432508492402</v>
      </c>
      <c r="P3237" s="4">
        <f t="shared" ca="1" si="284"/>
        <v>0.92433197804805056</v>
      </c>
      <c r="Q3237" s="4">
        <f t="shared" ca="1" si="285"/>
        <v>1895.261687928363</v>
      </c>
      <c r="R3237" s="4">
        <f t="shared" ca="1" si="286"/>
        <v>-28.408356071636945</v>
      </c>
      <c r="S3237" s="4">
        <f t="shared" ca="1" si="287"/>
        <v>-14.052069112317348</v>
      </c>
    </row>
    <row r="3238" spans="15:19" x14ac:dyDescent="0.2">
      <c r="O3238" s="4">
        <f t="shared" ca="1" si="283"/>
        <v>0.85608700161186113</v>
      </c>
      <c r="P3238" s="4">
        <f t="shared" ca="1" si="284"/>
        <v>1.0629028801250133</v>
      </c>
      <c r="Q3238" s="4">
        <f t="shared" ca="1" si="285"/>
        <v>1891.0636886023506</v>
      </c>
      <c r="R3238" s="4">
        <f t="shared" ca="1" si="286"/>
        <v>-32.606355397649395</v>
      </c>
      <c r="S3238" s="4">
        <f t="shared" ca="1" si="287"/>
        <v>-16.072870893618703</v>
      </c>
    </row>
    <row r="3239" spans="15:19" x14ac:dyDescent="0.2">
      <c r="O3239" s="4">
        <f t="shared" ca="1" si="283"/>
        <v>0.30815438073244328</v>
      </c>
      <c r="P3239" s="4">
        <f t="shared" ca="1" si="284"/>
        <v>-0.50108861147947237</v>
      </c>
      <c r="Q3239" s="4">
        <f t="shared" ca="1" si="285"/>
        <v>1938.4447414008564</v>
      </c>
      <c r="R3239" s="4">
        <f t="shared" ca="1" si="286"/>
        <v>14.774697400856439</v>
      </c>
      <c r="S3239" s="4">
        <f t="shared" ca="1" si="287"/>
        <v>7.5679563675768362</v>
      </c>
    </row>
    <row r="3240" spans="15:19" x14ac:dyDescent="0.2">
      <c r="O3240" s="4">
        <f t="shared" ca="1" si="283"/>
        <v>0.31297767609971783</v>
      </c>
      <c r="P3240" s="4">
        <f t="shared" ca="1" si="284"/>
        <v>-0.48742758053699942</v>
      </c>
      <c r="Q3240" s="4">
        <f t="shared" ca="1" si="285"/>
        <v>1938.0308810749905</v>
      </c>
      <c r="R3240" s="4">
        <f t="shared" ca="1" si="286"/>
        <v>14.360837074990513</v>
      </c>
      <c r="S3240" s="4">
        <f t="shared" ca="1" si="287"/>
        <v>7.3535477591644529</v>
      </c>
    </row>
    <row r="3241" spans="15:19" x14ac:dyDescent="0.2">
      <c r="O3241" s="4">
        <f t="shared" ca="1" si="283"/>
        <v>0.64012556911846608</v>
      </c>
      <c r="P3241" s="4">
        <f t="shared" ca="1" si="284"/>
        <v>0.35879445414866457</v>
      </c>
      <c r="Q3241" s="4">
        <f t="shared" ca="1" si="285"/>
        <v>1912.3946221055969</v>
      </c>
      <c r="R3241" s="4">
        <f t="shared" ca="1" si="286"/>
        <v>-11.275421894403053</v>
      </c>
      <c r="S3241" s="4">
        <f t="shared" ca="1" si="287"/>
        <v>-5.6559762020842363</v>
      </c>
    </row>
    <row r="3242" spans="15:19" x14ac:dyDescent="0.2">
      <c r="O3242" s="4">
        <f t="shared" ca="1" si="283"/>
        <v>0.89916718378027782</v>
      </c>
      <c r="P3242" s="4">
        <f t="shared" ca="1" si="284"/>
        <v>1.276820482753471</v>
      </c>
      <c r="Q3242" s="4">
        <f t="shared" ca="1" si="285"/>
        <v>1884.583064328448</v>
      </c>
      <c r="R3242" s="4">
        <f t="shared" ca="1" si="286"/>
        <v>-39.086979671551944</v>
      </c>
      <c r="S3242" s="4">
        <f t="shared" ca="1" si="287"/>
        <v>-19.164294864695982</v>
      </c>
    </row>
    <row r="3243" spans="15:19" x14ac:dyDescent="0.2">
      <c r="O3243" s="4">
        <f t="shared" ca="1" si="283"/>
        <v>0.38069476166947835</v>
      </c>
      <c r="P3243" s="4">
        <f t="shared" ca="1" si="284"/>
        <v>-0.30365660313883469</v>
      </c>
      <c r="Q3243" s="4">
        <f t="shared" ca="1" si="285"/>
        <v>1932.46354747396</v>
      </c>
      <c r="R3243" s="4">
        <f t="shared" ca="1" si="286"/>
        <v>8.7935034739600724</v>
      </c>
      <c r="S3243" s="4">
        <f t="shared" ca="1" si="287"/>
        <v>4.482834504244118</v>
      </c>
    </row>
    <row r="3244" spans="15:19" x14ac:dyDescent="0.2">
      <c r="O3244" s="4">
        <f t="shared" ca="1" si="283"/>
        <v>0.77019132324364825</v>
      </c>
      <c r="P3244" s="4">
        <f t="shared" ca="1" si="284"/>
        <v>0.73947707810471797</v>
      </c>
      <c r="Q3244" s="4">
        <f t="shared" ca="1" si="285"/>
        <v>1900.8618589147745</v>
      </c>
      <c r="R3244" s="4">
        <f t="shared" ca="1" si="286"/>
        <v>-22.808185085225432</v>
      </c>
      <c r="S3244" s="4">
        <f t="shared" ca="1" si="287"/>
        <v>-11.333963866109951</v>
      </c>
    </row>
    <row r="3245" spans="15:19" x14ac:dyDescent="0.2">
      <c r="O3245" s="4">
        <f t="shared" ca="1" si="283"/>
        <v>0.91408009927973477</v>
      </c>
      <c r="P3245" s="4">
        <f t="shared" ca="1" si="284"/>
        <v>1.3663159991601979</v>
      </c>
      <c r="Q3245" s="4">
        <f t="shared" ca="1" si="285"/>
        <v>1881.8718016324174</v>
      </c>
      <c r="R3245" s="4">
        <f t="shared" ca="1" si="286"/>
        <v>-41.798242367582588</v>
      </c>
      <c r="S3245" s="4">
        <f t="shared" ca="1" si="287"/>
        <v>-20.447491875044264</v>
      </c>
    </row>
    <row r="3246" spans="15:19" x14ac:dyDescent="0.2">
      <c r="O3246" s="4">
        <f t="shared" ca="1" si="283"/>
        <v>0.25386820699786028</v>
      </c>
      <c r="P3246" s="4">
        <f t="shared" ca="1" si="284"/>
        <v>-0.6623664278054141</v>
      </c>
      <c r="Q3246" s="4">
        <f t="shared" ca="1" si="285"/>
        <v>1943.3306456858777</v>
      </c>
      <c r="R3246" s="4">
        <f t="shared" ca="1" si="286"/>
        <v>19.660601685877737</v>
      </c>
      <c r="S3246" s="4">
        <f t="shared" ca="1" si="287"/>
        <v>10.109737383859688</v>
      </c>
    </row>
    <row r="3247" spans="15:19" x14ac:dyDescent="0.2">
      <c r="O3247" s="4">
        <f t="shared" ca="1" si="283"/>
        <v>0.45804487623972223</v>
      </c>
      <c r="P3247" s="4">
        <f t="shared" ca="1" si="284"/>
        <v>-0.10536050695158403</v>
      </c>
      <c r="Q3247" s="4">
        <f t="shared" ca="1" si="285"/>
        <v>1926.4561760441147</v>
      </c>
      <c r="R3247" s="4">
        <f t="shared" ca="1" si="286"/>
        <v>2.7861320441147654</v>
      </c>
      <c r="S3247" s="4">
        <f t="shared" ca="1" si="287"/>
        <v>1.4135272184270486</v>
      </c>
    </row>
    <row r="3248" spans="15:19" x14ac:dyDescent="0.2">
      <c r="O3248" s="4">
        <f t="shared" ca="1" si="283"/>
        <v>0.69625908067496722</v>
      </c>
      <c r="P3248" s="4">
        <f t="shared" ca="1" si="284"/>
        <v>0.5136712745068619</v>
      </c>
      <c r="Q3248" s="4">
        <f t="shared" ca="1" si="285"/>
        <v>1907.7026357092207</v>
      </c>
      <c r="R3248" s="4">
        <f t="shared" ca="1" si="286"/>
        <v>-15.967408290779304</v>
      </c>
      <c r="S3248" s="4">
        <f t="shared" ca="1" si="287"/>
        <v>-7.9790728684816896</v>
      </c>
    </row>
    <row r="3249" spans="15:19" x14ac:dyDescent="0.2">
      <c r="O3249" s="4">
        <f t="shared" ca="1" si="283"/>
        <v>0.90362331755464653</v>
      </c>
      <c r="P3249" s="4">
        <f t="shared" ca="1" si="284"/>
        <v>1.3024770308623514</v>
      </c>
      <c r="Q3249" s="4">
        <f t="shared" ca="1" si="285"/>
        <v>1883.8058003426145</v>
      </c>
      <c r="R3249" s="4">
        <f t="shared" ca="1" si="286"/>
        <v>-39.864243657385487</v>
      </c>
      <c r="S3249" s="4">
        <f t="shared" ca="1" si="287"/>
        <v>-19.532773320839762</v>
      </c>
    </row>
    <row r="3250" spans="15:19" x14ac:dyDescent="0.2">
      <c r="O3250" s="4">
        <f t="shared" ca="1" si="283"/>
        <v>0.29175969093545862</v>
      </c>
      <c r="P3250" s="4">
        <f t="shared" ca="1" si="284"/>
        <v>-0.54825127073135049</v>
      </c>
      <c r="Q3250" s="4">
        <f t="shared" ca="1" si="285"/>
        <v>1939.8735320689175</v>
      </c>
      <c r="R3250" s="4">
        <f t="shared" ca="1" si="286"/>
        <v>16.203488068917522</v>
      </c>
      <c r="S3250" s="4">
        <f t="shared" ca="1" si="287"/>
        <v>8.3092416289639157</v>
      </c>
    </row>
    <row r="3251" spans="15:19" x14ac:dyDescent="0.2">
      <c r="O3251" s="4">
        <f t="shared" ca="1" si="283"/>
        <v>0.2746907333669445</v>
      </c>
      <c r="P3251" s="4">
        <f t="shared" ca="1" si="284"/>
        <v>-0.59868724152933095</v>
      </c>
      <c r="Q3251" s="4">
        <f t="shared" ca="1" si="285"/>
        <v>1941.4014875649357</v>
      </c>
      <c r="R3251" s="4">
        <f t="shared" ca="1" si="286"/>
        <v>17.731443564935716</v>
      </c>
      <c r="S3251" s="4">
        <f t="shared" ca="1" si="287"/>
        <v>9.1038146402317199</v>
      </c>
    </row>
    <row r="3252" spans="15:19" x14ac:dyDescent="0.2">
      <c r="O3252" s="4">
        <f t="shared" ca="1" si="283"/>
        <v>0.14403627140466568</v>
      </c>
      <c r="P3252" s="4">
        <f t="shared" ca="1" si="284"/>
        <v>-1.0623594329209649</v>
      </c>
      <c r="Q3252" s="4">
        <f t="shared" ca="1" si="285"/>
        <v>1955.4484160165657</v>
      </c>
      <c r="R3252" s="4">
        <f t="shared" ca="1" si="286"/>
        <v>31.778372016565754</v>
      </c>
      <c r="S3252" s="4">
        <f t="shared" ca="1" si="287"/>
        <v>16.497608115278613</v>
      </c>
    </row>
    <row r="3253" spans="15:19" x14ac:dyDescent="0.2">
      <c r="O3253" s="4">
        <f t="shared" ca="1" si="283"/>
        <v>0.71390266479162445</v>
      </c>
      <c r="P3253" s="4">
        <f t="shared" ca="1" si="284"/>
        <v>0.56482225161439614</v>
      </c>
      <c r="Q3253" s="4">
        <f t="shared" ca="1" si="285"/>
        <v>1906.1530191287998</v>
      </c>
      <c r="R3253" s="4">
        <f t="shared" ca="1" si="286"/>
        <v>-17.517024871200192</v>
      </c>
      <c r="S3253" s="4">
        <f t="shared" ca="1" si="287"/>
        <v>-8.7423819384963952</v>
      </c>
    </row>
    <row r="3254" spans="15:19" x14ac:dyDescent="0.2">
      <c r="O3254" s="4">
        <f t="shared" ca="1" si="283"/>
        <v>3.6907661263155589E-2</v>
      </c>
      <c r="P3254" s="4">
        <f t="shared" ca="1" si="284"/>
        <v>-1.7877563716254155</v>
      </c>
      <c r="Q3254" s="4">
        <f t="shared" ca="1" si="285"/>
        <v>1977.4242840677214</v>
      </c>
      <c r="R3254" s="4">
        <f t="shared" ca="1" si="286"/>
        <v>53.754240067721412</v>
      </c>
      <c r="S3254" s="4">
        <f t="shared" ca="1" si="287"/>
        <v>28.387156827379229</v>
      </c>
    </row>
    <row r="3255" spans="15:19" x14ac:dyDescent="0.2">
      <c r="O3255" s="4">
        <f t="shared" ca="1" si="283"/>
        <v>0.25452817404461936</v>
      </c>
      <c r="P3255" s="4">
        <f t="shared" ca="1" si="284"/>
        <v>-0.66030776502614308</v>
      </c>
      <c r="Q3255" s="4">
        <f t="shared" ca="1" si="285"/>
        <v>1943.2682785883824</v>
      </c>
      <c r="R3255" s="4">
        <f t="shared" ca="1" si="286"/>
        <v>19.598234588382411</v>
      </c>
      <c r="S3255" s="4">
        <f t="shared" ca="1" si="287"/>
        <v>10.077169855645845</v>
      </c>
    </row>
    <row r="3256" spans="15:19" x14ac:dyDescent="0.2">
      <c r="O3256" s="4">
        <f t="shared" ca="1" si="283"/>
        <v>0.66140707057683656</v>
      </c>
      <c r="P3256" s="4">
        <f t="shared" ca="1" si="284"/>
        <v>0.41630633321128419</v>
      </c>
      <c r="Q3256" s="4">
        <f t="shared" ca="1" si="285"/>
        <v>1910.6523022828644</v>
      </c>
      <c r="R3256" s="4">
        <f t="shared" ca="1" si="286"/>
        <v>-13.01774171713555</v>
      </c>
      <c r="S3256" s="4">
        <f t="shared" ca="1" si="287"/>
        <v>-6.5207257626986417</v>
      </c>
    </row>
    <row r="3257" spans="15:19" x14ac:dyDescent="0.2">
      <c r="O3257" s="4">
        <f t="shared" ca="1" si="283"/>
        <v>0.22629720852898705</v>
      </c>
      <c r="P3257" s="4">
        <f t="shared" ca="1" si="284"/>
        <v>-0.75109677403863939</v>
      </c>
      <c r="Q3257" s="4">
        <f t="shared" ca="1" si="285"/>
        <v>1946.0187275854751</v>
      </c>
      <c r="R3257" s="4">
        <f t="shared" ca="1" si="286"/>
        <v>22.348683585475101</v>
      </c>
      <c r="S3257" s="4">
        <f t="shared" ca="1" si="287"/>
        <v>11.516438818754715</v>
      </c>
    </row>
    <row r="3258" spans="15:19" x14ac:dyDescent="0.2">
      <c r="O3258" s="4">
        <f t="shared" ca="1" si="283"/>
        <v>0.83287143502550054</v>
      </c>
      <c r="P3258" s="4">
        <f t="shared" ca="1" si="284"/>
        <v>0.96557452075677053</v>
      </c>
      <c r="Q3258" s="4">
        <f t="shared" ca="1" si="285"/>
        <v>1894.01224692813</v>
      </c>
      <c r="R3258" s="4">
        <f t="shared" ca="1" si="286"/>
        <v>-29.657797071869936</v>
      </c>
      <c r="S3258" s="4">
        <f t="shared" ca="1" si="287"/>
        <v>-14.65501541783628</v>
      </c>
    </row>
    <row r="3259" spans="15:19" x14ac:dyDescent="0.2">
      <c r="O3259" s="4">
        <f t="shared" ca="1" si="283"/>
        <v>0.13202578580734459</v>
      </c>
      <c r="P3259" s="4">
        <f t="shared" ca="1" si="284"/>
        <v>-1.116866122352284</v>
      </c>
      <c r="Q3259" s="4">
        <f t="shared" ca="1" si="285"/>
        <v>1957.0996937528453</v>
      </c>
      <c r="R3259" s="4">
        <f t="shared" ca="1" si="286"/>
        <v>33.429649752845307</v>
      </c>
      <c r="S3259" s="4">
        <f t="shared" ca="1" si="287"/>
        <v>17.377332891192758</v>
      </c>
    </row>
    <row r="3260" spans="15:19" x14ac:dyDescent="0.2">
      <c r="O3260" s="4">
        <f t="shared" ca="1" si="283"/>
        <v>0.51250416531635667</v>
      </c>
      <c r="P3260" s="4">
        <f t="shared" ca="1" si="284"/>
        <v>3.1348428050990529E-2</v>
      </c>
      <c r="Q3260" s="4">
        <f t="shared" ca="1" si="285"/>
        <v>1922.314584927951</v>
      </c>
      <c r="R3260" s="4">
        <f t="shared" ca="1" si="286"/>
        <v>-1.3554590720489159</v>
      </c>
      <c r="S3260" s="4">
        <f t="shared" ca="1" si="287"/>
        <v>-0.68539876307483238</v>
      </c>
    </row>
    <row r="3261" spans="15:19" x14ac:dyDescent="0.2">
      <c r="O3261" s="4">
        <f t="shared" ca="1" si="283"/>
        <v>5.8673423810194247E-2</v>
      </c>
      <c r="P3261" s="4">
        <f t="shared" ca="1" si="284"/>
        <v>-1.5660075586454831</v>
      </c>
      <c r="Q3261" s="4">
        <f t="shared" ca="1" si="285"/>
        <v>1970.7064136239189</v>
      </c>
      <c r="R3261" s="4">
        <f t="shared" ca="1" si="286"/>
        <v>47.036369623918972</v>
      </c>
      <c r="S3261" s="4">
        <f t="shared" ca="1" si="287"/>
        <v>24.710879144249326</v>
      </c>
    </row>
    <row r="3262" spans="15:19" x14ac:dyDescent="0.2">
      <c r="O3262" s="4">
        <f t="shared" ca="1" si="283"/>
        <v>0.36913131179211756</v>
      </c>
      <c r="P3262" s="4">
        <f t="shared" ca="1" si="284"/>
        <v>-0.3341549673082736</v>
      </c>
      <c r="Q3262" s="4">
        <f t="shared" ca="1" si="285"/>
        <v>1933.3874940623759</v>
      </c>
      <c r="R3262" s="4">
        <f t="shared" ca="1" si="286"/>
        <v>9.7174500623759741</v>
      </c>
      <c r="S3262" s="4">
        <f t="shared" ca="1" si="287"/>
        <v>4.957507476120437</v>
      </c>
    </row>
    <row r="3263" spans="15:19" x14ac:dyDescent="0.2">
      <c r="O3263" s="4">
        <f t="shared" ca="1" si="283"/>
        <v>0.50587887846569968</v>
      </c>
      <c r="P3263" s="4">
        <f t="shared" ca="1" si="284"/>
        <v>1.4736696363131411E-2</v>
      </c>
      <c r="Q3263" s="4">
        <f t="shared" ca="1" si="285"/>
        <v>1922.8178366018906</v>
      </c>
      <c r="R3263" s="4">
        <f t="shared" ca="1" si="286"/>
        <v>-0.85220739810938539</v>
      </c>
      <c r="S3263" s="4">
        <f t="shared" ca="1" si="287"/>
        <v>-0.43110009515625453</v>
      </c>
    </row>
    <row r="3264" spans="15:19" x14ac:dyDescent="0.2">
      <c r="O3264" s="4">
        <f t="shared" ca="1" si="283"/>
        <v>0.61166502437681902</v>
      </c>
      <c r="P3264" s="4">
        <f t="shared" ca="1" si="284"/>
        <v>0.28366130499295028</v>
      </c>
      <c r="Q3264" s="4">
        <f t="shared" ca="1" si="285"/>
        <v>1914.6707775234329</v>
      </c>
      <c r="R3264" s="4">
        <f t="shared" ca="1" si="286"/>
        <v>-8.9992664765670725</v>
      </c>
      <c r="S3264" s="4">
        <f t="shared" ca="1" si="287"/>
        <v>-4.5225496046059375</v>
      </c>
    </row>
    <row r="3265" spans="15:19" x14ac:dyDescent="0.2">
      <c r="O3265" s="4">
        <f t="shared" ca="1" si="283"/>
        <v>0.71486478767995509</v>
      </c>
      <c r="P3265" s="4">
        <f t="shared" ca="1" si="284"/>
        <v>0.56765327500512286</v>
      </c>
      <c r="Q3265" s="4">
        <f t="shared" ca="1" si="285"/>
        <v>1906.0672534008725</v>
      </c>
      <c r="R3265" s="4">
        <f t="shared" ca="1" si="286"/>
        <v>-17.602790599127502</v>
      </c>
      <c r="S3265" s="4">
        <f t="shared" ca="1" si="287"/>
        <v>-8.7845712663760303</v>
      </c>
    </row>
    <row r="3266" spans="15:19" x14ac:dyDescent="0.2">
      <c r="O3266" s="4">
        <f t="shared" ca="1" si="283"/>
        <v>0.7990979739511197</v>
      </c>
      <c r="P3266" s="4">
        <f t="shared" ca="1" si="284"/>
        <v>0.8384036288040424</v>
      </c>
      <c r="Q3266" s="4">
        <f t="shared" ca="1" si="285"/>
        <v>1897.8648834535779</v>
      </c>
      <c r="R3266" s="4">
        <f t="shared" ca="1" si="286"/>
        <v>-25.80516054642203</v>
      </c>
      <c r="S3266" s="4">
        <f t="shared" ca="1" si="287"/>
        <v>-12.791755061348693</v>
      </c>
    </row>
    <row r="3267" spans="15:19" x14ac:dyDescent="0.2">
      <c r="O3267" s="4">
        <f t="shared" ref="O3267:O3330" ca="1" si="288">RAND()</f>
        <v>0.75113799926751712</v>
      </c>
      <c r="P3267" s="4">
        <f t="shared" ref="P3267:P3330" ca="1" si="289">NORMSINV(O3267)</f>
        <v>0.67807522001133702</v>
      </c>
      <c r="Q3267" s="4">
        <f t="shared" ref="Q3267:Q3330" ca="1" si="290">$B$4*(1+$B$17-$B$6/SQRT(252)*P3267)</f>
        <v>1902.7220254795325</v>
      </c>
      <c r="R3267" s="4">
        <f t="shared" ref="R3267:R3330" ca="1" si="291">Q3267-$B$4</f>
        <v>-20.948018520467485</v>
      </c>
      <c r="S3267" s="4">
        <f t="shared" ref="S3267:S3330" ca="1" si="292">R3267*$B$12+0.5*$B$13*R3267^2</f>
        <v>-10.425462252988913</v>
      </c>
    </row>
    <row r="3268" spans="15:19" x14ac:dyDescent="0.2">
      <c r="O3268" s="4">
        <f t="shared" ca="1" si="288"/>
        <v>0.25502849296870478</v>
      </c>
      <c r="P3268" s="4">
        <f t="shared" ca="1" si="289"/>
        <v>-0.65874896254528204</v>
      </c>
      <c r="Q3268" s="4">
        <f t="shared" ca="1" si="290"/>
        <v>1943.2210547364336</v>
      </c>
      <c r="R3268" s="4">
        <f t="shared" ca="1" si="291"/>
        <v>19.551010736433682</v>
      </c>
      <c r="S3268" s="4">
        <f t="shared" ca="1" si="292"/>
        <v>10.052512098540008</v>
      </c>
    </row>
    <row r="3269" spans="15:19" x14ac:dyDescent="0.2">
      <c r="O3269" s="4">
        <f t="shared" ca="1" si="288"/>
        <v>0.22397394458356923</v>
      </c>
      <c r="P3269" s="4">
        <f t="shared" ca="1" si="289"/>
        <v>-0.75884064396745177</v>
      </c>
      <c r="Q3269" s="4">
        <f t="shared" ca="1" si="290"/>
        <v>1946.2533277811483</v>
      </c>
      <c r="R3269" s="4">
        <f t="shared" ca="1" si="291"/>
        <v>22.583283781148339</v>
      </c>
      <c r="S3269" s="4">
        <f t="shared" ca="1" si="292"/>
        <v>11.639486672075853</v>
      </c>
    </row>
    <row r="3270" spans="15:19" x14ac:dyDescent="0.2">
      <c r="O3270" s="4">
        <f t="shared" ca="1" si="288"/>
        <v>0.91521767179048108</v>
      </c>
      <c r="P3270" s="4">
        <f t="shared" ca="1" si="289"/>
        <v>1.3736039936520239</v>
      </c>
      <c r="Q3270" s="4">
        <f t="shared" ca="1" si="290"/>
        <v>1881.6510121628671</v>
      </c>
      <c r="R3270" s="4">
        <f t="shared" ca="1" si="291"/>
        <v>-42.019031837132843</v>
      </c>
      <c r="S3270" s="4">
        <f t="shared" ca="1" si="292"/>
        <v>-20.551724455648269</v>
      </c>
    </row>
    <row r="3271" spans="15:19" x14ac:dyDescent="0.2">
      <c r="O3271" s="4">
        <f t="shared" ca="1" si="288"/>
        <v>0.52967273477173071</v>
      </c>
      <c r="P3271" s="4">
        <f t="shared" ca="1" si="289"/>
        <v>7.4447228089473558E-2</v>
      </c>
      <c r="Q3271" s="4">
        <f t="shared" ca="1" si="290"/>
        <v>1921.0089086943287</v>
      </c>
      <c r="R3271" s="4">
        <f t="shared" ca="1" si="291"/>
        <v>-2.6611353056712233</v>
      </c>
      <c r="S3271" s="4">
        <f t="shared" ca="1" si="292"/>
        <v>-1.3442100391338583</v>
      </c>
    </row>
    <row r="3272" spans="15:19" x14ac:dyDescent="0.2">
      <c r="O3272" s="4">
        <f t="shared" ca="1" si="288"/>
        <v>0.74803146222028205</v>
      </c>
      <c r="P3272" s="4">
        <f t="shared" ca="1" si="289"/>
        <v>0.66830789376235733</v>
      </c>
      <c r="Q3272" s="4">
        <f t="shared" ca="1" si="290"/>
        <v>1903.0179261945859</v>
      </c>
      <c r="R3272" s="4">
        <f t="shared" ca="1" si="291"/>
        <v>-20.652117805414036</v>
      </c>
      <c r="S3272" s="4">
        <f t="shared" ca="1" si="292"/>
        <v>-10.280685235448825</v>
      </c>
    </row>
    <row r="3273" spans="15:19" x14ac:dyDescent="0.2">
      <c r="O3273" s="4">
        <f t="shared" ca="1" si="288"/>
        <v>0.3325708428115256</v>
      </c>
      <c r="P3273" s="4">
        <f t="shared" ca="1" si="289"/>
        <v>-0.43282530844220773</v>
      </c>
      <c r="Q3273" s="4">
        <f t="shared" ca="1" si="290"/>
        <v>1936.3767076661647</v>
      </c>
      <c r="R3273" s="4">
        <f t="shared" ca="1" si="291"/>
        <v>12.706663666164786</v>
      </c>
      <c r="S3273" s="4">
        <f t="shared" ca="1" si="292"/>
        <v>6.4979627212407562</v>
      </c>
    </row>
    <row r="3274" spans="15:19" x14ac:dyDescent="0.2">
      <c r="O3274" s="4">
        <f t="shared" ca="1" si="288"/>
        <v>0.92123607922093509</v>
      </c>
      <c r="P3274" s="4">
        <f t="shared" ca="1" si="289"/>
        <v>1.4134350650012673</v>
      </c>
      <c r="Q3274" s="4">
        <f t="shared" ca="1" si="290"/>
        <v>1880.4443316248014</v>
      </c>
      <c r="R3274" s="4">
        <f t="shared" ca="1" si="291"/>
        <v>-43.225712375198555</v>
      </c>
      <c r="S3274" s="4">
        <f t="shared" ca="1" si="292"/>
        <v>-21.120685530818417</v>
      </c>
    </row>
    <row r="3275" spans="15:19" x14ac:dyDescent="0.2">
      <c r="O3275" s="4">
        <f t="shared" ca="1" si="288"/>
        <v>0.10967905045678272</v>
      </c>
      <c r="P3275" s="4">
        <f t="shared" ca="1" si="289"/>
        <v>-1.2282367655301272</v>
      </c>
      <c r="Q3275" s="4">
        <f t="shared" ca="1" si="290"/>
        <v>1960.4736624431732</v>
      </c>
      <c r="R3275" s="4">
        <f t="shared" ca="1" si="291"/>
        <v>36.803618443173264</v>
      </c>
      <c r="S3275" s="4">
        <f t="shared" ca="1" si="292"/>
        <v>19.1817299871065</v>
      </c>
    </row>
    <row r="3276" spans="15:19" x14ac:dyDescent="0.2">
      <c r="O3276" s="4">
        <f t="shared" ca="1" si="288"/>
        <v>0.1987607770684382</v>
      </c>
      <c r="P3276" s="4">
        <f t="shared" ca="1" si="289"/>
        <v>-0.8460559117669475</v>
      </c>
      <c r="Q3276" s="4">
        <f t="shared" ca="1" si="290"/>
        <v>1948.8955104468639</v>
      </c>
      <c r="R3276" s="4">
        <f t="shared" ca="1" si="291"/>
        <v>25.225466446863948</v>
      </c>
      <c r="S3276" s="4">
        <f t="shared" ca="1" si="292"/>
        <v>13.028406178553533</v>
      </c>
    </row>
    <row r="3277" spans="15:19" x14ac:dyDescent="0.2">
      <c r="O3277" s="4">
        <f t="shared" ca="1" si="288"/>
        <v>0.63163365530341731</v>
      </c>
      <c r="P3277" s="4">
        <f t="shared" ca="1" si="289"/>
        <v>0.3361832417263721</v>
      </c>
      <c r="Q3277" s="4">
        <f t="shared" ca="1" si="290"/>
        <v>1913.079627782015</v>
      </c>
      <c r="R3277" s="4">
        <f t="shared" ca="1" si="291"/>
        <v>-10.590416217984966</v>
      </c>
      <c r="S3277" s="4">
        <f t="shared" ca="1" si="292"/>
        <v>-5.3153167928472618</v>
      </c>
    </row>
    <row r="3278" spans="15:19" x14ac:dyDescent="0.2">
      <c r="O3278" s="4">
        <f t="shared" ca="1" si="288"/>
        <v>0.83208736424444318</v>
      </c>
      <c r="P3278" s="4">
        <f t="shared" ca="1" si="289"/>
        <v>0.96244668659708832</v>
      </c>
      <c r="Q3278" s="4">
        <f t="shared" ca="1" si="290"/>
        <v>1894.1070045251249</v>
      </c>
      <c r="R3278" s="4">
        <f t="shared" ca="1" si="291"/>
        <v>-29.56303947487504</v>
      </c>
      <c r="S3278" s="4">
        <f t="shared" ca="1" si="292"/>
        <v>-14.609332513598968</v>
      </c>
    </row>
    <row r="3279" spans="15:19" x14ac:dyDescent="0.2">
      <c r="O3279" s="4">
        <f t="shared" ca="1" si="288"/>
        <v>0.42778553497023653</v>
      </c>
      <c r="P3279" s="4">
        <f t="shared" ca="1" si="289"/>
        <v>-0.18201485256208794</v>
      </c>
      <c r="Q3279" s="4">
        <f t="shared" ca="1" si="290"/>
        <v>1928.778416041009</v>
      </c>
      <c r="R3279" s="4">
        <f t="shared" ca="1" si="291"/>
        <v>5.1083720410090336</v>
      </c>
      <c r="S3279" s="4">
        <f t="shared" ca="1" si="292"/>
        <v>2.5965306238756805</v>
      </c>
    </row>
    <row r="3280" spans="15:19" x14ac:dyDescent="0.2">
      <c r="O3280" s="4">
        <f t="shared" ca="1" si="288"/>
        <v>0.74247448053888665</v>
      </c>
      <c r="P3280" s="4">
        <f t="shared" ca="1" si="289"/>
        <v>0.65099294833266164</v>
      </c>
      <c r="Q3280" s="4">
        <f t="shared" ca="1" si="290"/>
        <v>1903.5424816976124</v>
      </c>
      <c r="R3280" s="4">
        <f t="shared" ca="1" si="291"/>
        <v>-20.12756230238756</v>
      </c>
      <c r="S3280" s="4">
        <f t="shared" ca="1" si="292"/>
        <v>-10.023857803351289</v>
      </c>
    </row>
    <row r="3281" spans="15:19" x14ac:dyDescent="0.2">
      <c r="O3281" s="4">
        <f t="shared" ca="1" si="288"/>
        <v>0.44307568980652656</v>
      </c>
      <c r="P3281" s="4">
        <f t="shared" ca="1" si="289"/>
        <v>-0.14317575199029214</v>
      </c>
      <c r="Q3281" s="4">
        <f t="shared" ca="1" si="290"/>
        <v>1927.6017872136035</v>
      </c>
      <c r="R3281" s="4">
        <f t="shared" ca="1" si="291"/>
        <v>3.9317432136035677</v>
      </c>
      <c r="S3281" s="4">
        <f t="shared" ca="1" si="292"/>
        <v>1.9965796480243501</v>
      </c>
    </row>
    <row r="3282" spans="15:19" x14ac:dyDescent="0.2">
      <c r="O3282" s="4">
        <f t="shared" ca="1" si="288"/>
        <v>0.24833956314548788</v>
      </c>
      <c r="P3282" s="4">
        <f t="shared" ca="1" si="289"/>
        <v>-0.67972417416491204</v>
      </c>
      <c r="Q3282" s="4">
        <f t="shared" ca="1" si="290"/>
        <v>1943.8564978411721</v>
      </c>
      <c r="R3282" s="4">
        <f t="shared" ca="1" si="291"/>
        <v>20.186453841172124</v>
      </c>
      <c r="S3282" s="4">
        <f t="shared" ca="1" si="292"/>
        <v>10.384458485706922</v>
      </c>
    </row>
    <row r="3283" spans="15:19" x14ac:dyDescent="0.2">
      <c r="O3283" s="4">
        <f t="shared" ca="1" si="288"/>
        <v>0.2642740218857913</v>
      </c>
      <c r="P3283" s="4">
        <f t="shared" ca="1" si="289"/>
        <v>-0.63022399270494778</v>
      </c>
      <c r="Q3283" s="4">
        <f t="shared" ca="1" si="290"/>
        <v>1942.3568920416008</v>
      </c>
      <c r="R3283" s="4">
        <f t="shared" ca="1" si="291"/>
        <v>18.686848041600797</v>
      </c>
      <c r="S3283" s="4">
        <f t="shared" ca="1" si="292"/>
        <v>9.6016133919951479</v>
      </c>
    </row>
    <row r="3284" spans="15:19" x14ac:dyDescent="0.2">
      <c r="O3284" s="4">
        <f t="shared" ca="1" si="288"/>
        <v>0.82055934171302591</v>
      </c>
      <c r="P3284" s="4">
        <f t="shared" ca="1" si="289"/>
        <v>0.91749880930939254</v>
      </c>
      <c r="Q3284" s="4">
        <f t="shared" ca="1" si="290"/>
        <v>1895.4686984719149</v>
      </c>
      <c r="R3284" s="4">
        <f t="shared" ca="1" si="291"/>
        <v>-28.201345528085085</v>
      </c>
      <c r="S3284" s="4">
        <f t="shared" ca="1" si="292"/>
        <v>-13.952048712440623</v>
      </c>
    </row>
    <row r="3285" spans="15:19" x14ac:dyDescent="0.2">
      <c r="O3285" s="4">
        <f t="shared" ca="1" si="288"/>
        <v>0.2376940037805727</v>
      </c>
      <c r="P3285" s="4">
        <f t="shared" ca="1" si="289"/>
        <v>-0.71373993472621089</v>
      </c>
      <c r="Q3285" s="4">
        <f t="shared" ca="1" si="290"/>
        <v>1944.8870037971112</v>
      </c>
      <c r="R3285" s="4">
        <f t="shared" ca="1" si="291"/>
        <v>21.216959797111258</v>
      </c>
      <c r="S3285" s="4">
        <f t="shared" ca="1" si="292"/>
        <v>10.923478898919557</v>
      </c>
    </row>
    <row r="3286" spans="15:19" x14ac:dyDescent="0.2">
      <c r="O3286" s="4">
        <f t="shared" ca="1" si="288"/>
        <v>0.24107605076746552</v>
      </c>
      <c r="P3286" s="4">
        <f t="shared" ca="1" si="289"/>
        <v>-0.70284539858554174</v>
      </c>
      <c r="Q3286" s="4">
        <f t="shared" ca="1" si="290"/>
        <v>1944.5569543084359</v>
      </c>
      <c r="R3286" s="4">
        <f t="shared" ca="1" si="291"/>
        <v>20.886910308435972</v>
      </c>
      <c r="S3286" s="4">
        <f t="shared" ca="1" si="292"/>
        <v>10.750747834117419</v>
      </c>
    </row>
    <row r="3287" spans="15:19" x14ac:dyDescent="0.2">
      <c r="O3287" s="4">
        <f t="shared" ca="1" si="288"/>
        <v>0.39632779575526222</v>
      </c>
      <c r="P3287" s="4">
        <f t="shared" ca="1" si="289"/>
        <v>-0.26286375750678881</v>
      </c>
      <c r="Q3287" s="4">
        <f t="shared" ca="1" si="290"/>
        <v>1931.2277300266983</v>
      </c>
      <c r="R3287" s="4">
        <f t="shared" ca="1" si="291"/>
        <v>7.5576860266983203</v>
      </c>
      <c r="S3287" s="4">
        <f t="shared" ca="1" si="292"/>
        <v>3.8490259251706731</v>
      </c>
    </row>
    <row r="3288" spans="15:19" x14ac:dyDescent="0.2">
      <c r="O3288" s="4">
        <f t="shared" ca="1" si="288"/>
        <v>0.15132960801447448</v>
      </c>
      <c r="P3288" s="4">
        <f t="shared" ca="1" si="289"/>
        <v>-1.0307475587357011</v>
      </c>
      <c r="Q3288" s="4">
        <f t="shared" ca="1" si="290"/>
        <v>1954.4907356916585</v>
      </c>
      <c r="R3288" s="4">
        <f t="shared" ca="1" si="291"/>
        <v>30.820691691658567</v>
      </c>
      <c r="S3288" s="4">
        <f t="shared" ca="1" si="292"/>
        <v>15.988417198437173</v>
      </c>
    </row>
    <row r="3289" spans="15:19" x14ac:dyDescent="0.2">
      <c r="O3289" s="4">
        <f t="shared" ca="1" si="288"/>
        <v>0.79704632349691673</v>
      </c>
      <c r="P3289" s="4">
        <f t="shared" ca="1" si="289"/>
        <v>0.83111732569066343</v>
      </c>
      <c r="Q3289" s="4">
        <f t="shared" ca="1" si="290"/>
        <v>1898.0856216828931</v>
      </c>
      <c r="R3289" s="4">
        <f t="shared" ca="1" si="291"/>
        <v>-25.584422317106828</v>
      </c>
      <c r="S3289" s="4">
        <f t="shared" ca="1" si="292"/>
        <v>-12.684632856560713</v>
      </c>
    </row>
    <row r="3290" spans="15:19" x14ac:dyDescent="0.2">
      <c r="O3290" s="4">
        <f t="shared" ca="1" si="288"/>
        <v>0.82673702740873334</v>
      </c>
      <c r="P3290" s="4">
        <f t="shared" ca="1" si="289"/>
        <v>0.94134918483550312</v>
      </c>
      <c r="Q3290" s="4">
        <f t="shared" ca="1" si="290"/>
        <v>1894.7461524042842</v>
      </c>
      <c r="R3290" s="4">
        <f t="shared" ca="1" si="291"/>
        <v>-28.923891595715759</v>
      </c>
      <c r="S3290" s="4">
        <f t="shared" ca="1" si="292"/>
        <v>-14.301006576324387</v>
      </c>
    </row>
    <row r="3291" spans="15:19" x14ac:dyDescent="0.2">
      <c r="O3291" s="4">
        <f t="shared" ca="1" si="288"/>
        <v>0.39825142761728116</v>
      </c>
      <c r="P3291" s="4">
        <f t="shared" ca="1" si="289"/>
        <v>-0.25787567938919903</v>
      </c>
      <c r="Q3291" s="4">
        <f t="shared" ca="1" si="290"/>
        <v>1931.0766164215918</v>
      </c>
      <c r="R3291" s="4">
        <f t="shared" ca="1" si="291"/>
        <v>7.4065724215918181</v>
      </c>
      <c r="S3291" s="4">
        <f t="shared" ca="1" si="292"/>
        <v>3.7716102312438906</v>
      </c>
    </row>
    <row r="3292" spans="15:19" x14ac:dyDescent="0.2">
      <c r="O3292" s="4">
        <f t="shared" ca="1" si="288"/>
        <v>0.38623458120006104</v>
      </c>
      <c r="P3292" s="4">
        <f t="shared" ca="1" si="289"/>
        <v>-0.28914664154050679</v>
      </c>
      <c r="Q3292" s="4">
        <f t="shared" ca="1" si="290"/>
        <v>1932.0239688315662</v>
      </c>
      <c r="R3292" s="4">
        <f t="shared" ca="1" si="291"/>
        <v>8.3539248315662462</v>
      </c>
      <c r="S3292" s="4">
        <f t="shared" ca="1" si="292"/>
        <v>4.2572471472294335</v>
      </c>
    </row>
    <row r="3293" spans="15:19" x14ac:dyDescent="0.2">
      <c r="O3293" s="4">
        <f t="shared" ca="1" si="288"/>
        <v>0.27743154504022116</v>
      </c>
      <c r="P3293" s="4">
        <f t="shared" ca="1" si="289"/>
        <v>-0.59048865417734553</v>
      </c>
      <c r="Q3293" s="4">
        <f t="shared" ca="1" si="290"/>
        <v>1941.1531117251166</v>
      </c>
      <c r="R3293" s="4">
        <f t="shared" ca="1" si="291"/>
        <v>17.483067725116598</v>
      </c>
      <c r="S3293" s="4">
        <f t="shared" ca="1" si="292"/>
        <v>8.9745239532562326</v>
      </c>
    </row>
    <row r="3294" spans="15:19" x14ac:dyDescent="0.2">
      <c r="O3294" s="4">
        <f t="shared" ca="1" si="288"/>
        <v>0.80149424562408278</v>
      </c>
      <c r="P3294" s="4">
        <f t="shared" ca="1" si="289"/>
        <v>0.84697060013034331</v>
      </c>
      <c r="Q3294" s="4">
        <f t="shared" ca="1" si="290"/>
        <v>1897.6053474376126</v>
      </c>
      <c r="R3294" s="4">
        <f t="shared" ca="1" si="291"/>
        <v>-26.064696562387326</v>
      </c>
      <c r="S3294" s="4">
        <f t="shared" ca="1" si="292"/>
        <v>-12.917654729740095</v>
      </c>
    </row>
    <row r="3295" spans="15:19" x14ac:dyDescent="0.2">
      <c r="O3295" s="4">
        <f t="shared" ca="1" si="288"/>
        <v>0.46012974489688607</v>
      </c>
      <c r="P3295" s="4">
        <f t="shared" ca="1" si="289"/>
        <v>-0.10010685925325974</v>
      </c>
      <c r="Q3295" s="4">
        <f t="shared" ca="1" si="290"/>
        <v>1926.2970170203507</v>
      </c>
      <c r="R3295" s="4">
        <f t="shared" ca="1" si="291"/>
        <v>2.6269730203507606</v>
      </c>
      <c r="S3295" s="4">
        <f t="shared" ca="1" si="292"/>
        <v>1.3326086533904105</v>
      </c>
    </row>
    <row r="3296" spans="15:19" x14ac:dyDescent="0.2">
      <c r="O3296" s="4">
        <f t="shared" ca="1" si="288"/>
        <v>0.75569249172887587</v>
      </c>
      <c r="P3296" s="4">
        <f t="shared" ca="1" si="289"/>
        <v>0.69251333179765606</v>
      </c>
      <c r="Q3296" s="4">
        <f t="shared" ca="1" si="290"/>
        <v>1902.2846235240038</v>
      </c>
      <c r="R3296" s="4">
        <f t="shared" ca="1" si="291"/>
        <v>-21.38542047599617</v>
      </c>
      <c r="S3296" s="4">
        <f t="shared" ca="1" si="292"/>
        <v>-10.63934181665069</v>
      </c>
    </row>
    <row r="3297" spans="15:19" x14ac:dyDescent="0.2">
      <c r="O3297" s="4">
        <f t="shared" ca="1" si="288"/>
        <v>3.3789390740057712E-5</v>
      </c>
      <c r="P3297" s="4">
        <f t="shared" ca="1" si="289"/>
        <v>-3.9846530799120274</v>
      </c>
      <c r="Q3297" s="4">
        <f t="shared" ca="1" si="290"/>
        <v>2043.979172305256</v>
      </c>
      <c r="R3297" s="4">
        <f t="shared" ca="1" si="291"/>
        <v>120.30912830525608</v>
      </c>
      <c r="S3297" s="4">
        <f t="shared" ca="1" si="292"/>
        <v>66.793695703619946</v>
      </c>
    </row>
    <row r="3298" spans="15:19" x14ac:dyDescent="0.2">
      <c r="O3298" s="4">
        <f t="shared" ca="1" si="288"/>
        <v>0.6190472222693445</v>
      </c>
      <c r="P3298" s="4">
        <f t="shared" ca="1" si="289"/>
        <v>0.30297940676728369</v>
      </c>
      <c r="Q3298" s="4">
        <f t="shared" ca="1" si="290"/>
        <v>1914.0855364878837</v>
      </c>
      <c r="R3298" s="4">
        <f t="shared" ca="1" si="291"/>
        <v>-9.5845075121162608</v>
      </c>
      <c r="S3298" s="4">
        <f t="shared" ca="1" si="292"/>
        <v>-4.8143770695200274</v>
      </c>
    </row>
    <row r="3299" spans="15:19" x14ac:dyDescent="0.2">
      <c r="O3299" s="4">
        <f t="shared" ca="1" si="288"/>
        <v>0.61641879727947158</v>
      </c>
      <c r="P3299" s="4">
        <f t="shared" ca="1" si="289"/>
        <v>0.29608861874628134</v>
      </c>
      <c r="Q3299" s="4">
        <f t="shared" ca="1" si="290"/>
        <v>1914.2942926050359</v>
      </c>
      <c r="R3299" s="4">
        <f t="shared" ca="1" si="291"/>
        <v>-9.375751394964027</v>
      </c>
      <c r="S3299" s="4">
        <f t="shared" ca="1" si="292"/>
        <v>-4.7103138867734939</v>
      </c>
    </row>
    <row r="3300" spans="15:19" x14ac:dyDescent="0.2">
      <c r="O3300" s="4">
        <f t="shared" ca="1" si="288"/>
        <v>0.1775436743213048</v>
      </c>
      <c r="P3300" s="4">
        <f t="shared" ca="1" si="289"/>
        <v>-0.92476655977305389</v>
      </c>
      <c r="Q3300" s="4">
        <f t="shared" ca="1" si="290"/>
        <v>1951.2800460335352</v>
      </c>
      <c r="R3300" s="4">
        <f t="shared" ca="1" si="291"/>
        <v>27.610002033535238</v>
      </c>
      <c r="S3300" s="4">
        <f t="shared" ca="1" si="292"/>
        <v>14.286767308758195</v>
      </c>
    </row>
    <row r="3301" spans="15:19" x14ac:dyDescent="0.2">
      <c r="O3301" s="4">
        <f t="shared" ca="1" si="288"/>
        <v>0.93917133586747525</v>
      </c>
      <c r="P3301" s="4">
        <f t="shared" ca="1" si="289"/>
        <v>1.547854513158704</v>
      </c>
      <c r="Q3301" s="4">
        <f t="shared" ca="1" si="290"/>
        <v>1876.3721004109605</v>
      </c>
      <c r="R3301" s="4">
        <f t="shared" ca="1" si="291"/>
        <v>-47.297943589039505</v>
      </c>
      <c r="S3301" s="4">
        <f t="shared" ca="1" si="292"/>
        <v>-23.032029603712267</v>
      </c>
    </row>
    <row r="3302" spans="15:19" x14ac:dyDescent="0.2">
      <c r="O3302" s="4">
        <f t="shared" ca="1" si="288"/>
        <v>0.85350300004353175</v>
      </c>
      <c r="P3302" s="4">
        <f t="shared" ca="1" si="289"/>
        <v>1.0515762697691424</v>
      </c>
      <c r="Q3302" s="4">
        <f t="shared" ca="1" si="290"/>
        <v>1891.4068277601914</v>
      </c>
      <c r="R3302" s="4">
        <f t="shared" ca="1" si="291"/>
        <v>-32.263216239808571</v>
      </c>
      <c r="S3302" s="4">
        <f t="shared" ca="1" si="292"/>
        <v>-15.908231562923449</v>
      </c>
    </row>
    <row r="3303" spans="15:19" x14ac:dyDescent="0.2">
      <c r="O3303" s="4">
        <f t="shared" ca="1" si="288"/>
        <v>0.68515781312518265</v>
      </c>
      <c r="P3303" s="4">
        <f t="shared" ca="1" si="289"/>
        <v>0.48217114404361422</v>
      </c>
      <c r="Q3303" s="4">
        <f t="shared" ca="1" si="290"/>
        <v>1908.6569307630305</v>
      </c>
      <c r="R3303" s="4">
        <f t="shared" ca="1" si="291"/>
        <v>-15.013113236969502</v>
      </c>
      <c r="S3303" s="4">
        <f t="shared" ca="1" si="292"/>
        <v>-7.5080341869340863</v>
      </c>
    </row>
    <row r="3304" spans="15:19" x14ac:dyDescent="0.2">
      <c r="O3304" s="4">
        <f t="shared" ca="1" si="288"/>
        <v>0.59779147602515426</v>
      </c>
      <c r="P3304" s="4">
        <f t="shared" ca="1" si="289"/>
        <v>0.24763471563172765</v>
      </c>
      <c r="Q3304" s="4">
        <f t="shared" ca="1" si="290"/>
        <v>1915.7622014485867</v>
      </c>
      <c r="R3304" s="4">
        <f t="shared" ca="1" si="291"/>
        <v>-7.907842551413296</v>
      </c>
      <c r="S3304" s="4">
        <f t="shared" ca="1" si="292"/>
        <v>-3.977571699791548</v>
      </c>
    </row>
    <row r="3305" spans="15:19" x14ac:dyDescent="0.2">
      <c r="O3305" s="4">
        <f t="shared" ca="1" si="288"/>
        <v>0.73772815785119983</v>
      </c>
      <c r="P3305" s="4">
        <f t="shared" ca="1" si="289"/>
        <v>0.63635711760162406</v>
      </c>
      <c r="Q3305" s="4">
        <f t="shared" ca="1" si="290"/>
        <v>1903.9858735397929</v>
      </c>
      <c r="R3305" s="4">
        <f t="shared" ca="1" si="291"/>
        <v>-19.684170460207042</v>
      </c>
      <c r="S3305" s="4">
        <f t="shared" ca="1" si="292"/>
        <v>-9.8065941762393347</v>
      </c>
    </row>
    <row r="3306" spans="15:19" x14ac:dyDescent="0.2">
      <c r="O3306" s="4">
        <f t="shared" ca="1" si="288"/>
        <v>0.83443120013136707</v>
      </c>
      <c r="P3306" s="4">
        <f t="shared" ca="1" si="289"/>
        <v>0.97182503350051741</v>
      </c>
      <c r="Q3306" s="4">
        <f t="shared" ca="1" si="290"/>
        <v>1893.8228879220746</v>
      </c>
      <c r="R3306" s="4">
        <f t="shared" ca="1" si="291"/>
        <v>-29.84715607792532</v>
      </c>
      <c r="S3306" s="4">
        <f t="shared" ca="1" si="292"/>
        <v>-14.74628402732845</v>
      </c>
    </row>
    <row r="3307" spans="15:19" x14ac:dyDescent="0.2">
      <c r="O3307" s="4">
        <f t="shared" ca="1" si="288"/>
        <v>0.21138648008137451</v>
      </c>
      <c r="P3307" s="4">
        <f t="shared" ca="1" si="289"/>
        <v>-0.80161973166674438</v>
      </c>
      <c r="Q3307" s="4">
        <f t="shared" ca="1" si="290"/>
        <v>1947.5493183436497</v>
      </c>
      <c r="R3307" s="4">
        <f t="shared" ca="1" si="291"/>
        <v>23.87927434364974</v>
      </c>
      <c r="S3307" s="4">
        <f t="shared" ca="1" si="292"/>
        <v>12.320041477342697</v>
      </c>
    </row>
    <row r="3308" spans="15:19" x14ac:dyDescent="0.2">
      <c r="O3308" s="4">
        <f t="shared" ca="1" si="288"/>
        <v>0.75717863941946628</v>
      </c>
      <c r="P3308" s="4">
        <f t="shared" ca="1" si="289"/>
        <v>0.69725580431890322</v>
      </c>
      <c r="Q3308" s="4">
        <f t="shared" ca="1" si="290"/>
        <v>1902.1409505295337</v>
      </c>
      <c r="R3308" s="4">
        <f t="shared" ca="1" si="291"/>
        <v>-21.52909347046625</v>
      </c>
      <c r="S3308" s="4">
        <f t="shared" ca="1" si="292"/>
        <v>-10.709560644605705</v>
      </c>
    </row>
    <row r="3309" spans="15:19" x14ac:dyDescent="0.2">
      <c r="O3309" s="4">
        <f t="shared" ca="1" si="288"/>
        <v>0.62544189794497129</v>
      </c>
      <c r="P3309" s="4">
        <f t="shared" ca="1" si="289"/>
        <v>0.3198049379504323</v>
      </c>
      <c r="Q3309" s="4">
        <f t="shared" ca="1" si="290"/>
        <v>1913.5758077677269</v>
      </c>
      <c r="R3309" s="4">
        <f t="shared" ca="1" si="291"/>
        <v>-10.094236232273033</v>
      </c>
      <c r="S3309" s="4">
        <f t="shared" ca="1" si="292"/>
        <v>-5.0683235019258053</v>
      </c>
    </row>
    <row r="3310" spans="15:19" x14ac:dyDescent="0.2">
      <c r="O3310" s="4">
        <f t="shared" ca="1" si="288"/>
        <v>0.66679869908476719</v>
      </c>
      <c r="P3310" s="4">
        <f t="shared" ca="1" si="289"/>
        <v>0.43109045339166274</v>
      </c>
      <c r="Q3310" s="4">
        <f t="shared" ca="1" si="290"/>
        <v>1910.2044180184</v>
      </c>
      <c r="R3310" s="4">
        <f t="shared" ca="1" si="291"/>
        <v>-13.465625981599942</v>
      </c>
      <c r="S3310" s="4">
        <f t="shared" ca="1" si="292"/>
        <v>-6.7426207193841066</v>
      </c>
    </row>
    <row r="3311" spans="15:19" x14ac:dyDescent="0.2">
      <c r="O3311" s="4">
        <f t="shared" ca="1" si="288"/>
        <v>0.11710335215056866</v>
      </c>
      <c r="P3311" s="4">
        <f t="shared" ca="1" si="289"/>
        <v>-1.1895922222688369</v>
      </c>
      <c r="Q3311" s="4">
        <f t="shared" ca="1" si="290"/>
        <v>1959.3029277208511</v>
      </c>
      <c r="R3311" s="4">
        <f t="shared" ca="1" si="291"/>
        <v>35.632883720851169</v>
      </c>
      <c r="S3311" s="4">
        <f t="shared" ca="1" si="292"/>
        <v>18.554571534020656</v>
      </c>
    </row>
    <row r="3312" spans="15:19" x14ac:dyDescent="0.2">
      <c r="O3312" s="4">
        <f t="shared" ca="1" si="288"/>
        <v>0.24006281949420183</v>
      </c>
      <c r="P3312" s="4">
        <f t="shared" ca="1" si="289"/>
        <v>-0.70610050292169724</v>
      </c>
      <c r="Q3312" s="4">
        <f t="shared" ca="1" si="290"/>
        <v>1944.6555675497766</v>
      </c>
      <c r="R3312" s="4">
        <f t="shared" ca="1" si="291"/>
        <v>20.985523549776644</v>
      </c>
      <c r="S3312" s="4">
        <f t="shared" ca="1" si="292"/>
        <v>10.802347683441912</v>
      </c>
    </row>
    <row r="3313" spans="15:19" x14ac:dyDescent="0.2">
      <c r="O3313" s="4">
        <f t="shared" ca="1" si="288"/>
        <v>0.20159159155317019</v>
      </c>
      <c r="P3313" s="4">
        <f t="shared" ca="1" si="289"/>
        <v>-0.83594973168515629</v>
      </c>
      <c r="Q3313" s="4">
        <f t="shared" ca="1" si="290"/>
        <v>1948.58934416999</v>
      </c>
      <c r="R3313" s="4">
        <f t="shared" ca="1" si="291"/>
        <v>24.919300169990038</v>
      </c>
      <c r="S3313" s="4">
        <f t="shared" ca="1" si="292"/>
        <v>12.867172224477319</v>
      </c>
    </row>
    <row r="3314" spans="15:19" x14ac:dyDescent="0.2">
      <c r="O3314" s="4">
        <f t="shared" ca="1" si="288"/>
        <v>0.58143214904109486</v>
      </c>
      <c r="P3314" s="4">
        <f t="shared" ca="1" si="289"/>
        <v>0.20555862218341175</v>
      </c>
      <c r="Q3314" s="4">
        <f t="shared" ca="1" si="290"/>
        <v>1917.036894831467</v>
      </c>
      <c r="R3314" s="4">
        <f t="shared" ca="1" si="291"/>
        <v>-6.6331491685330093</v>
      </c>
      <c r="S3314" s="4">
        <f t="shared" ca="1" si="292"/>
        <v>-3.3398545765083458</v>
      </c>
    </row>
    <row r="3315" spans="15:19" x14ac:dyDescent="0.2">
      <c r="O3315" s="4">
        <f t="shared" ca="1" si="288"/>
        <v>0.98761052181866849</v>
      </c>
      <c r="P3315" s="4">
        <f t="shared" ca="1" si="289"/>
        <v>2.2448314281771298</v>
      </c>
      <c r="Q3315" s="4">
        <f t="shared" ca="1" si="290"/>
        <v>1855.2572157155525</v>
      </c>
      <c r="R3315" s="4">
        <f t="shared" ca="1" si="291"/>
        <v>-68.412828284447414</v>
      </c>
      <c r="S3315" s="4">
        <f t="shared" ca="1" si="292"/>
        <v>-32.72603154146973</v>
      </c>
    </row>
    <row r="3316" spans="15:19" x14ac:dyDescent="0.2">
      <c r="O3316" s="4">
        <f t="shared" ca="1" si="288"/>
        <v>0.22589368414504807</v>
      </c>
      <c r="P3316" s="4">
        <f t="shared" ca="1" si="289"/>
        <v>-0.75243855460712317</v>
      </c>
      <c r="Q3316" s="4">
        <f t="shared" ca="1" si="290"/>
        <v>1946.0593767682237</v>
      </c>
      <c r="R3316" s="4">
        <f t="shared" ca="1" si="291"/>
        <v>22.389332768223767</v>
      </c>
      <c r="S3316" s="4">
        <f t="shared" ca="1" si="292"/>
        <v>11.537756114576046</v>
      </c>
    </row>
    <row r="3317" spans="15:19" x14ac:dyDescent="0.2">
      <c r="O3317" s="4">
        <f t="shared" ca="1" si="288"/>
        <v>0.97697603771067121</v>
      </c>
      <c r="P3317" s="4">
        <f t="shared" ca="1" si="289"/>
        <v>1.9949537482754656</v>
      </c>
      <c r="Q3317" s="4">
        <f t="shared" ca="1" si="290"/>
        <v>1862.8272489338553</v>
      </c>
      <c r="R3317" s="4">
        <f t="shared" ca="1" si="291"/>
        <v>-60.842795066144618</v>
      </c>
      <c r="S3317" s="4">
        <f t="shared" ca="1" si="292"/>
        <v>-29.292311344365974</v>
      </c>
    </row>
    <row r="3318" spans="15:19" x14ac:dyDescent="0.2">
      <c r="O3318" s="4">
        <f t="shared" ca="1" si="288"/>
        <v>3.2727173658019248E-2</v>
      </c>
      <c r="P3318" s="4">
        <f t="shared" ca="1" si="289"/>
        <v>-1.842142234964341</v>
      </c>
      <c r="Q3318" s="4">
        <f t="shared" ca="1" si="290"/>
        <v>1979.0719013828962</v>
      </c>
      <c r="R3318" s="4">
        <f t="shared" ca="1" si="291"/>
        <v>55.401857382896196</v>
      </c>
      <c r="S3318" s="4">
        <f t="shared" ca="1" si="292"/>
        <v>29.294407223469744</v>
      </c>
    </row>
    <row r="3319" spans="15:19" x14ac:dyDescent="0.2">
      <c r="O3319" s="4">
        <f t="shared" ca="1" si="288"/>
        <v>0.9822244941750472</v>
      </c>
      <c r="P3319" s="4">
        <f t="shared" ca="1" si="289"/>
        <v>2.1020258477045615</v>
      </c>
      <c r="Q3319" s="4">
        <f t="shared" ca="1" si="290"/>
        <v>1859.5835044355445</v>
      </c>
      <c r="R3319" s="4">
        <f t="shared" ca="1" si="291"/>
        <v>-64.086539564455506</v>
      </c>
      <c r="S3319" s="4">
        <f t="shared" ca="1" si="292"/>
        <v>-30.769366319978932</v>
      </c>
    </row>
    <row r="3320" spans="15:19" x14ac:dyDescent="0.2">
      <c r="O3320" s="4">
        <f t="shared" ca="1" si="288"/>
        <v>0.32694497152978796</v>
      </c>
      <c r="P3320" s="4">
        <f t="shared" ca="1" si="289"/>
        <v>-0.44836479761282588</v>
      </c>
      <c r="Q3320" s="4">
        <f t="shared" ca="1" si="290"/>
        <v>1936.847475800651</v>
      </c>
      <c r="R3320" s="4">
        <f t="shared" ca="1" si="291"/>
        <v>13.177431800650993</v>
      </c>
      <c r="S3320" s="4">
        <f t="shared" ca="1" si="292"/>
        <v>6.7412304663764369</v>
      </c>
    </row>
    <row r="3321" spans="15:19" x14ac:dyDescent="0.2">
      <c r="O3321" s="4">
        <f t="shared" ca="1" si="288"/>
        <v>0.18410456566844269</v>
      </c>
      <c r="P3321" s="4">
        <f t="shared" ca="1" si="289"/>
        <v>-0.89983299719828835</v>
      </c>
      <c r="Q3321" s="4">
        <f t="shared" ca="1" si="290"/>
        <v>1950.5246848623574</v>
      </c>
      <c r="R3321" s="4">
        <f t="shared" ca="1" si="291"/>
        <v>26.854640862357428</v>
      </c>
      <c r="S3321" s="4">
        <f t="shared" ca="1" si="292"/>
        <v>13.887649063323794</v>
      </c>
    </row>
    <row r="3322" spans="15:19" x14ac:dyDescent="0.2">
      <c r="O3322" s="4">
        <f t="shared" ca="1" si="288"/>
        <v>0.85007378321517424</v>
      </c>
      <c r="P3322" s="4">
        <f t="shared" ca="1" si="289"/>
        <v>1.0367498919229916</v>
      </c>
      <c r="Q3322" s="4">
        <f t="shared" ca="1" si="290"/>
        <v>1891.8559922187644</v>
      </c>
      <c r="R3322" s="4">
        <f t="shared" ca="1" si="291"/>
        <v>-31.814051781235548</v>
      </c>
      <c r="S3322" s="4">
        <f t="shared" ca="1" si="292"/>
        <v>-15.692576068050959</v>
      </c>
    </row>
    <row r="3323" spans="15:19" x14ac:dyDescent="0.2">
      <c r="O3323" s="4">
        <f t="shared" ca="1" si="288"/>
        <v>0.11153438287577166</v>
      </c>
      <c r="P3323" s="4">
        <f t="shared" ca="1" si="289"/>
        <v>-1.2184085285623676</v>
      </c>
      <c r="Q3323" s="4">
        <f t="shared" ca="1" si="290"/>
        <v>1960.1759164405985</v>
      </c>
      <c r="R3323" s="4">
        <f t="shared" ca="1" si="291"/>
        <v>36.505872440598523</v>
      </c>
      <c r="S3323" s="4">
        <f t="shared" ca="1" si="292"/>
        <v>19.022122696777501</v>
      </c>
    </row>
    <row r="3324" spans="15:19" x14ac:dyDescent="0.2">
      <c r="O3324" s="4">
        <f t="shared" ca="1" si="288"/>
        <v>0.21420421348853913</v>
      </c>
      <c r="P3324" s="4">
        <f t="shared" ca="1" si="289"/>
        <v>-0.79191810928840456</v>
      </c>
      <c r="Q3324" s="4">
        <f t="shared" ca="1" si="290"/>
        <v>1947.2554081244402</v>
      </c>
      <c r="R3324" s="4">
        <f t="shared" ca="1" si="291"/>
        <v>23.585364124440275</v>
      </c>
      <c r="S3324" s="4">
        <f t="shared" ca="1" si="292"/>
        <v>12.165582490518588</v>
      </c>
    </row>
    <row r="3325" spans="15:19" x14ac:dyDescent="0.2">
      <c r="O3325" s="4">
        <f t="shared" ca="1" si="288"/>
        <v>9.6027677630785568E-2</v>
      </c>
      <c r="P3325" s="4">
        <f t="shared" ca="1" si="289"/>
        <v>-1.3045229045566615</v>
      </c>
      <c r="Q3325" s="4">
        <f t="shared" ca="1" si="290"/>
        <v>1962.7847476379543</v>
      </c>
      <c r="R3325" s="4">
        <f t="shared" ca="1" si="291"/>
        <v>39.114703637954335</v>
      </c>
      <c r="S3325" s="4">
        <f t="shared" ca="1" si="292"/>
        <v>20.423045755518007</v>
      </c>
    </row>
    <row r="3326" spans="15:19" x14ac:dyDescent="0.2">
      <c r="O3326" s="4">
        <f t="shared" ca="1" si="288"/>
        <v>0.62256306113331927</v>
      </c>
      <c r="P3326" s="4">
        <f t="shared" ca="1" si="289"/>
        <v>0.31221928384190828</v>
      </c>
      <c r="Q3326" s="4">
        <f t="shared" ca="1" si="290"/>
        <v>1913.8056148221492</v>
      </c>
      <c r="R3326" s="4">
        <f t="shared" ca="1" si="291"/>
        <v>-9.8644291778507522</v>
      </c>
      <c r="S3326" s="4">
        <f t="shared" ca="1" si="292"/>
        <v>-4.9538600008905274</v>
      </c>
    </row>
    <row r="3327" spans="15:19" x14ac:dyDescent="0.2">
      <c r="O3327" s="4">
        <f t="shared" ca="1" si="288"/>
        <v>0.57284442276928937</v>
      </c>
      <c r="P3327" s="4">
        <f t="shared" ca="1" si="289"/>
        <v>0.1836205324120363</v>
      </c>
      <c r="Q3327" s="4">
        <f t="shared" ca="1" si="290"/>
        <v>1917.7015082870616</v>
      </c>
      <c r="R3327" s="4">
        <f t="shared" ca="1" si="291"/>
        <v>-5.9685357129383192</v>
      </c>
      <c r="S3327" s="4">
        <f t="shared" ca="1" si="292"/>
        <v>-3.0068300417226195</v>
      </c>
    </row>
    <row r="3328" spans="15:19" x14ac:dyDescent="0.2">
      <c r="O3328" s="4">
        <f t="shared" ca="1" si="288"/>
        <v>0.83966771346684188</v>
      </c>
      <c r="P3328" s="4">
        <f t="shared" ca="1" si="289"/>
        <v>0.993093127042184</v>
      </c>
      <c r="Q3328" s="4">
        <f t="shared" ca="1" si="290"/>
        <v>1893.1785719725117</v>
      </c>
      <c r="R3328" s="4">
        <f t="shared" ca="1" si="291"/>
        <v>-30.491472027488271</v>
      </c>
      <c r="S3328" s="4">
        <f t="shared" ca="1" si="292"/>
        <v>-15.056617384544071</v>
      </c>
    </row>
    <row r="3329" spans="15:19" x14ac:dyDescent="0.2">
      <c r="O3329" s="4">
        <f t="shared" ca="1" si="288"/>
        <v>0.1712044948293564</v>
      </c>
      <c r="P3329" s="4">
        <f t="shared" ca="1" si="289"/>
        <v>-0.94941616965088527</v>
      </c>
      <c r="Q3329" s="4">
        <f t="shared" ca="1" si="290"/>
        <v>1952.0268048703658</v>
      </c>
      <c r="R3329" s="4">
        <f t="shared" ca="1" si="291"/>
        <v>28.356760870365861</v>
      </c>
      <c r="S3329" s="4">
        <f t="shared" ca="1" si="292"/>
        <v>14.681796865222049</v>
      </c>
    </row>
    <row r="3330" spans="15:19" x14ac:dyDescent="0.2">
      <c r="O3330" s="4">
        <f t="shared" ca="1" si="288"/>
        <v>0.45780870369918469</v>
      </c>
      <c r="P3330" s="4">
        <f t="shared" ca="1" si="289"/>
        <v>-0.10595581738915107</v>
      </c>
      <c r="Q3330" s="4">
        <f t="shared" ca="1" si="290"/>
        <v>1926.4742109473896</v>
      </c>
      <c r="R3330" s="4">
        <f t="shared" ca="1" si="291"/>
        <v>2.8041669473896036</v>
      </c>
      <c r="S3330" s="4">
        <f t="shared" ca="1" si="292"/>
        <v>1.4226977040384636</v>
      </c>
    </row>
    <row r="3331" spans="15:19" x14ac:dyDescent="0.2">
      <c r="O3331" s="4">
        <f t="shared" ref="O3331:O3394" ca="1" si="293">RAND()</f>
        <v>0.33043577137067848</v>
      </c>
      <c r="P3331" s="4">
        <f t="shared" ref="P3331:P3394" ca="1" si="294">NORMSINV(O3331)</f>
        <v>-0.43871018977194709</v>
      </c>
      <c r="Q3331" s="4">
        <f t="shared" ref="Q3331:Q3394" ca="1" si="295">$B$4*(1+$B$17-$B$6/SQRT(252)*P3331)</f>
        <v>1936.5549898847664</v>
      </c>
      <c r="R3331" s="4">
        <f t="shared" ref="R3331:R3394" ca="1" si="296">Q3331-$B$4</f>
        <v>12.884945884766466</v>
      </c>
      <c r="S3331" s="4">
        <f t="shared" ref="S3331:S3394" ca="1" si="297">R3331*$B$12+0.5*$B$13*R3331^2</f>
        <v>6.5900681916726329</v>
      </c>
    </row>
    <row r="3332" spans="15:19" x14ac:dyDescent="0.2">
      <c r="O3332" s="4">
        <f t="shared" ca="1" si="293"/>
        <v>0.8353998170613246</v>
      </c>
      <c r="P3332" s="4">
        <f t="shared" ca="1" si="294"/>
        <v>0.97572579493744205</v>
      </c>
      <c r="Q3332" s="4">
        <f t="shared" ca="1" si="295"/>
        <v>1893.7047145275328</v>
      </c>
      <c r="R3332" s="4">
        <f t="shared" ca="1" si="296"/>
        <v>-29.965329472467147</v>
      </c>
      <c r="S3332" s="4">
        <f t="shared" ca="1" si="297"/>
        <v>-14.803227292345793</v>
      </c>
    </row>
    <row r="3333" spans="15:19" x14ac:dyDescent="0.2">
      <c r="O3333" s="4">
        <f t="shared" ca="1" si="293"/>
        <v>0.11603922122057531</v>
      </c>
      <c r="P3333" s="4">
        <f t="shared" ca="1" si="294"/>
        <v>-1.1950219802649917</v>
      </c>
      <c r="Q3333" s="4">
        <f t="shared" ca="1" si="295"/>
        <v>1959.4674219982687</v>
      </c>
      <c r="R3333" s="4">
        <f t="shared" ca="1" si="296"/>
        <v>35.797377998268757</v>
      </c>
      <c r="S3333" s="4">
        <f t="shared" ca="1" si="297"/>
        <v>18.642623158648536</v>
      </c>
    </row>
    <row r="3334" spans="15:19" x14ac:dyDescent="0.2">
      <c r="O3334" s="4">
        <f t="shared" ca="1" si="293"/>
        <v>0.965770525808748</v>
      </c>
      <c r="P3334" s="4">
        <f t="shared" ca="1" si="294"/>
        <v>1.8219738841284614</v>
      </c>
      <c r="Q3334" s="4">
        <f t="shared" ca="1" si="295"/>
        <v>1868.0676662380563</v>
      </c>
      <c r="R3334" s="4">
        <f t="shared" ca="1" si="296"/>
        <v>-55.602377761943671</v>
      </c>
      <c r="S3334" s="4">
        <f t="shared" ca="1" si="297"/>
        <v>-26.887963087165499</v>
      </c>
    </row>
    <row r="3335" spans="15:19" x14ac:dyDescent="0.2">
      <c r="O3335" s="4">
        <f t="shared" ca="1" si="293"/>
        <v>0.6246069624454369</v>
      </c>
      <c r="P3335" s="4">
        <f t="shared" ca="1" si="294"/>
        <v>0.31760303045892652</v>
      </c>
      <c r="Q3335" s="4">
        <f t="shared" ca="1" si="295"/>
        <v>1913.6425144574198</v>
      </c>
      <c r="R3335" s="4">
        <f t="shared" ca="1" si="296"/>
        <v>-10.027529542580169</v>
      </c>
      <c r="S3335" s="4">
        <f t="shared" ca="1" si="297"/>
        <v>-5.0351023134851838</v>
      </c>
    </row>
    <row r="3336" spans="15:19" x14ac:dyDescent="0.2">
      <c r="O3336" s="4">
        <f t="shared" ca="1" si="293"/>
        <v>6.0481054049217997E-2</v>
      </c>
      <c r="P3336" s="4">
        <f t="shared" ca="1" si="294"/>
        <v>-1.5507479102890265</v>
      </c>
      <c r="Q3336" s="4">
        <f t="shared" ca="1" si="295"/>
        <v>1970.2441232544732</v>
      </c>
      <c r="R3336" s="4">
        <f t="shared" ca="1" si="296"/>
        <v>46.57407925447319</v>
      </c>
      <c r="S3336" s="4">
        <f t="shared" ca="1" si="297"/>
        <v>24.459247225326052</v>
      </c>
    </row>
    <row r="3337" spans="15:19" x14ac:dyDescent="0.2">
      <c r="O3337" s="4">
        <f t="shared" ca="1" si="293"/>
        <v>0.7789194938138142</v>
      </c>
      <c r="P3337" s="4">
        <f t="shared" ca="1" si="294"/>
        <v>0.76854913302296402</v>
      </c>
      <c r="Q3337" s="4">
        <f t="shared" ca="1" si="295"/>
        <v>1899.9811223017962</v>
      </c>
      <c r="R3337" s="4">
        <f t="shared" ca="1" si="296"/>
        <v>-23.688921698203785</v>
      </c>
      <c r="S3337" s="4">
        <f t="shared" ca="1" si="297"/>
        <v>-11.763131187752675</v>
      </c>
    </row>
    <row r="3338" spans="15:19" x14ac:dyDescent="0.2">
      <c r="O3338" s="4">
        <f t="shared" ca="1" si="293"/>
        <v>0.54635000750487361</v>
      </c>
      <c r="P3338" s="4">
        <f t="shared" ca="1" si="294"/>
        <v>0.11644485880872824</v>
      </c>
      <c r="Q3338" s="4">
        <f t="shared" ca="1" si="295"/>
        <v>1919.7365923363416</v>
      </c>
      <c r="R3338" s="4">
        <f t="shared" ca="1" si="296"/>
        <v>-3.9334516636583885</v>
      </c>
      <c r="S3338" s="4">
        <f t="shared" ca="1" si="297"/>
        <v>-1.984853567777529</v>
      </c>
    </row>
    <row r="3339" spans="15:19" x14ac:dyDescent="0.2">
      <c r="O3339" s="4">
        <f t="shared" ca="1" si="293"/>
        <v>0.59406055506323985</v>
      </c>
      <c r="P3339" s="4">
        <f t="shared" ca="1" si="294"/>
        <v>0.23800284208172401</v>
      </c>
      <c r="Q3339" s="4">
        <f t="shared" ca="1" si="295"/>
        <v>1916.0539986301385</v>
      </c>
      <c r="R3339" s="4">
        <f t="shared" ca="1" si="296"/>
        <v>-7.6160453698614674</v>
      </c>
      <c r="S3339" s="4">
        <f t="shared" ca="1" si="297"/>
        <v>-3.8317050614288339</v>
      </c>
    </row>
    <row r="3340" spans="15:19" x14ac:dyDescent="0.2">
      <c r="O3340" s="4">
        <f t="shared" ca="1" si="293"/>
        <v>0.60698701343398909</v>
      </c>
      <c r="P3340" s="4">
        <f t="shared" ca="1" si="294"/>
        <v>0.27147467745948978</v>
      </c>
      <c r="Q3340" s="4">
        <f t="shared" ca="1" si="295"/>
        <v>1915.039970863485</v>
      </c>
      <c r="R3340" s="4">
        <f t="shared" ca="1" si="296"/>
        <v>-8.6300731365149659</v>
      </c>
      <c r="S3340" s="4">
        <f t="shared" ca="1" si="297"/>
        <v>-4.3383097845759941</v>
      </c>
    </row>
    <row r="3341" spans="15:19" x14ac:dyDescent="0.2">
      <c r="O3341" s="4">
        <f t="shared" ca="1" si="293"/>
        <v>0.68659250656906268</v>
      </c>
      <c r="P3341" s="4">
        <f t="shared" ca="1" si="294"/>
        <v>0.48621464800582725</v>
      </c>
      <c r="Q3341" s="4">
        <f t="shared" ca="1" si="295"/>
        <v>1908.5344329900229</v>
      </c>
      <c r="R3341" s="4">
        <f t="shared" ca="1" si="296"/>
        <v>-15.135611009977083</v>
      </c>
      <c r="S3341" s="4">
        <f t="shared" ca="1" si="297"/>
        <v>-7.5685403911307461</v>
      </c>
    </row>
    <row r="3342" spans="15:19" x14ac:dyDescent="0.2">
      <c r="O3342" s="4">
        <f t="shared" ca="1" si="293"/>
        <v>0.24238662341171813</v>
      </c>
      <c r="P3342" s="4">
        <f t="shared" ca="1" si="294"/>
        <v>-0.69864606697244058</v>
      </c>
      <c r="Q3342" s="4">
        <f t="shared" ca="1" si="295"/>
        <v>1944.4297357436635</v>
      </c>
      <c r="R3342" s="4">
        <f t="shared" ca="1" si="296"/>
        <v>20.759691743663552</v>
      </c>
      <c r="S3342" s="4">
        <f t="shared" ca="1" si="297"/>
        <v>10.684191807839715</v>
      </c>
    </row>
    <row r="3343" spans="15:19" x14ac:dyDescent="0.2">
      <c r="O3343" s="4">
        <f t="shared" ca="1" si="293"/>
        <v>0.99792813599252495</v>
      </c>
      <c r="P3343" s="4">
        <f t="shared" ca="1" si="294"/>
        <v>2.8670077986513052</v>
      </c>
      <c r="Q3343" s="4">
        <f t="shared" ca="1" si="295"/>
        <v>1836.4084101960436</v>
      </c>
      <c r="R3343" s="4">
        <f t="shared" ca="1" si="296"/>
        <v>-87.261633803956329</v>
      </c>
      <c r="S3343" s="4">
        <f t="shared" ca="1" si="297"/>
        <v>-41.073027382470698</v>
      </c>
    </row>
    <row r="3344" spans="15:19" x14ac:dyDescent="0.2">
      <c r="O3344" s="4">
        <f t="shared" ca="1" si="293"/>
        <v>0.14183460450446628</v>
      </c>
      <c r="P3344" s="4">
        <f t="shared" ca="1" si="294"/>
        <v>-1.0721131591900166</v>
      </c>
      <c r="Q3344" s="4">
        <f t="shared" ca="1" si="295"/>
        <v>1955.7439047208309</v>
      </c>
      <c r="R3344" s="4">
        <f t="shared" ca="1" si="296"/>
        <v>32.073860720830908</v>
      </c>
      <c r="S3344" s="4">
        <f t="shared" ca="1" si="297"/>
        <v>16.654867816486917</v>
      </c>
    </row>
    <row r="3345" spans="15:19" x14ac:dyDescent="0.2">
      <c r="O3345" s="4">
        <f t="shared" ca="1" si="293"/>
        <v>0.51183314275343117</v>
      </c>
      <c r="P3345" s="4">
        <f t="shared" ca="1" si="294"/>
        <v>2.9665640838251219E-2</v>
      </c>
      <c r="Q3345" s="4">
        <f t="shared" ca="1" si="295"/>
        <v>1922.3655648918468</v>
      </c>
      <c r="R3345" s="4">
        <f t="shared" ca="1" si="296"/>
        <v>-1.3044791081531457</v>
      </c>
      <c r="S3345" s="4">
        <f t="shared" ca="1" si="297"/>
        <v>-0.65964740603994587</v>
      </c>
    </row>
    <row r="3346" spans="15:19" x14ac:dyDescent="0.2">
      <c r="O3346" s="4">
        <f t="shared" ca="1" si="293"/>
        <v>0.5337709081627956</v>
      </c>
      <c r="P3346" s="4">
        <f t="shared" ca="1" si="294"/>
        <v>8.47524665874934E-2</v>
      </c>
      <c r="Q3346" s="4">
        <f t="shared" ca="1" si="295"/>
        <v>1920.6967119515734</v>
      </c>
      <c r="R3346" s="4">
        <f t="shared" ca="1" si="296"/>
        <v>-2.9733320484265278</v>
      </c>
      <c r="S3346" s="4">
        <f t="shared" ca="1" si="297"/>
        <v>-1.5015310281032628</v>
      </c>
    </row>
    <row r="3347" spans="15:19" x14ac:dyDescent="0.2">
      <c r="O3347" s="4">
        <f t="shared" ca="1" si="293"/>
        <v>0.27340072037577179</v>
      </c>
      <c r="P3347" s="4">
        <f t="shared" ca="1" si="294"/>
        <v>-0.60255999438706798</v>
      </c>
      <c r="Q3347" s="4">
        <f t="shared" ca="1" si="295"/>
        <v>1941.5188124408144</v>
      </c>
      <c r="R3347" s="4">
        <f t="shared" ca="1" si="296"/>
        <v>17.84876844081441</v>
      </c>
      <c r="S3347" s="4">
        <f t="shared" ca="1" si="297"/>
        <v>9.1649049292571441</v>
      </c>
    </row>
    <row r="3348" spans="15:19" x14ac:dyDescent="0.2">
      <c r="O3348" s="4">
        <f t="shared" ca="1" si="293"/>
        <v>0.85790212923401699</v>
      </c>
      <c r="P3348" s="4">
        <f t="shared" ca="1" si="294"/>
        <v>1.070941483934031</v>
      </c>
      <c r="Q3348" s="4">
        <f t="shared" ca="1" si="295"/>
        <v>1890.8201594568623</v>
      </c>
      <c r="R3348" s="4">
        <f t="shared" ca="1" si="296"/>
        <v>-32.849884543137705</v>
      </c>
      <c r="S3348" s="4">
        <f t="shared" ca="1" si="297"/>
        <v>-16.189658844529795</v>
      </c>
    </row>
    <row r="3349" spans="15:19" x14ac:dyDescent="0.2">
      <c r="O3349" s="4">
        <f t="shared" ca="1" si="293"/>
        <v>0.93978466998695742</v>
      </c>
      <c r="P3349" s="4">
        <f t="shared" ca="1" si="294"/>
        <v>1.5529685009462659</v>
      </c>
      <c r="Q3349" s="4">
        <f t="shared" ca="1" si="295"/>
        <v>1876.2171723779923</v>
      </c>
      <c r="R3349" s="4">
        <f t="shared" ca="1" si="296"/>
        <v>-47.452871622007706</v>
      </c>
      <c r="S3349" s="4">
        <f t="shared" ca="1" si="297"/>
        <v>-23.104480095432034</v>
      </c>
    </row>
    <row r="3350" spans="15:19" x14ac:dyDescent="0.2">
      <c r="O3350" s="4">
        <f t="shared" ca="1" si="293"/>
        <v>0.99744692553724235</v>
      </c>
      <c r="P3350" s="4">
        <f t="shared" ca="1" si="294"/>
        <v>2.800259822903171</v>
      </c>
      <c r="Q3350" s="4">
        <f t="shared" ca="1" si="295"/>
        <v>1838.43053715779</v>
      </c>
      <c r="R3350" s="4">
        <f t="shared" ca="1" si="296"/>
        <v>-85.239506842209948</v>
      </c>
      <c r="S3350" s="4">
        <f t="shared" ca="1" si="297"/>
        <v>-40.19140047258211</v>
      </c>
    </row>
    <row r="3351" spans="15:19" x14ac:dyDescent="0.2">
      <c r="O3351" s="4">
        <f t="shared" ca="1" si="293"/>
        <v>5.7362684662295882E-2</v>
      </c>
      <c r="P3351" s="4">
        <f t="shared" ca="1" si="294"/>
        <v>-1.5773049702191047</v>
      </c>
      <c r="Q3351" s="4">
        <f t="shared" ca="1" si="295"/>
        <v>1971.0486682059477</v>
      </c>
      <c r="R3351" s="4">
        <f t="shared" ca="1" si="296"/>
        <v>47.378624205947744</v>
      </c>
      <c r="S3351" s="4">
        <f t="shared" ca="1" si="297"/>
        <v>24.897285786431322</v>
      </c>
    </row>
    <row r="3352" spans="15:19" x14ac:dyDescent="0.2">
      <c r="O3352" s="4">
        <f t="shared" ca="1" si="293"/>
        <v>0.38268751517522226</v>
      </c>
      <c r="P3352" s="4">
        <f t="shared" ca="1" si="294"/>
        <v>-0.29842995359816121</v>
      </c>
      <c r="Q3352" s="4">
        <f t="shared" ca="1" si="295"/>
        <v>1932.3052063581831</v>
      </c>
      <c r="R3352" s="4">
        <f t="shared" ca="1" si="296"/>
        <v>8.6351623581831518</v>
      </c>
      <c r="S3352" s="4">
        <f t="shared" ca="1" si="297"/>
        <v>4.4015573019825975</v>
      </c>
    </row>
    <row r="3353" spans="15:19" x14ac:dyDescent="0.2">
      <c r="O3353" s="4">
        <f t="shared" ca="1" si="293"/>
        <v>0.85787177524754799</v>
      </c>
      <c r="P3353" s="4">
        <f t="shared" ca="1" si="294"/>
        <v>1.0708064870174219</v>
      </c>
      <c r="Q3353" s="4">
        <f t="shared" ca="1" si="295"/>
        <v>1890.8242491824572</v>
      </c>
      <c r="R3353" s="4">
        <f t="shared" ca="1" si="296"/>
        <v>-32.84579481754281</v>
      </c>
      <c r="S3353" s="4">
        <f t="shared" ca="1" si="297"/>
        <v>-16.187697955636217</v>
      </c>
    </row>
    <row r="3354" spans="15:19" x14ac:dyDescent="0.2">
      <c r="O3354" s="4">
        <f t="shared" ca="1" si="293"/>
        <v>0.39986513423559056</v>
      </c>
      <c r="P3354" s="4">
        <f t="shared" ca="1" si="294"/>
        <v>-0.25369620197820419</v>
      </c>
      <c r="Q3354" s="4">
        <f t="shared" ca="1" si="295"/>
        <v>1930.9499993389904</v>
      </c>
      <c r="R3354" s="4">
        <f t="shared" ca="1" si="296"/>
        <v>7.2799553389904759</v>
      </c>
      <c r="S3354" s="4">
        <f t="shared" ca="1" si="297"/>
        <v>3.7067584520224455</v>
      </c>
    </row>
    <row r="3355" spans="15:19" x14ac:dyDescent="0.2">
      <c r="O3355" s="4">
        <f t="shared" ca="1" si="293"/>
        <v>0.11790552832761769</v>
      </c>
      <c r="P3355" s="4">
        <f t="shared" ca="1" si="294"/>
        <v>-1.1855221641852853</v>
      </c>
      <c r="Q3355" s="4">
        <f t="shared" ca="1" si="295"/>
        <v>1959.1796254919166</v>
      </c>
      <c r="R3355" s="4">
        <f t="shared" ca="1" si="296"/>
        <v>35.509581491916606</v>
      </c>
      <c r="S3355" s="4">
        <f t="shared" ca="1" si="297"/>
        <v>18.488583916765712</v>
      </c>
    </row>
    <row r="3356" spans="15:19" x14ac:dyDescent="0.2">
      <c r="O3356" s="4">
        <f t="shared" ca="1" si="293"/>
        <v>0.57551108176138599</v>
      </c>
      <c r="P3356" s="4">
        <f t="shared" ca="1" si="294"/>
        <v>0.19042279520247732</v>
      </c>
      <c r="Q3356" s="4">
        <f t="shared" ca="1" si="295"/>
        <v>1917.495434037839</v>
      </c>
      <c r="R3356" s="4">
        <f t="shared" ca="1" si="296"/>
        <v>-6.1746099621609574</v>
      </c>
      <c r="S3356" s="4">
        <f t="shared" ca="1" si="297"/>
        <v>-3.1101281993484773</v>
      </c>
    </row>
    <row r="3357" spans="15:19" x14ac:dyDescent="0.2">
      <c r="O3357" s="4">
        <f t="shared" ca="1" si="293"/>
        <v>0.33425519322619612</v>
      </c>
      <c r="P3357" s="4">
        <f t="shared" ca="1" si="294"/>
        <v>-0.42819331014303247</v>
      </c>
      <c r="Q3357" s="4">
        <f t="shared" ca="1" si="295"/>
        <v>1936.2363814833473</v>
      </c>
      <c r="R3357" s="4">
        <f t="shared" ca="1" si="296"/>
        <v>12.566337483347297</v>
      </c>
      <c r="S3357" s="4">
        <f t="shared" ca="1" si="297"/>
        <v>6.4254845767519821</v>
      </c>
    </row>
    <row r="3358" spans="15:19" x14ac:dyDescent="0.2">
      <c r="O3358" s="4">
        <f t="shared" ca="1" si="293"/>
        <v>0.45209254739567839</v>
      </c>
      <c r="P3358" s="4">
        <f t="shared" ca="1" si="294"/>
        <v>-0.12037626204800146</v>
      </c>
      <c r="Q3358" s="4">
        <f t="shared" ca="1" si="295"/>
        <v>1926.911077678076</v>
      </c>
      <c r="R3358" s="4">
        <f t="shared" ca="1" si="296"/>
        <v>3.2410336780760645</v>
      </c>
      <c r="S3358" s="4">
        <f t="shared" ca="1" si="297"/>
        <v>1.6449189704444338</v>
      </c>
    </row>
    <row r="3359" spans="15:19" x14ac:dyDescent="0.2">
      <c r="O3359" s="4">
        <f t="shared" ca="1" si="293"/>
        <v>0.76346693048750092</v>
      </c>
      <c r="P3359" s="4">
        <f t="shared" ca="1" si="294"/>
        <v>0.71749918515032374</v>
      </c>
      <c r="Q3359" s="4">
        <f t="shared" ca="1" si="295"/>
        <v>1901.5276782060314</v>
      </c>
      <c r="R3359" s="4">
        <f t="shared" ca="1" si="296"/>
        <v>-22.142365793968565</v>
      </c>
      <c r="S3359" s="4">
        <f t="shared" ca="1" si="297"/>
        <v>-11.009102771270445</v>
      </c>
    </row>
    <row r="3360" spans="15:19" x14ac:dyDescent="0.2">
      <c r="O3360" s="4">
        <f t="shared" ca="1" si="293"/>
        <v>0.3866623276075386</v>
      </c>
      <c r="P3360" s="4">
        <f t="shared" ca="1" si="294"/>
        <v>-0.28802884959799635</v>
      </c>
      <c r="Q3360" s="4">
        <f t="shared" ca="1" si="295"/>
        <v>1931.9901053742965</v>
      </c>
      <c r="R3360" s="4">
        <f t="shared" ca="1" si="296"/>
        <v>8.3200613742965288</v>
      </c>
      <c r="S3360" s="4">
        <f t="shared" ca="1" si="297"/>
        <v>4.2398752863831106</v>
      </c>
    </row>
    <row r="3361" spans="15:19" x14ac:dyDescent="0.2">
      <c r="O3361" s="4">
        <f t="shared" ca="1" si="293"/>
        <v>0.48653527821681763</v>
      </c>
      <c r="P3361" s="4">
        <f t="shared" ca="1" si="294"/>
        <v>-3.3757462713718989E-2</v>
      </c>
      <c r="Q3361" s="4">
        <f t="shared" ca="1" si="295"/>
        <v>1924.2869649980319</v>
      </c>
      <c r="R3361" s="4">
        <f t="shared" ca="1" si="296"/>
        <v>0.61692099803190104</v>
      </c>
      <c r="S3361" s="4">
        <f t="shared" ca="1" si="297"/>
        <v>0.31244637898107097</v>
      </c>
    </row>
    <row r="3362" spans="15:19" x14ac:dyDescent="0.2">
      <c r="O3362" s="4">
        <f t="shared" ca="1" si="293"/>
        <v>0.91054977355626987</v>
      </c>
      <c r="P3362" s="4">
        <f t="shared" ca="1" si="294"/>
        <v>1.3441482476763107</v>
      </c>
      <c r="Q3362" s="4">
        <f t="shared" ca="1" si="295"/>
        <v>1882.5433726793958</v>
      </c>
      <c r="R3362" s="4">
        <f t="shared" ca="1" si="296"/>
        <v>-41.126671320604146</v>
      </c>
      <c r="S3362" s="4">
        <f t="shared" ca="1" si="297"/>
        <v>-20.130205706508065</v>
      </c>
    </row>
    <row r="3363" spans="15:19" x14ac:dyDescent="0.2">
      <c r="O3363" s="4">
        <f t="shared" ca="1" si="293"/>
        <v>0.50819523972673264</v>
      </c>
      <c r="P3363" s="4">
        <f t="shared" ca="1" si="294"/>
        <v>2.054386461588191E-2</v>
      </c>
      <c r="Q3363" s="4">
        <f t="shared" ca="1" si="295"/>
        <v>1922.6419086975061</v>
      </c>
      <c r="R3363" s="4">
        <f t="shared" ca="1" si="296"/>
        <v>-1.0281353024938653</v>
      </c>
      <c r="S3363" s="4">
        <f t="shared" ca="1" si="297"/>
        <v>-0.5200218631190745</v>
      </c>
    </row>
    <row r="3364" spans="15:19" x14ac:dyDescent="0.2">
      <c r="O3364" s="4">
        <f t="shared" ca="1" si="293"/>
        <v>0.38238617105883932</v>
      </c>
      <c r="P3364" s="4">
        <f t="shared" ca="1" si="294"/>
        <v>-0.29921980084318972</v>
      </c>
      <c r="Q3364" s="4">
        <f t="shared" ca="1" si="295"/>
        <v>1932.3291347454028</v>
      </c>
      <c r="R3364" s="4">
        <f t="shared" ca="1" si="296"/>
        <v>8.6590907454028638</v>
      </c>
      <c r="S3364" s="4">
        <f t="shared" ca="1" si="297"/>
        <v>4.4138385408158163</v>
      </c>
    </row>
    <row r="3365" spans="15:19" x14ac:dyDescent="0.2">
      <c r="O3365" s="4">
        <f t="shared" ca="1" si="293"/>
        <v>0.96224272022534496</v>
      </c>
      <c r="P3365" s="4">
        <f t="shared" ca="1" si="294"/>
        <v>1.7773263568992315</v>
      </c>
      <c r="Q3365" s="4">
        <f t="shared" ca="1" si="295"/>
        <v>1869.4202610931607</v>
      </c>
      <c r="R3365" s="4">
        <f t="shared" ca="1" si="296"/>
        <v>-54.2497829068393</v>
      </c>
      <c r="S3365" s="4">
        <f t="shared" ca="1" si="297"/>
        <v>-26.263750894119077</v>
      </c>
    </row>
    <row r="3366" spans="15:19" x14ac:dyDescent="0.2">
      <c r="O3366" s="4">
        <f t="shared" ca="1" si="293"/>
        <v>0.21115687226199653</v>
      </c>
      <c r="P3366" s="4">
        <f t="shared" ca="1" si="294"/>
        <v>-0.80241360715406207</v>
      </c>
      <c r="Q3366" s="4">
        <f t="shared" ca="1" si="295"/>
        <v>1947.5733687662912</v>
      </c>
      <c r="R3366" s="4">
        <f t="shared" ca="1" si="296"/>
        <v>23.903324766291234</v>
      </c>
      <c r="S3366" s="4">
        <f t="shared" ca="1" si="297"/>
        <v>12.332683837432398</v>
      </c>
    </row>
    <row r="3367" spans="15:19" x14ac:dyDescent="0.2">
      <c r="O3367" s="4">
        <f t="shared" ca="1" si="293"/>
        <v>1.9788831338927726E-2</v>
      </c>
      <c r="P3367" s="4">
        <f t="shared" ca="1" si="294"/>
        <v>-2.058129929338095</v>
      </c>
      <c r="Q3367" s="4">
        <f t="shared" ca="1" si="295"/>
        <v>1985.6152389943122</v>
      </c>
      <c r="R3367" s="4">
        <f t="shared" ca="1" si="296"/>
        <v>61.94519499431226</v>
      </c>
      <c r="S3367" s="4">
        <f t="shared" ca="1" si="297"/>
        <v>32.919273410356325</v>
      </c>
    </row>
    <row r="3368" spans="15:19" x14ac:dyDescent="0.2">
      <c r="O3368" s="4">
        <f t="shared" ca="1" si="293"/>
        <v>0.14708069725207851</v>
      </c>
      <c r="P3368" s="4">
        <f t="shared" ca="1" si="294"/>
        <v>-1.0490363375094967</v>
      </c>
      <c r="Q3368" s="4">
        <f t="shared" ca="1" si="295"/>
        <v>1955.0447934326071</v>
      </c>
      <c r="R3368" s="4">
        <f t="shared" ca="1" si="296"/>
        <v>31.374749432607132</v>
      </c>
      <c r="S3368" s="4">
        <f t="shared" ca="1" si="297"/>
        <v>16.282914204659814</v>
      </c>
    </row>
    <row r="3369" spans="15:19" x14ac:dyDescent="0.2">
      <c r="O3369" s="4">
        <f t="shared" ca="1" si="293"/>
        <v>0.58972305833733174</v>
      </c>
      <c r="P3369" s="4">
        <f t="shared" ca="1" si="294"/>
        <v>0.22683263843283111</v>
      </c>
      <c r="Q3369" s="4">
        <f t="shared" ca="1" si="295"/>
        <v>1916.3923994537361</v>
      </c>
      <c r="R3369" s="4">
        <f t="shared" ca="1" si="296"/>
        <v>-7.2776445462639003</v>
      </c>
      <c r="S3369" s="4">
        <f t="shared" ca="1" si="297"/>
        <v>-3.6624548938520647</v>
      </c>
    </row>
    <row r="3370" spans="15:19" x14ac:dyDescent="0.2">
      <c r="O3370" s="4">
        <f t="shared" ca="1" si="293"/>
        <v>0.59755378582972729</v>
      </c>
      <c r="P3370" s="4">
        <f t="shared" ca="1" si="294"/>
        <v>0.24702041027050428</v>
      </c>
      <c r="Q3370" s="4">
        <f t="shared" ca="1" si="295"/>
        <v>1915.7808118022303</v>
      </c>
      <c r="R3370" s="4">
        <f t="shared" ca="1" si="296"/>
        <v>-7.8892321977696156</v>
      </c>
      <c r="S3370" s="4">
        <f t="shared" ca="1" si="297"/>
        <v>-3.9682706304251565</v>
      </c>
    </row>
    <row r="3371" spans="15:19" x14ac:dyDescent="0.2">
      <c r="O3371" s="4">
        <f t="shared" ca="1" si="293"/>
        <v>0.29223740349966032</v>
      </c>
      <c r="P3371" s="4">
        <f t="shared" ca="1" si="294"/>
        <v>-0.54686016188069275</v>
      </c>
      <c r="Q3371" s="4">
        <f t="shared" ca="1" si="295"/>
        <v>1939.8313884880506</v>
      </c>
      <c r="R3371" s="4">
        <f t="shared" ca="1" si="296"/>
        <v>16.161344488050645</v>
      </c>
      <c r="S3371" s="4">
        <f t="shared" ca="1" si="297"/>
        <v>8.2873529053500867</v>
      </c>
    </row>
    <row r="3372" spans="15:19" x14ac:dyDescent="0.2">
      <c r="O3372" s="4">
        <f t="shared" ca="1" si="293"/>
        <v>0.995553084554478</v>
      </c>
      <c r="P3372" s="4">
        <f t="shared" ca="1" si="294"/>
        <v>2.6161084319407721</v>
      </c>
      <c r="Q3372" s="4">
        <f t="shared" ca="1" si="295"/>
        <v>1844.0093953708592</v>
      </c>
      <c r="R3372" s="4">
        <f t="shared" ca="1" si="296"/>
        <v>-79.660648629140724</v>
      </c>
      <c r="S3372" s="4">
        <f t="shared" ca="1" si="297"/>
        <v>-37.741813002048787</v>
      </c>
    </row>
    <row r="3373" spans="15:19" x14ac:dyDescent="0.2">
      <c r="O3373" s="4">
        <f t="shared" ca="1" si="293"/>
        <v>0.90379502033691472</v>
      </c>
      <c r="P3373" s="4">
        <f t="shared" ca="1" si="294"/>
        <v>1.3034828744451878</v>
      </c>
      <c r="Q3373" s="4">
        <f t="shared" ca="1" si="295"/>
        <v>1883.7753283559309</v>
      </c>
      <c r="R3373" s="4">
        <f t="shared" ca="1" si="296"/>
        <v>-39.894715644069038</v>
      </c>
      <c r="S3373" s="4">
        <f t="shared" ca="1" si="297"/>
        <v>-19.547209192246111</v>
      </c>
    </row>
    <row r="3374" spans="15:19" x14ac:dyDescent="0.2">
      <c r="O3374" s="4">
        <f t="shared" ca="1" si="293"/>
        <v>6.9648453900546192E-2</v>
      </c>
      <c r="P3374" s="4">
        <f t="shared" ca="1" si="294"/>
        <v>-1.4784143462162764</v>
      </c>
      <c r="Q3374" s="4">
        <f t="shared" ca="1" si="295"/>
        <v>1968.0527811424267</v>
      </c>
      <c r="R3374" s="4">
        <f t="shared" ca="1" si="296"/>
        <v>44.382737142426777</v>
      </c>
      <c r="S3374" s="4">
        <f t="shared" ca="1" si="297"/>
        <v>23.268832362945172</v>
      </c>
    </row>
    <row r="3375" spans="15:19" x14ac:dyDescent="0.2">
      <c r="O3375" s="4">
        <f t="shared" ca="1" si="293"/>
        <v>0.56638918177419284</v>
      </c>
      <c r="P3375" s="4">
        <f t="shared" ca="1" si="294"/>
        <v>0.16718862237238005</v>
      </c>
      <c r="Q3375" s="4">
        <f t="shared" ca="1" si="295"/>
        <v>1918.1993122721528</v>
      </c>
      <c r="R3375" s="4">
        <f t="shared" ca="1" si="296"/>
        <v>-5.4707317278471237</v>
      </c>
      <c r="S3375" s="4">
        <f t="shared" ca="1" si="297"/>
        <v>-2.7571548494911595</v>
      </c>
    </row>
    <row r="3376" spans="15:19" x14ac:dyDescent="0.2">
      <c r="O3376" s="4">
        <f t="shared" ca="1" si="293"/>
        <v>0.15818324066010414</v>
      </c>
      <c r="P3376" s="4">
        <f t="shared" ca="1" si="294"/>
        <v>-1.001952610388535</v>
      </c>
      <c r="Q3376" s="4">
        <f t="shared" ca="1" si="295"/>
        <v>1953.6183940099481</v>
      </c>
      <c r="R3376" s="4">
        <f t="shared" ca="1" si="296"/>
        <v>29.948350009948172</v>
      </c>
      <c r="S3376" s="4">
        <f t="shared" ca="1" si="297"/>
        <v>15.525249998110549</v>
      </c>
    </row>
    <row r="3377" spans="15:19" x14ac:dyDescent="0.2">
      <c r="O3377" s="4">
        <f t="shared" ca="1" si="293"/>
        <v>0.52662679564166326</v>
      </c>
      <c r="P3377" s="4">
        <f t="shared" ca="1" si="294"/>
        <v>6.6793109834789449E-2</v>
      </c>
      <c r="Q3377" s="4">
        <f t="shared" ca="1" si="295"/>
        <v>1921.2407898670192</v>
      </c>
      <c r="R3377" s="4">
        <f t="shared" ca="1" si="296"/>
        <v>-2.4292541329807591</v>
      </c>
      <c r="S3377" s="4">
        <f t="shared" ca="1" si="297"/>
        <v>-1.2273100087227478</v>
      </c>
    </row>
    <row r="3378" spans="15:19" x14ac:dyDescent="0.2">
      <c r="O3378" s="4">
        <f t="shared" ca="1" si="293"/>
        <v>0.51923376650509623</v>
      </c>
      <c r="P3378" s="4">
        <f t="shared" ca="1" si="294"/>
        <v>4.8230595350611576E-2</v>
      </c>
      <c r="Q3378" s="4">
        <f t="shared" ca="1" si="295"/>
        <v>1921.8031404191604</v>
      </c>
      <c r="R3378" s="4">
        <f t="shared" ca="1" si="296"/>
        <v>-1.866903580839562</v>
      </c>
      <c r="S3378" s="4">
        <f t="shared" ca="1" si="297"/>
        <v>-0.94362610859567786</v>
      </c>
    </row>
    <row r="3379" spans="15:19" x14ac:dyDescent="0.2">
      <c r="O3379" s="4">
        <f t="shared" ca="1" si="293"/>
        <v>0.88165493107236392</v>
      </c>
      <c r="P3379" s="4">
        <f t="shared" ca="1" si="294"/>
        <v>1.1833003406535632</v>
      </c>
      <c r="Q3379" s="4">
        <f t="shared" ca="1" si="295"/>
        <v>1887.4162528811644</v>
      </c>
      <c r="R3379" s="4">
        <f t="shared" ca="1" si="296"/>
        <v>-36.253791118835579</v>
      </c>
      <c r="S3379" s="4">
        <f t="shared" ca="1" si="297"/>
        <v>-17.816997871056365</v>
      </c>
    </row>
    <row r="3380" spans="15:19" x14ac:dyDescent="0.2">
      <c r="O3380" s="4">
        <f t="shared" ca="1" si="293"/>
        <v>0.97971003906809417</v>
      </c>
      <c r="P3380" s="4">
        <f t="shared" ca="1" si="294"/>
        <v>2.0477967202176939</v>
      </c>
      <c r="Q3380" s="4">
        <f t="shared" ca="1" si="295"/>
        <v>1861.2263734450403</v>
      </c>
      <c r="R3380" s="4">
        <f t="shared" ca="1" si="296"/>
        <v>-62.443670554959681</v>
      </c>
      <c r="S3380" s="4">
        <f t="shared" ca="1" si="297"/>
        <v>-30.022348458070461</v>
      </c>
    </row>
    <row r="3381" spans="15:19" x14ac:dyDescent="0.2">
      <c r="O3381" s="4">
        <f t="shared" ca="1" si="293"/>
        <v>0.66677148913847917</v>
      </c>
      <c r="P3381" s="4">
        <f t="shared" ca="1" si="294"/>
        <v>0.43101560800535094</v>
      </c>
      <c r="Q3381" s="4">
        <f t="shared" ca="1" si="295"/>
        <v>1910.2066854560551</v>
      </c>
      <c r="R3381" s="4">
        <f t="shared" ca="1" si="296"/>
        <v>-13.463358543944878</v>
      </c>
      <c r="S3381" s="4">
        <f t="shared" ca="1" si="297"/>
        <v>-6.7414977757966508</v>
      </c>
    </row>
    <row r="3382" spans="15:19" x14ac:dyDescent="0.2">
      <c r="O3382" s="4">
        <f t="shared" ca="1" si="293"/>
        <v>0.11505223596623571</v>
      </c>
      <c r="P3382" s="4">
        <f t="shared" ca="1" si="294"/>
        <v>-1.2000897860287956</v>
      </c>
      <c r="Q3382" s="4">
        <f t="shared" ca="1" si="295"/>
        <v>1959.6209509488779</v>
      </c>
      <c r="R3382" s="4">
        <f t="shared" ca="1" si="296"/>
        <v>35.950906948877901</v>
      </c>
      <c r="S3382" s="4">
        <f t="shared" ca="1" si="297"/>
        <v>18.724825063430899</v>
      </c>
    </row>
    <row r="3383" spans="15:19" x14ac:dyDescent="0.2">
      <c r="O3383" s="4">
        <f t="shared" ca="1" si="293"/>
        <v>0.76581128781968044</v>
      </c>
      <c r="P3383" s="4">
        <f t="shared" ca="1" si="294"/>
        <v>0.72512161614614001</v>
      </c>
      <c r="Q3383" s="4">
        <f t="shared" ca="1" si="295"/>
        <v>1901.2967569974414</v>
      </c>
      <c r="R3383" s="4">
        <f t="shared" ca="1" si="296"/>
        <v>-22.373287002558527</v>
      </c>
      <c r="S3383" s="4">
        <f t="shared" ca="1" si="297"/>
        <v>-11.121812836700292</v>
      </c>
    </row>
    <row r="3384" spans="15:19" x14ac:dyDescent="0.2">
      <c r="O3384" s="4">
        <f t="shared" ca="1" si="293"/>
        <v>0.4122114256391024</v>
      </c>
      <c r="P3384" s="4">
        <f t="shared" ca="1" si="294"/>
        <v>-0.22186002391425738</v>
      </c>
      <c r="Q3384" s="4">
        <f t="shared" ca="1" si="295"/>
        <v>1929.9855237380373</v>
      </c>
      <c r="R3384" s="4">
        <f t="shared" ca="1" si="296"/>
        <v>6.3154797380373111</v>
      </c>
      <c r="S3384" s="4">
        <f t="shared" ca="1" si="297"/>
        <v>3.2131937747282553</v>
      </c>
    </row>
    <row r="3385" spans="15:19" x14ac:dyDescent="0.2">
      <c r="O3385" s="4">
        <f t="shared" ca="1" si="293"/>
        <v>0.65469256188367353</v>
      </c>
      <c r="P3385" s="4">
        <f t="shared" ca="1" si="294"/>
        <v>0.39802076921814517</v>
      </c>
      <c r="Q3385" s="4">
        <f t="shared" ca="1" si="295"/>
        <v>1911.206262632176</v>
      </c>
      <c r="R3385" s="4">
        <f t="shared" ca="1" si="296"/>
        <v>-12.463781367823913</v>
      </c>
      <c r="S3385" s="4">
        <f t="shared" ca="1" si="297"/>
        <v>-6.2460516967068589</v>
      </c>
    </row>
    <row r="3386" spans="15:19" x14ac:dyDescent="0.2">
      <c r="O3386" s="4">
        <f t="shared" ca="1" si="293"/>
        <v>0.79069067466631526</v>
      </c>
      <c r="P3386" s="4">
        <f t="shared" ca="1" si="294"/>
        <v>0.80882006905390713</v>
      </c>
      <c r="Q3386" s="4">
        <f t="shared" ca="1" si="295"/>
        <v>1898.761116082728</v>
      </c>
      <c r="R3386" s="4">
        <f t="shared" ca="1" si="296"/>
        <v>-24.908927917271967</v>
      </c>
      <c r="S3386" s="4">
        <f t="shared" ca="1" si="297"/>
        <v>-12.35657528206214</v>
      </c>
    </row>
    <row r="3387" spans="15:19" x14ac:dyDescent="0.2">
      <c r="O3387" s="4">
        <f t="shared" ca="1" si="293"/>
        <v>0.68429670143196841</v>
      </c>
      <c r="P3387" s="4">
        <f t="shared" ca="1" si="294"/>
        <v>0.47974799314717093</v>
      </c>
      <c r="Q3387" s="4">
        <f t="shared" ca="1" si="295"/>
        <v>1908.7303400118526</v>
      </c>
      <c r="R3387" s="4">
        <f t="shared" ca="1" si="296"/>
        <v>-14.939703988147357</v>
      </c>
      <c r="S3387" s="4">
        <f t="shared" ca="1" si="297"/>
        <v>-7.4717687755798883</v>
      </c>
    </row>
    <row r="3388" spans="15:19" x14ac:dyDescent="0.2">
      <c r="O3388" s="4">
        <f t="shared" ca="1" si="293"/>
        <v>0.32547103251723319</v>
      </c>
      <c r="P3388" s="4">
        <f t="shared" ca="1" si="294"/>
        <v>-0.45245384399355137</v>
      </c>
      <c r="Q3388" s="4">
        <f t="shared" ca="1" si="295"/>
        <v>1936.9713532792052</v>
      </c>
      <c r="R3388" s="4">
        <f t="shared" ca="1" si="296"/>
        <v>13.30130927920527</v>
      </c>
      <c r="S3388" s="4">
        <f t="shared" ca="1" si="297"/>
        <v>6.8052736951673536</v>
      </c>
    </row>
    <row r="3389" spans="15:19" x14ac:dyDescent="0.2">
      <c r="O3389" s="4">
        <f t="shared" ca="1" si="293"/>
        <v>0.57279971700232957</v>
      </c>
      <c r="P3389" s="4">
        <f t="shared" ca="1" si="294"/>
        <v>0.18350656770304216</v>
      </c>
      <c r="Q3389" s="4">
        <f t="shared" ca="1" si="295"/>
        <v>1917.7049608428608</v>
      </c>
      <c r="R3389" s="4">
        <f t="shared" ca="1" si="296"/>
        <v>-5.9650831571391336</v>
      </c>
      <c r="S3389" s="4">
        <f t="shared" ca="1" si="297"/>
        <v>-3.005099096016226</v>
      </c>
    </row>
    <row r="3390" spans="15:19" x14ac:dyDescent="0.2">
      <c r="O3390" s="4">
        <f t="shared" ca="1" si="293"/>
        <v>0.19007808701704054</v>
      </c>
      <c r="P3390" s="4">
        <f t="shared" ca="1" si="294"/>
        <v>-0.87760857527401925</v>
      </c>
      <c r="Q3390" s="4">
        <f t="shared" ca="1" si="295"/>
        <v>1949.8513969869041</v>
      </c>
      <c r="R3390" s="4">
        <f t="shared" ca="1" si="296"/>
        <v>26.18135298690413</v>
      </c>
      <c r="S3390" s="4">
        <f t="shared" ca="1" si="297"/>
        <v>13.532288317941925</v>
      </c>
    </row>
    <row r="3391" spans="15:19" x14ac:dyDescent="0.2">
      <c r="O3391" s="4">
        <f t="shared" ca="1" si="293"/>
        <v>0.91591705388460876</v>
      </c>
      <c r="P3391" s="4">
        <f t="shared" ca="1" si="294"/>
        <v>1.3781211316780502</v>
      </c>
      <c r="Q3391" s="4">
        <f t="shared" ca="1" si="295"/>
        <v>1881.5141656669252</v>
      </c>
      <c r="R3391" s="4">
        <f t="shared" ca="1" si="296"/>
        <v>-42.155878333074725</v>
      </c>
      <c r="S3391" s="4">
        <f t="shared" ca="1" si="297"/>
        <v>-20.616308444986743</v>
      </c>
    </row>
    <row r="3392" spans="15:19" x14ac:dyDescent="0.2">
      <c r="O3392" s="4">
        <f t="shared" ca="1" si="293"/>
        <v>0.87288523365870363</v>
      </c>
      <c r="P3392" s="4">
        <f t="shared" ca="1" si="294"/>
        <v>1.1401362715546013</v>
      </c>
      <c r="Q3392" s="4">
        <f t="shared" ca="1" si="295"/>
        <v>1888.7239064380763</v>
      </c>
      <c r="R3392" s="4">
        <f t="shared" ca="1" si="296"/>
        <v>-34.946137561923706</v>
      </c>
      <c r="S3392" s="4">
        <f t="shared" ca="1" si="297"/>
        <v>-17.192950947331713</v>
      </c>
    </row>
    <row r="3393" spans="15:19" x14ac:dyDescent="0.2">
      <c r="O3393" s="4">
        <f t="shared" ca="1" si="293"/>
        <v>0.80791206456189013</v>
      </c>
      <c r="P3393" s="4">
        <f t="shared" ca="1" si="294"/>
        <v>0.87022790158640295</v>
      </c>
      <c r="Q3393" s="4">
        <f t="shared" ca="1" si="295"/>
        <v>1896.9007685226022</v>
      </c>
      <c r="R3393" s="4">
        <f t="shared" ca="1" si="296"/>
        <v>-26.769275477397741</v>
      </c>
      <c r="S3393" s="4">
        <f t="shared" ca="1" si="297"/>
        <v>-13.259166039828665</v>
      </c>
    </row>
    <row r="3394" spans="15:19" x14ac:dyDescent="0.2">
      <c r="O3394" s="4">
        <f t="shared" ca="1" si="293"/>
        <v>7.856979109490847E-2</v>
      </c>
      <c r="P3394" s="4">
        <f t="shared" ca="1" si="294"/>
        <v>-1.4147575913458095</v>
      </c>
      <c r="Q3394" s="4">
        <f t="shared" ca="1" si="295"/>
        <v>1966.124302579922</v>
      </c>
      <c r="R3394" s="4">
        <f t="shared" ca="1" si="296"/>
        <v>42.454258579921998</v>
      </c>
      <c r="S3394" s="4">
        <f t="shared" ca="1" si="297"/>
        <v>22.224448475705778</v>
      </c>
    </row>
    <row r="3395" spans="15:19" x14ac:dyDescent="0.2">
      <c r="O3395" s="4">
        <f t="shared" ref="O3395:O3458" ca="1" si="298">RAND()</f>
        <v>0.39844251737940439</v>
      </c>
      <c r="P3395" s="4">
        <f t="shared" ref="P3395:P3458" ca="1" si="299">NORMSINV(O3395)</f>
        <v>-0.25738052582816012</v>
      </c>
      <c r="Q3395" s="4">
        <f t="shared" ref="Q3395:Q3458" ca="1" si="300">$B$4*(1+$B$17-$B$6/SQRT(252)*P3395)</f>
        <v>1931.0616157664442</v>
      </c>
      <c r="R3395" s="4">
        <f t="shared" ref="R3395:R3458" ca="1" si="301">Q3395-$B$4</f>
        <v>7.3915717664442582</v>
      </c>
      <c r="S3395" s="4">
        <f t="shared" ref="S3395:S3458" ca="1" si="302">R3395*$B$12+0.5*$B$13*R3395^2</f>
        <v>3.7639263906952207</v>
      </c>
    </row>
    <row r="3396" spans="15:19" x14ac:dyDescent="0.2">
      <c r="O3396" s="4">
        <f t="shared" ca="1" si="298"/>
        <v>0.67536765223032025</v>
      </c>
      <c r="P3396" s="4">
        <f t="shared" ca="1" si="299"/>
        <v>0.4547839257795811</v>
      </c>
      <c r="Q3396" s="4">
        <f t="shared" ca="1" si="300"/>
        <v>1909.4866253243742</v>
      </c>
      <c r="R3396" s="4">
        <f t="shared" ca="1" si="301"/>
        <v>-14.183418675625717</v>
      </c>
      <c r="S3396" s="4">
        <f t="shared" ca="1" si="302"/>
        <v>-7.0978956010616603</v>
      </c>
    </row>
    <row r="3397" spans="15:19" x14ac:dyDescent="0.2">
      <c r="O3397" s="4">
        <f t="shared" ca="1" si="298"/>
        <v>0.75495287050576521</v>
      </c>
      <c r="P3397" s="4">
        <f t="shared" ca="1" si="299"/>
        <v>0.69015891186044398</v>
      </c>
      <c r="Q3397" s="4">
        <f t="shared" ca="1" si="300"/>
        <v>1902.3559505714677</v>
      </c>
      <c r="R3397" s="4">
        <f t="shared" ca="1" si="301"/>
        <v>-21.31409342853226</v>
      </c>
      <c r="S3397" s="4">
        <f t="shared" ca="1" si="302"/>
        <v>-10.604475148932522</v>
      </c>
    </row>
    <row r="3398" spans="15:19" x14ac:dyDescent="0.2">
      <c r="O3398" s="4">
        <f t="shared" ca="1" si="298"/>
        <v>8.3025796712625666E-2</v>
      </c>
      <c r="P3398" s="4">
        <f t="shared" ca="1" si="299"/>
        <v>-1.3850028581138223</v>
      </c>
      <c r="Q3398" s="4">
        <f t="shared" ca="1" si="300"/>
        <v>1965.2228842577388</v>
      </c>
      <c r="R3398" s="4">
        <f t="shared" ca="1" si="301"/>
        <v>41.552840257738808</v>
      </c>
      <c r="S3398" s="4">
        <f t="shared" ca="1" si="302"/>
        <v>21.737316155552758</v>
      </c>
    </row>
    <row r="3399" spans="15:19" x14ac:dyDescent="0.2">
      <c r="O3399" s="4">
        <f t="shared" ca="1" si="298"/>
        <v>9.3749801098941599E-2</v>
      </c>
      <c r="P3399" s="4">
        <f t="shared" ca="1" si="299"/>
        <v>-1.3180120856560538</v>
      </c>
      <c r="Q3399" s="4">
        <f t="shared" ca="1" si="300"/>
        <v>1963.193401780454</v>
      </c>
      <c r="R3399" s="4">
        <f t="shared" ca="1" si="301"/>
        <v>39.523357780454035</v>
      </c>
      <c r="S3399" s="4">
        <f t="shared" ca="1" si="302"/>
        <v>20.642991968011806</v>
      </c>
    </row>
    <row r="3400" spans="15:19" x14ac:dyDescent="0.2">
      <c r="O3400" s="4">
        <f t="shared" ca="1" si="298"/>
        <v>0.49196407613296811</v>
      </c>
      <c r="P3400" s="4">
        <f t="shared" ca="1" si="299"/>
        <v>-2.0144436324676471E-2</v>
      </c>
      <c r="Q3400" s="4">
        <f t="shared" ca="1" si="300"/>
        <v>1923.8745589679802</v>
      </c>
      <c r="R3400" s="4">
        <f t="shared" ca="1" si="301"/>
        <v>0.20451496798023072</v>
      </c>
      <c r="S3400" s="4">
        <f t="shared" ca="1" si="302"/>
        <v>0.10354450622528483</v>
      </c>
    </row>
    <row r="3401" spans="15:19" x14ac:dyDescent="0.2">
      <c r="O3401" s="4">
        <f t="shared" ca="1" si="298"/>
        <v>0.56456386438471962</v>
      </c>
      <c r="P3401" s="4">
        <f t="shared" ca="1" si="299"/>
        <v>0.16255061752080871</v>
      </c>
      <c r="Q3401" s="4">
        <f t="shared" ca="1" si="300"/>
        <v>1918.3398204232085</v>
      </c>
      <c r="R3401" s="4">
        <f t="shared" ca="1" si="301"/>
        <v>-5.3302235767914681</v>
      </c>
      <c r="S3401" s="4">
        <f t="shared" ca="1" si="302"/>
        <v>-2.6866460244808548</v>
      </c>
    </row>
    <row r="3402" spans="15:19" x14ac:dyDescent="0.2">
      <c r="O3402" s="4">
        <f t="shared" ca="1" si="298"/>
        <v>0.46222469181019943</v>
      </c>
      <c r="P3402" s="4">
        <f t="shared" ca="1" si="299"/>
        <v>-9.4830596833771041E-2</v>
      </c>
      <c r="Q3402" s="4">
        <f t="shared" ca="1" si="300"/>
        <v>1926.1371728846127</v>
      </c>
      <c r="R3402" s="4">
        <f t="shared" ca="1" si="301"/>
        <v>2.4671288846127482</v>
      </c>
      <c r="S3402" s="4">
        <f t="shared" ca="1" si="302"/>
        <v>1.251362525090969</v>
      </c>
    </row>
    <row r="3403" spans="15:19" x14ac:dyDescent="0.2">
      <c r="O3403" s="4">
        <f t="shared" ca="1" si="298"/>
        <v>0.14404284631692243</v>
      </c>
      <c r="P3403" s="4">
        <f t="shared" ca="1" si="299"/>
        <v>-1.0623304563340288</v>
      </c>
      <c r="Q3403" s="4">
        <f t="shared" ca="1" si="300"/>
        <v>1955.4475381721506</v>
      </c>
      <c r="R3403" s="4">
        <f t="shared" ca="1" si="301"/>
        <v>31.777494172150682</v>
      </c>
      <c r="S3403" s="4">
        <f t="shared" ca="1" si="302"/>
        <v>16.497141030565036</v>
      </c>
    </row>
    <row r="3404" spans="15:19" x14ac:dyDescent="0.2">
      <c r="O3404" s="4">
        <f t="shared" ca="1" si="298"/>
        <v>5.8987144998013163E-2</v>
      </c>
      <c r="P3404" s="4">
        <f t="shared" ca="1" si="299"/>
        <v>-1.5633330009494417</v>
      </c>
      <c r="Q3404" s="4">
        <f t="shared" ca="1" si="300"/>
        <v>1970.6253880172651</v>
      </c>
      <c r="R3404" s="4">
        <f t="shared" ca="1" si="301"/>
        <v>46.955344017265134</v>
      </c>
      <c r="S3404" s="4">
        <f t="shared" ca="1" si="302"/>
        <v>24.666763056921518</v>
      </c>
    </row>
    <row r="3405" spans="15:19" x14ac:dyDescent="0.2">
      <c r="O3405" s="4">
        <f t="shared" ca="1" si="298"/>
        <v>0.24583052559194796</v>
      </c>
      <c r="P3405" s="4">
        <f t="shared" ca="1" si="299"/>
        <v>-0.68766930912008017</v>
      </c>
      <c r="Q3405" s="4">
        <f t="shared" ca="1" si="300"/>
        <v>1944.0971953518831</v>
      </c>
      <c r="R3405" s="4">
        <f t="shared" ca="1" si="301"/>
        <v>20.42715135188314</v>
      </c>
      <c r="S3405" s="4">
        <f t="shared" ca="1" si="302"/>
        <v>10.510281266584904</v>
      </c>
    </row>
    <row r="3406" spans="15:19" x14ac:dyDescent="0.2">
      <c r="O3406" s="4">
        <f t="shared" ca="1" si="298"/>
        <v>0.85162276961100647</v>
      </c>
      <c r="P3406" s="4">
        <f t="shared" ca="1" si="299"/>
        <v>1.0434186042179883</v>
      </c>
      <c r="Q3406" s="4">
        <f t="shared" ca="1" si="300"/>
        <v>1891.6539638758716</v>
      </c>
      <c r="R3406" s="4">
        <f t="shared" ca="1" si="301"/>
        <v>-32.016080124128393</v>
      </c>
      <c r="S3406" s="4">
        <f t="shared" ca="1" si="302"/>
        <v>-15.789595434591094</v>
      </c>
    </row>
    <row r="3407" spans="15:19" x14ac:dyDescent="0.2">
      <c r="O3407" s="4">
        <f t="shared" ca="1" si="298"/>
        <v>0.81189235837080098</v>
      </c>
      <c r="P3407" s="4">
        <f t="shared" ca="1" si="299"/>
        <v>0.88489125826618098</v>
      </c>
      <c r="Q3407" s="4">
        <f t="shared" ca="1" si="300"/>
        <v>1896.4565427830266</v>
      </c>
      <c r="R3407" s="4">
        <f t="shared" ca="1" si="301"/>
        <v>-27.213501216973327</v>
      </c>
      <c r="S3407" s="4">
        <f t="shared" ca="1" si="302"/>
        <v>-13.47427572094773</v>
      </c>
    </row>
    <row r="3408" spans="15:19" x14ac:dyDescent="0.2">
      <c r="O3408" s="4">
        <f t="shared" ca="1" si="298"/>
        <v>0.87406604899842588</v>
      </c>
      <c r="P3408" s="4">
        <f t="shared" ca="1" si="299"/>
        <v>1.1458241947677028</v>
      </c>
      <c r="Q3408" s="4">
        <f t="shared" ca="1" si="300"/>
        <v>1888.5515910568733</v>
      </c>
      <c r="R3408" s="4">
        <f t="shared" ca="1" si="301"/>
        <v>-35.118452943126613</v>
      </c>
      <c r="S3408" s="4">
        <f t="shared" ca="1" si="302"/>
        <v>-17.275264050237901</v>
      </c>
    </row>
    <row r="3409" spans="15:19" x14ac:dyDescent="0.2">
      <c r="O3409" s="4">
        <f t="shared" ca="1" si="298"/>
        <v>0.94037936322910931</v>
      </c>
      <c r="P3409" s="4">
        <f t="shared" ca="1" si="299"/>
        <v>1.5579661458753282</v>
      </c>
      <c r="Q3409" s="4">
        <f t="shared" ca="1" si="300"/>
        <v>1876.0657689467566</v>
      </c>
      <c r="R3409" s="4">
        <f t="shared" ca="1" si="301"/>
        <v>-47.604275053243327</v>
      </c>
      <c r="S3409" s="4">
        <f t="shared" ca="1" si="302"/>
        <v>-23.175263463895355</v>
      </c>
    </row>
    <row r="3410" spans="15:19" x14ac:dyDescent="0.2">
      <c r="O3410" s="4">
        <f t="shared" ca="1" si="298"/>
        <v>0.88303755336057477</v>
      </c>
      <c r="P3410" s="4">
        <f t="shared" ca="1" si="299"/>
        <v>1.1903091817970017</v>
      </c>
      <c r="Q3410" s="4">
        <f t="shared" ca="1" si="300"/>
        <v>1887.2039203499096</v>
      </c>
      <c r="R3410" s="4">
        <f t="shared" ca="1" si="301"/>
        <v>-36.466123650090367</v>
      </c>
      <c r="S3410" s="4">
        <f t="shared" ca="1" si="302"/>
        <v>-17.918197202198449</v>
      </c>
    </row>
    <row r="3411" spans="15:19" x14ac:dyDescent="0.2">
      <c r="O3411" s="4">
        <f t="shared" ca="1" si="298"/>
        <v>8.1795831887648718E-2</v>
      </c>
      <c r="P3411" s="4">
        <f t="shared" ca="1" si="299"/>
        <v>-1.3930930193236215</v>
      </c>
      <c r="Q3411" s="4">
        <f t="shared" ca="1" si="300"/>
        <v>1965.4679753323951</v>
      </c>
      <c r="R3411" s="4">
        <f t="shared" ca="1" si="301"/>
        <v>41.797931332395137</v>
      </c>
      <c r="S3411" s="4">
        <f t="shared" ca="1" si="302"/>
        <v>21.869699484151901</v>
      </c>
    </row>
    <row r="3412" spans="15:19" x14ac:dyDescent="0.2">
      <c r="O3412" s="4">
        <f t="shared" ca="1" si="298"/>
        <v>0.26017728968140375</v>
      </c>
      <c r="P3412" s="4">
        <f t="shared" ca="1" si="299"/>
        <v>-0.64279892716980713</v>
      </c>
      <c r="Q3412" s="4">
        <f t="shared" ca="1" si="300"/>
        <v>1942.7378491228992</v>
      </c>
      <c r="R3412" s="4">
        <f t="shared" ca="1" si="301"/>
        <v>19.067805122899244</v>
      </c>
      <c r="S3412" s="4">
        <f t="shared" ca="1" si="302"/>
        <v>9.8003124349612758</v>
      </c>
    </row>
    <row r="3413" spans="15:19" x14ac:dyDescent="0.2">
      <c r="O3413" s="4">
        <f t="shared" ca="1" si="298"/>
        <v>0.72508861038137251</v>
      </c>
      <c r="P3413" s="4">
        <f t="shared" ca="1" si="299"/>
        <v>0.59802570854260706</v>
      </c>
      <c r="Q3413" s="4">
        <f t="shared" ca="1" si="300"/>
        <v>1905.14712187536</v>
      </c>
      <c r="R3413" s="4">
        <f t="shared" ca="1" si="301"/>
        <v>-18.52292212463999</v>
      </c>
      <c r="S3413" s="4">
        <f t="shared" ca="1" si="302"/>
        <v>-9.2368197103866407</v>
      </c>
    </row>
    <row r="3414" spans="15:19" x14ac:dyDescent="0.2">
      <c r="O3414" s="4">
        <f t="shared" ca="1" si="298"/>
        <v>0.9115515925937987</v>
      </c>
      <c r="P3414" s="4">
        <f t="shared" ca="1" si="299"/>
        <v>1.3503716033356234</v>
      </c>
      <c r="Q3414" s="4">
        <f t="shared" ca="1" si="300"/>
        <v>1882.3548363960078</v>
      </c>
      <c r="R3414" s="4">
        <f t="shared" ca="1" si="301"/>
        <v>-41.315207603992121</v>
      </c>
      <c r="S3414" s="4">
        <f t="shared" ca="1" si="302"/>
        <v>-20.219317426681499</v>
      </c>
    </row>
    <row r="3415" spans="15:19" x14ac:dyDescent="0.2">
      <c r="O3415" s="4">
        <f t="shared" ca="1" si="298"/>
        <v>0.2307629255953294</v>
      </c>
      <c r="P3415" s="4">
        <f t="shared" ca="1" si="299"/>
        <v>-0.73633664354874961</v>
      </c>
      <c r="Q3415" s="4">
        <f t="shared" ca="1" si="300"/>
        <v>1945.571570087619</v>
      </c>
      <c r="R3415" s="4">
        <f t="shared" ca="1" si="301"/>
        <v>21.901526087619004</v>
      </c>
      <c r="S3415" s="4">
        <f t="shared" ca="1" si="302"/>
        <v>11.282028710811868</v>
      </c>
    </row>
    <row r="3416" spans="15:19" x14ac:dyDescent="0.2">
      <c r="O3416" s="4">
        <f t="shared" ca="1" si="298"/>
        <v>0.89552869844519201</v>
      </c>
      <c r="P3416" s="4">
        <f t="shared" ca="1" si="299"/>
        <v>1.2564783154021577</v>
      </c>
      <c r="Q3416" s="4">
        <f t="shared" ca="1" si="300"/>
        <v>1885.1993293851845</v>
      </c>
      <c r="R3416" s="4">
        <f t="shared" ca="1" si="301"/>
        <v>-38.470714614815506</v>
      </c>
      <c r="S3416" s="4">
        <f t="shared" ca="1" si="302"/>
        <v>-18.871791776863777</v>
      </c>
    </row>
    <row r="3417" spans="15:19" x14ac:dyDescent="0.2">
      <c r="O3417" s="4">
        <f t="shared" ca="1" si="298"/>
        <v>0.62449735267192086</v>
      </c>
      <c r="P3417" s="4">
        <f t="shared" ca="1" si="299"/>
        <v>0.31731408005853484</v>
      </c>
      <c r="Q3417" s="4">
        <f t="shared" ca="1" si="300"/>
        <v>1913.6512681969705</v>
      </c>
      <c r="R3417" s="4">
        <f t="shared" ca="1" si="301"/>
        <v>-10.018775803029484</v>
      </c>
      <c r="S3417" s="4">
        <f t="shared" ca="1" si="302"/>
        <v>-5.0307425173456481</v>
      </c>
    </row>
    <row r="3418" spans="15:19" x14ac:dyDescent="0.2">
      <c r="O3418" s="4">
        <f t="shared" ca="1" si="298"/>
        <v>0.75639805926449688</v>
      </c>
      <c r="P3418" s="4">
        <f t="shared" ca="1" si="299"/>
        <v>0.69476293261707422</v>
      </c>
      <c r="Q3418" s="4">
        <f t="shared" ca="1" si="300"/>
        <v>1902.2164719670595</v>
      </c>
      <c r="R3418" s="4">
        <f t="shared" ca="1" si="301"/>
        <v>-21.453572032940428</v>
      </c>
      <c r="S3418" s="4">
        <f t="shared" ca="1" si="302"/>
        <v>-10.672652345783135</v>
      </c>
    </row>
    <row r="3419" spans="15:19" x14ac:dyDescent="0.2">
      <c r="O3419" s="4">
        <f t="shared" ca="1" si="298"/>
        <v>7.6376903120288775E-2</v>
      </c>
      <c r="P3419" s="4">
        <f t="shared" ca="1" si="299"/>
        <v>-1.4298718375266513</v>
      </c>
      <c r="Q3419" s="4">
        <f t="shared" ca="1" si="300"/>
        <v>1966.582187996913</v>
      </c>
      <c r="R3419" s="4">
        <f t="shared" ca="1" si="301"/>
        <v>42.912143996913073</v>
      </c>
      <c r="S3419" s="4">
        <f t="shared" ca="1" si="302"/>
        <v>22.472146093180807</v>
      </c>
    </row>
    <row r="3420" spans="15:19" x14ac:dyDescent="0.2">
      <c r="O3420" s="4">
        <f t="shared" ca="1" si="298"/>
        <v>0.73209631048435353</v>
      </c>
      <c r="P3420" s="4">
        <f t="shared" ca="1" si="299"/>
        <v>0.61916543627990028</v>
      </c>
      <c r="Q3420" s="4">
        <f t="shared" ca="1" si="300"/>
        <v>1904.5066947621413</v>
      </c>
      <c r="R3420" s="4">
        <f t="shared" ca="1" si="301"/>
        <v>-19.163349237858711</v>
      </c>
      <c r="S3420" s="4">
        <f t="shared" ca="1" si="302"/>
        <v>-9.5511854460759906</v>
      </c>
    </row>
    <row r="3421" spans="15:19" x14ac:dyDescent="0.2">
      <c r="O3421" s="4">
        <f t="shared" ca="1" si="298"/>
        <v>0.14872663267355191</v>
      </c>
      <c r="P3421" s="4">
        <f t="shared" ca="1" si="299"/>
        <v>-1.0419103063650055</v>
      </c>
      <c r="Q3421" s="4">
        <f t="shared" ca="1" si="300"/>
        <v>1954.8289106354732</v>
      </c>
      <c r="R3421" s="4">
        <f t="shared" ca="1" si="301"/>
        <v>31.15886663547326</v>
      </c>
      <c r="S3421" s="4">
        <f t="shared" ca="1" si="302"/>
        <v>16.168136811352067</v>
      </c>
    </row>
    <row r="3422" spans="15:19" x14ac:dyDescent="0.2">
      <c r="O3422" s="4">
        <f t="shared" ca="1" si="298"/>
        <v>0.99521019067698813</v>
      </c>
      <c r="P3422" s="4">
        <f t="shared" ca="1" si="299"/>
        <v>2.5906452473107842</v>
      </c>
      <c r="Q3422" s="4">
        <f t="shared" ca="1" si="300"/>
        <v>1844.7808014186849</v>
      </c>
      <c r="R3422" s="4">
        <f t="shared" ca="1" si="301"/>
        <v>-78.889242581315102</v>
      </c>
      <c r="S3422" s="4">
        <f t="shared" ca="1" si="302"/>
        <v>-37.401106853935801</v>
      </c>
    </row>
    <row r="3423" spans="15:19" x14ac:dyDescent="0.2">
      <c r="O3423" s="4">
        <f t="shared" ca="1" si="298"/>
        <v>8.131349687318068E-2</v>
      </c>
      <c r="P3423" s="4">
        <f t="shared" ca="1" si="299"/>
        <v>-1.3962906317643451</v>
      </c>
      <c r="Q3423" s="4">
        <f t="shared" ca="1" si="300"/>
        <v>1965.5648468593158</v>
      </c>
      <c r="R3423" s="4">
        <f t="shared" ca="1" si="301"/>
        <v>41.89480285931586</v>
      </c>
      <c r="S3423" s="4">
        <f t="shared" ca="1" si="302"/>
        <v>21.922037090452289</v>
      </c>
    </row>
    <row r="3424" spans="15:19" x14ac:dyDescent="0.2">
      <c r="O3424" s="4">
        <f t="shared" ca="1" si="298"/>
        <v>0.1442079491314705</v>
      </c>
      <c r="P3424" s="4">
        <f t="shared" ca="1" si="299"/>
        <v>-1.0616031166155777</v>
      </c>
      <c r="Q3424" s="4">
        <f t="shared" ca="1" si="300"/>
        <v>1955.4255034476735</v>
      </c>
      <c r="R3424" s="4">
        <f t="shared" ca="1" si="301"/>
        <v>31.755459447673502</v>
      </c>
      <c r="S3424" s="4">
        <f t="shared" ca="1" si="302"/>
        <v>16.485416968326199</v>
      </c>
    </row>
    <row r="3425" spans="15:19" x14ac:dyDescent="0.2">
      <c r="O3425" s="4">
        <f t="shared" ca="1" si="298"/>
        <v>4.0949210253316215E-2</v>
      </c>
      <c r="P3425" s="4">
        <f t="shared" ca="1" si="299"/>
        <v>-1.7397756456601134</v>
      </c>
      <c r="Q3425" s="4">
        <f t="shared" ca="1" si="300"/>
        <v>1975.9707101048982</v>
      </c>
      <c r="R3425" s="4">
        <f t="shared" ca="1" si="301"/>
        <v>52.300666104898255</v>
      </c>
      <c r="S3425" s="4">
        <f t="shared" ca="1" si="302"/>
        <v>27.588590207384733</v>
      </c>
    </row>
    <row r="3426" spans="15:19" x14ac:dyDescent="0.2">
      <c r="O3426" s="4">
        <f t="shared" ca="1" si="298"/>
        <v>0.46996083870267102</v>
      </c>
      <c r="P3426" s="4">
        <f t="shared" ca="1" si="299"/>
        <v>-7.5368303747360574E-2</v>
      </c>
      <c r="Q3426" s="4">
        <f t="shared" ca="1" si="300"/>
        <v>1925.5475635796665</v>
      </c>
      <c r="R3426" s="4">
        <f t="shared" ca="1" si="301"/>
        <v>1.8775195796665685</v>
      </c>
      <c r="S3426" s="4">
        <f t="shared" ca="1" si="302"/>
        <v>0.95185375284742513</v>
      </c>
    </row>
    <row r="3427" spans="15:19" x14ac:dyDescent="0.2">
      <c r="O3427" s="4">
        <f t="shared" ca="1" si="298"/>
        <v>0.57331717597127274</v>
      </c>
      <c r="P3427" s="4">
        <f t="shared" ca="1" si="299"/>
        <v>0.18482582926003865</v>
      </c>
      <c r="Q3427" s="4">
        <f t="shared" ca="1" si="300"/>
        <v>1917.6649938725654</v>
      </c>
      <c r="R3427" s="4">
        <f t="shared" ca="1" si="301"/>
        <v>-6.0050501274345152</v>
      </c>
      <c r="S3427" s="4">
        <f t="shared" ca="1" si="302"/>
        <v>-3.0251360218798675</v>
      </c>
    </row>
    <row r="3428" spans="15:19" x14ac:dyDescent="0.2">
      <c r="O3428" s="4">
        <f t="shared" ca="1" si="298"/>
        <v>0.99369389221577675</v>
      </c>
      <c r="P3428" s="4">
        <f t="shared" ca="1" si="299"/>
        <v>2.4945353710130092</v>
      </c>
      <c r="Q3428" s="4">
        <f t="shared" ca="1" si="300"/>
        <v>1847.6924458539438</v>
      </c>
      <c r="R3428" s="4">
        <f t="shared" ca="1" si="301"/>
        <v>-75.977598146056152</v>
      </c>
      <c r="S3428" s="4">
        <f t="shared" ca="1" si="302"/>
        <v>-36.110758426826081</v>
      </c>
    </row>
    <row r="3429" spans="15:19" x14ac:dyDescent="0.2">
      <c r="O3429" s="4">
        <f t="shared" ca="1" si="298"/>
        <v>0.61069451902005711</v>
      </c>
      <c r="P3429" s="4">
        <f t="shared" ca="1" si="299"/>
        <v>0.28112964800392359</v>
      </c>
      <c r="Q3429" s="4">
        <f t="shared" ca="1" si="300"/>
        <v>1914.7474739595123</v>
      </c>
      <c r="R3429" s="4">
        <f t="shared" ca="1" si="301"/>
        <v>-8.9225700404876989</v>
      </c>
      <c r="S3429" s="4">
        <f t="shared" ca="1" si="302"/>
        <v>-4.4842846507642884</v>
      </c>
    </row>
    <row r="3430" spans="15:19" x14ac:dyDescent="0.2">
      <c r="O3430" s="4">
        <f t="shared" ca="1" si="298"/>
        <v>0.50428878014181733</v>
      </c>
      <c r="P3430" s="4">
        <f t="shared" ca="1" si="299"/>
        <v>1.0750584646827897E-2</v>
      </c>
      <c r="Q3430" s="4">
        <f t="shared" ca="1" si="300"/>
        <v>1922.9385956793565</v>
      </c>
      <c r="R3430" s="4">
        <f t="shared" ca="1" si="301"/>
        <v>-0.7314483206434943</v>
      </c>
      <c r="S3430" s="4">
        <f t="shared" ca="1" si="302"/>
        <v>-0.37004851556513219</v>
      </c>
    </row>
    <row r="3431" spans="15:19" x14ac:dyDescent="0.2">
      <c r="O3431" s="4">
        <f t="shared" ca="1" si="298"/>
        <v>0.81284481368231498</v>
      </c>
      <c r="P3431" s="4">
        <f t="shared" ca="1" si="299"/>
        <v>0.88842836598908803</v>
      </c>
      <c r="Q3431" s="4">
        <f t="shared" ca="1" si="300"/>
        <v>1896.3493862616051</v>
      </c>
      <c r="R3431" s="4">
        <f t="shared" ca="1" si="301"/>
        <v>-27.320657738394857</v>
      </c>
      <c r="S3431" s="4">
        <f t="shared" ca="1" si="302"/>
        <v>-13.526140615001207</v>
      </c>
    </row>
    <row r="3432" spans="15:19" x14ac:dyDescent="0.2">
      <c r="O3432" s="4">
        <f t="shared" ca="1" si="298"/>
        <v>0.22629503583071153</v>
      </c>
      <c r="P3432" s="4">
        <f t="shared" ca="1" si="299"/>
        <v>-0.75110399497234814</v>
      </c>
      <c r="Q3432" s="4">
        <f t="shared" ca="1" si="300"/>
        <v>1946.0189463433412</v>
      </c>
      <c r="R3432" s="4">
        <f t="shared" ca="1" si="301"/>
        <v>22.348902343341251</v>
      </c>
      <c r="S3432" s="4">
        <f t="shared" ca="1" si="302"/>
        <v>11.516553536431203</v>
      </c>
    </row>
    <row r="3433" spans="15:19" x14ac:dyDescent="0.2">
      <c r="O3433" s="4">
        <f t="shared" ca="1" si="298"/>
        <v>0.70806877955806335</v>
      </c>
      <c r="P3433" s="4">
        <f t="shared" ca="1" si="299"/>
        <v>0.54775165131446168</v>
      </c>
      <c r="Q3433" s="4">
        <f t="shared" ca="1" si="300"/>
        <v>1906.6701722069688</v>
      </c>
      <c r="R3433" s="4">
        <f t="shared" ca="1" si="301"/>
        <v>-16.999871793031161</v>
      </c>
      <c r="S3433" s="4">
        <f t="shared" ca="1" si="302"/>
        <v>-8.487860381955997</v>
      </c>
    </row>
    <row r="3434" spans="15:19" x14ac:dyDescent="0.2">
      <c r="O3434" s="4">
        <f t="shared" ca="1" si="298"/>
        <v>0.8912384194409152</v>
      </c>
      <c r="P3434" s="4">
        <f t="shared" ca="1" si="299"/>
        <v>1.2331410052264775</v>
      </c>
      <c r="Q3434" s="4">
        <f t="shared" ca="1" si="300"/>
        <v>1885.9063321608035</v>
      </c>
      <c r="R3434" s="4">
        <f t="shared" ca="1" si="301"/>
        <v>-37.763711839196503</v>
      </c>
      <c r="S3434" s="4">
        <f t="shared" ca="1" si="302"/>
        <v>-18.535840244043172</v>
      </c>
    </row>
    <row r="3435" spans="15:19" x14ac:dyDescent="0.2">
      <c r="O3435" s="4">
        <f t="shared" ca="1" si="298"/>
        <v>0.17873593277406785</v>
      </c>
      <c r="P3435" s="4">
        <f t="shared" ca="1" si="299"/>
        <v>-0.92019308827606972</v>
      </c>
      <c r="Q3435" s="4">
        <f t="shared" ca="1" si="300"/>
        <v>1951.1414929175914</v>
      </c>
      <c r="R3435" s="4">
        <f t="shared" ca="1" si="301"/>
        <v>27.471448917591488</v>
      </c>
      <c r="S3435" s="4">
        <f t="shared" ca="1" si="302"/>
        <v>14.21352373143171</v>
      </c>
    </row>
    <row r="3436" spans="15:19" x14ac:dyDescent="0.2">
      <c r="O3436" s="4">
        <f t="shared" ca="1" si="298"/>
        <v>2.7527004218420359E-2</v>
      </c>
      <c r="P3436" s="4">
        <f t="shared" ca="1" si="299"/>
        <v>-1.9184497462339265</v>
      </c>
      <c r="Q3436" s="4">
        <f t="shared" ca="1" si="300"/>
        <v>1981.3836340488315</v>
      </c>
      <c r="R3436" s="4">
        <f t="shared" ca="1" si="301"/>
        <v>57.71359004883152</v>
      </c>
      <c r="S3436" s="4">
        <f t="shared" ca="1" si="302"/>
        <v>30.571074562854644</v>
      </c>
    </row>
    <row r="3437" spans="15:19" x14ac:dyDescent="0.2">
      <c r="O3437" s="4">
        <f t="shared" ca="1" si="298"/>
        <v>0.35381801385434286</v>
      </c>
      <c r="P3437" s="4">
        <f t="shared" ca="1" si="299"/>
        <v>-0.37503286104836742</v>
      </c>
      <c r="Q3437" s="4">
        <f t="shared" ca="1" si="300"/>
        <v>1934.6258880382948</v>
      </c>
      <c r="R3437" s="4">
        <f t="shared" ca="1" si="301"/>
        <v>10.955844038294799</v>
      </c>
      <c r="S3437" s="4">
        <f t="shared" ca="1" si="302"/>
        <v>5.5948162939084787</v>
      </c>
    </row>
    <row r="3438" spans="15:19" x14ac:dyDescent="0.2">
      <c r="O3438" s="4">
        <f t="shared" ca="1" si="298"/>
        <v>0.63042796321106964</v>
      </c>
      <c r="P3438" s="4">
        <f t="shared" ca="1" si="299"/>
        <v>0.33298703000851931</v>
      </c>
      <c r="Q3438" s="4">
        <f t="shared" ca="1" si="300"/>
        <v>1913.1764568740989</v>
      </c>
      <c r="R3438" s="4">
        <f t="shared" ca="1" si="301"/>
        <v>-10.493587125901058</v>
      </c>
      <c r="S3438" s="4">
        <f t="shared" ca="1" si="302"/>
        <v>-5.2671320081048458</v>
      </c>
    </row>
    <row r="3439" spans="15:19" x14ac:dyDescent="0.2">
      <c r="O3439" s="4">
        <f t="shared" ca="1" si="298"/>
        <v>0.77081383845133633</v>
      </c>
      <c r="P3439" s="4">
        <f t="shared" ca="1" si="299"/>
        <v>0.7415297124831115</v>
      </c>
      <c r="Q3439" s="4">
        <f t="shared" ca="1" si="300"/>
        <v>1900.799674447416</v>
      </c>
      <c r="R3439" s="4">
        <f t="shared" ca="1" si="301"/>
        <v>-22.870369552583952</v>
      </c>
      <c r="S3439" s="4">
        <f t="shared" ca="1" si="302"/>
        <v>-11.364285973830286</v>
      </c>
    </row>
    <row r="3440" spans="15:19" x14ac:dyDescent="0.2">
      <c r="O3440" s="4">
        <f t="shared" ca="1" si="298"/>
        <v>0.86044399669231419</v>
      </c>
      <c r="P3440" s="4">
        <f t="shared" ca="1" si="299"/>
        <v>1.0823162976751035</v>
      </c>
      <c r="Q3440" s="4">
        <f t="shared" ca="1" si="300"/>
        <v>1890.4755599796067</v>
      </c>
      <c r="R3440" s="4">
        <f t="shared" ca="1" si="301"/>
        <v>-33.194484020393247</v>
      </c>
      <c r="S3440" s="4">
        <f t="shared" ca="1" si="302"/>
        <v>-16.354834045800228</v>
      </c>
    </row>
    <row r="3441" spans="15:19" x14ac:dyDescent="0.2">
      <c r="O3441" s="4">
        <f t="shared" ca="1" si="298"/>
        <v>0.25114802046808316</v>
      </c>
      <c r="P3441" s="4">
        <f t="shared" ca="1" si="299"/>
        <v>-0.67088147121287423</v>
      </c>
      <c r="Q3441" s="4">
        <f t="shared" ca="1" si="300"/>
        <v>1943.5886085478473</v>
      </c>
      <c r="R3441" s="4">
        <f t="shared" ca="1" si="301"/>
        <v>19.918564547847382</v>
      </c>
      <c r="S3441" s="4">
        <f t="shared" ca="1" si="302"/>
        <v>10.244476869785551</v>
      </c>
    </row>
    <row r="3442" spans="15:19" x14ac:dyDescent="0.2">
      <c r="O3442" s="4">
        <f t="shared" ca="1" si="298"/>
        <v>0.29903896381535477</v>
      </c>
      <c r="P3442" s="4">
        <f t="shared" ca="1" si="299"/>
        <v>-0.52716656104942339</v>
      </c>
      <c r="Q3442" s="4">
        <f t="shared" ca="1" si="300"/>
        <v>1939.2347717252433</v>
      </c>
      <c r="R3442" s="4">
        <f t="shared" ca="1" si="301"/>
        <v>15.564727725243301</v>
      </c>
      <c r="S3442" s="4">
        <f t="shared" ca="1" si="302"/>
        <v>7.9776345251406653</v>
      </c>
    </row>
    <row r="3443" spans="15:19" x14ac:dyDescent="0.2">
      <c r="O3443" s="4">
        <f t="shared" ca="1" si="298"/>
        <v>0.90444242834887245</v>
      </c>
      <c r="P3443" s="4">
        <f t="shared" ca="1" si="299"/>
        <v>1.3072873368074707</v>
      </c>
      <c r="Q3443" s="4">
        <f t="shared" ca="1" si="300"/>
        <v>1883.66007233758</v>
      </c>
      <c r="R3443" s="4">
        <f t="shared" ca="1" si="301"/>
        <v>-40.009971662419957</v>
      </c>
      <c r="S3443" s="4">
        <f t="shared" ca="1" si="302"/>
        <v>-19.601804015207694</v>
      </c>
    </row>
    <row r="3444" spans="15:19" x14ac:dyDescent="0.2">
      <c r="O3444" s="4">
        <f t="shared" ca="1" si="298"/>
        <v>0.43802104586414148</v>
      </c>
      <c r="P3444" s="4">
        <f t="shared" ca="1" si="299"/>
        <v>-0.15598849264247425</v>
      </c>
      <c r="Q3444" s="4">
        <f t="shared" ca="1" si="300"/>
        <v>1927.9899486227882</v>
      </c>
      <c r="R3444" s="4">
        <f t="shared" ca="1" si="301"/>
        <v>4.3199046227882718</v>
      </c>
      <c r="S3444" s="4">
        <f t="shared" ca="1" si="302"/>
        <v>2.1943745863856514</v>
      </c>
    </row>
    <row r="3445" spans="15:19" x14ac:dyDescent="0.2">
      <c r="O3445" s="4">
        <f t="shared" ca="1" si="298"/>
        <v>0.76115740281578204</v>
      </c>
      <c r="P3445" s="4">
        <f t="shared" ca="1" si="299"/>
        <v>0.7100305457000905</v>
      </c>
      <c r="Q3445" s="4">
        <f t="shared" ca="1" si="300"/>
        <v>1901.7539403065764</v>
      </c>
      <c r="R3445" s="4">
        <f t="shared" ca="1" si="301"/>
        <v>-21.916103693423565</v>
      </c>
      <c r="S3445" s="4">
        <f t="shared" ca="1" si="302"/>
        <v>-10.898624655927692</v>
      </c>
    </row>
    <row r="3446" spans="15:19" x14ac:dyDescent="0.2">
      <c r="O3446" s="4">
        <f t="shared" ca="1" si="298"/>
        <v>0.12921434750129479</v>
      </c>
      <c r="P3446" s="4">
        <f t="shared" ca="1" si="299"/>
        <v>-1.1301128043819</v>
      </c>
      <c r="Q3446" s="4">
        <f t="shared" ca="1" si="300"/>
        <v>1957.5010013967931</v>
      </c>
      <c r="R3446" s="4">
        <f t="shared" ca="1" si="301"/>
        <v>33.83095739679311</v>
      </c>
      <c r="S3446" s="4">
        <f t="shared" ca="1" si="302"/>
        <v>17.591466443568848</v>
      </c>
    </row>
    <row r="3447" spans="15:19" x14ac:dyDescent="0.2">
      <c r="O3447" s="4">
        <f t="shared" ca="1" si="298"/>
        <v>0.80205133996405287</v>
      </c>
      <c r="P3447" s="4">
        <f t="shared" ca="1" si="299"/>
        <v>0.84897119629875917</v>
      </c>
      <c r="Q3447" s="4">
        <f t="shared" ca="1" si="300"/>
        <v>1897.5447394655148</v>
      </c>
      <c r="R3447" s="4">
        <f t="shared" ca="1" si="301"/>
        <v>-26.125304534485167</v>
      </c>
      <c r="S3447" s="4">
        <f t="shared" ca="1" si="302"/>
        <v>-12.947047465932364</v>
      </c>
    </row>
    <row r="3448" spans="15:19" x14ac:dyDescent="0.2">
      <c r="O3448" s="4">
        <f t="shared" ca="1" si="298"/>
        <v>0.69229794876231854</v>
      </c>
      <c r="P3448" s="4">
        <f t="shared" ca="1" si="299"/>
        <v>0.50237451483463447</v>
      </c>
      <c r="Q3448" s="4">
        <f t="shared" ca="1" si="300"/>
        <v>1908.0448705419258</v>
      </c>
      <c r="R3448" s="4">
        <f t="shared" ca="1" si="301"/>
        <v>-15.625173458074187</v>
      </c>
      <c r="S3448" s="4">
        <f t="shared" ca="1" si="302"/>
        <v>-7.8102315098281334</v>
      </c>
    </row>
    <row r="3449" spans="15:19" x14ac:dyDescent="0.2">
      <c r="O3449" s="4">
        <f t="shared" ca="1" si="298"/>
        <v>1.6083365744935629E-2</v>
      </c>
      <c r="P3449" s="4">
        <f t="shared" ca="1" si="299"/>
        <v>-2.142332548009747</v>
      </c>
      <c r="Q3449" s="4">
        <f t="shared" ca="1" si="300"/>
        <v>1988.1661535884582</v>
      </c>
      <c r="R3449" s="4">
        <f t="shared" ca="1" si="301"/>
        <v>64.496109588458239</v>
      </c>
      <c r="S3449" s="4">
        <f t="shared" ca="1" si="302"/>
        <v>34.341867866464142</v>
      </c>
    </row>
    <row r="3450" spans="15:19" x14ac:dyDescent="0.2">
      <c r="O3450" s="4">
        <f t="shared" ca="1" si="298"/>
        <v>0.7582851186722932</v>
      </c>
      <c r="P3450" s="4">
        <f t="shared" ca="1" si="299"/>
        <v>0.70079691651228093</v>
      </c>
      <c r="Q3450" s="4">
        <f t="shared" ca="1" si="300"/>
        <v>1902.033672692857</v>
      </c>
      <c r="R3450" s="4">
        <f t="shared" ca="1" si="301"/>
        <v>-21.636371307143008</v>
      </c>
      <c r="S3450" s="4">
        <f t="shared" ca="1" si="302"/>
        <v>-10.761980721788355</v>
      </c>
    </row>
    <row r="3451" spans="15:19" x14ac:dyDescent="0.2">
      <c r="O3451" s="4">
        <f t="shared" ca="1" si="298"/>
        <v>0.80883594773801248</v>
      </c>
      <c r="P3451" s="4">
        <f t="shared" ca="1" si="299"/>
        <v>0.87361472483727487</v>
      </c>
      <c r="Q3451" s="4">
        <f t="shared" ca="1" si="300"/>
        <v>1896.7981648625885</v>
      </c>
      <c r="R3451" s="4">
        <f t="shared" ca="1" si="301"/>
        <v>-26.871879137411497</v>
      </c>
      <c r="S3451" s="4">
        <f t="shared" ca="1" si="302"/>
        <v>-13.308864598549793</v>
      </c>
    </row>
    <row r="3452" spans="15:19" x14ac:dyDescent="0.2">
      <c r="O3452" s="4">
        <f t="shared" ca="1" si="298"/>
        <v>3.4037166152046217E-2</v>
      </c>
      <c r="P3452" s="4">
        <f t="shared" ca="1" si="299"/>
        <v>-1.8245144599121099</v>
      </c>
      <c r="Q3452" s="4">
        <f t="shared" ca="1" si="300"/>
        <v>1978.5378687203442</v>
      </c>
      <c r="R3452" s="4">
        <f t="shared" ca="1" si="301"/>
        <v>54.867824720344288</v>
      </c>
      <c r="S3452" s="4">
        <f t="shared" ca="1" si="302"/>
        <v>29.000103324292059</v>
      </c>
    </row>
    <row r="3453" spans="15:19" x14ac:dyDescent="0.2">
      <c r="O3453" s="4">
        <f t="shared" ca="1" si="298"/>
        <v>0.87934817737762982</v>
      </c>
      <c r="P3453" s="4">
        <f t="shared" ca="1" si="299"/>
        <v>1.1717345546460998</v>
      </c>
      <c r="Q3453" s="4">
        <f t="shared" ca="1" si="300"/>
        <v>1887.7666378547515</v>
      </c>
      <c r="R3453" s="4">
        <f t="shared" ca="1" si="301"/>
        <v>-35.903406145248482</v>
      </c>
      <c r="S3453" s="4">
        <f t="shared" ca="1" si="302"/>
        <v>-17.649921414305648</v>
      </c>
    </row>
    <row r="3454" spans="15:19" x14ac:dyDescent="0.2">
      <c r="O3454" s="4">
        <f t="shared" ca="1" si="298"/>
        <v>0.72218495066899258</v>
      </c>
      <c r="P3454" s="4">
        <f t="shared" ca="1" si="299"/>
        <v>0.58934464956228994</v>
      </c>
      <c r="Q3454" s="4">
        <f t="shared" ca="1" si="300"/>
        <v>1905.4101141717383</v>
      </c>
      <c r="R3454" s="4">
        <f t="shared" ca="1" si="301"/>
        <v>-18.259929828261647</v>
      </c>
      <c r="S3454" s="4">
        <f t="shared" ca="1" si="302"/>
        <v>-9.1076282615656368</v>
      </c>
    </row>
    <row r="3455" spans="15:19" x14ac:dyDescent="0.2">
      <c r="O3455" s="4">
        <f t="shared" ca="1" si="298"/>
        <v>0.47814703674388193</v>
      </c>
      <c r="P3455" s="4">
        <f t="shared" ca="1" si="299"/>
        <v>-5.4804678016468676E-2</v>
      </c>
      <c r="Q3455" s="4">
        <f t="shared" ca="1" si="300"/>
        <v>1924.9245894511535</v>
      </c>
      <c r="R3455" s="4">
        <f t="shared" ca="1" si="301"/>
        <v>1.2545454511534899</v>
      </c>
      <c r="S3455" s="4">
        <f t="shared" ca="1" si="302"/>
        <v>0.63570387538689321</v>
      </c>
    </row>
    <row r="3456" spans="15:19" x14ac:dyDescent="0.2">
      <c r="O3456" s="4">
        <f t="shared" ca="1" si="298"/>
        <v>0.51948960248799725</v>
      </c>
      <c r="P3456" s="4">
        <f t="shared" ca="1" si="299"/>
        <v>4.8872637354020976E-2</v>
      </c>
      <c r="Q3456" s="4">
        <f t="shared" ca="1" si="300"/>
        <v>1921.783689785173</v>
      </c>
      <c r="R3456" s="4">
        <f t="shared" ca="1" si="301"/>
        <v>-1.8863542148269516</v>
      </c>
      <c r="S3456" s="4">
        <f t="shared" ca="1" si="302"/>
        <v>-0.95344249266334946</v>
      </c>
    </row>
    <row r="3457" spans="15:19" x14ac:dyDescent="0.2">
      <c r="O3457" s="4">
        <f t="shared" ca="1" si="298"/>
        <v>7.7095877263239743E-2</v>
      </c>
      <c r="P3457" s="4">
        <f t="shared" ca="1" si="299"/>
        <v>-1.4248804750313566</v>
      </c>
      <c r="Q3457" s="4">
        <f t="shared" ca="1" si="300"/>
        <v>1966.4309748917296</v>
      </c>
      <c r="R3457" s="4">
        <f t="shared" ca="1" si="301"/>
        <v>42.760930891729686</v>
      </c>
      <c r="S3457" s="4">
        <f t="shared" ca="1" si="302"/>
        <v>22.390327000491453</v>
      </c>
    </row>
    <row r="3458" spans="15:19" x14ac:dyDescent="0.2">
      <c r="O3458" s="4">
        <f t="shared" ca="1" si="298"/>
        <v>0.492283627343859</v>
      </c>
      <c r="P3458" s="4">
        <f t="shared" ca="1" si="299"/>
        <v>-1.9343284065475527E-2</v>
      </c>
      <c r="Q3458" s="4">
        <f t="shared" ca="1" si="300"/>
        <v>1923.8502880958581</v>
      </c>
      <c r="R3458" s="4">
        <f t="shared" ca="1" si="301"/>
        <v>0.18024409585814283</v>
      </c>
      <c r="S3458" s="4">
        <f t="shared" ca="1" si="302"/>
        <v>9.1254551635445325E-2</v>
      </c>
    </row>
    <row r="3459" spans="15:19" x14ac:dyDescent="0.2">
      <c r="O3459" s="4">
        <f t="shared" ref="O3459:O3522" ca="1" si="303">RAND()</f>
        <v>0.65498447656739212</v>
      </c>
      <c r="P3459" s="4">
        <f t="shared" ref="P3459:P3522" ca="1" si="304">NORMSINV(O3459)</f>
        <v>0.39881293297119891</v>
      </c>
      <c r="Q3459" s="4">
        <f t="shared" ref="Q3459:Q3522" ca="1" si="305">$B$4*(1+$B$17-$B$6/SQRT(252)*P3459)</f>
        <v>1911.1822640664484</v>
      </c>
      <c r="R3459" s="4">
        <f t="shared" ref="R3459:R3522" ca="1" si="306">Q3459-$B$4</f>
        <v>-12.487779933551565</v>
      </c>
      <c r="S3459" s="4">
        <f t="shared" ref="S3459:S3522" ca="1" si="307">R3459*$B$12+0.5*$B$13*R3459^2</f>
        <v>-6.2579562520040479</v>
      </c>
    </row>
    <row r="3460" spans="15:19" x14ac:dyDescent="0.2">
      <c r="O3460" s="4">
        <f t="shared" ca="1" si="303"/>
        <v>0.23275865603836909</v>
      </c>
      <c r="P3460" s="4">
        <f t="shared" ca="1" si="304"/>
        <v>-0.72979203791581937</v>
      </c>
      <c r="Q3460" s="4">
        <f t="shared" ca="1" si="305"/>
        <v>1945.3733015505431</v>
      </c>
      <c r="R3460" s="4">
        <f t="shared" ca="1" si="306"/>
        <v>21.703257550543185</v>
      </c>
      <c r="S3460" s="4">
        <f t="shared" ca="1" si="307"/>
        <v>11.178143935973246</v>
      </c>
    </row>
    <row r="3461" spans="15:19" x14ac:dyDescent="0.2">
      <c r="O3461" s="4">
        <f t="shared" ca="1" si="303"/>
        <v>0.33130510143149161</v>
      </c>
      <c r="P3461" s="4">
        <f t="shared" ca="1" si="304"/>
        <v>-0.43631223942738107</v>
      </c>
      <c r="Q3461" s="4">
        <f t="shared" ca="1" si="305"/>
        <v>1936.4823440855441</v>
      </c>
      <c r="R3461" s="4">
        <f t="shared" ca="1" si="306"/>
        <v>12.812300085544166</v>
      </c>
      <c r="S3461" s="4">
        <f t="shared" ca="1" si="307"/>
        <v>6.5525342609498543</v>
      </c>
    </row>
    <row r="3462" spans="15:19" x14ac:dyDescent="0.2">
      <c r="O3462" s="4">
        <f t="shared" ca="1" si="303"/>
        <v>0.31713454556625409</v>
      </c>
      <c r="P3462" s="4">
        <f t="shared" ca="1" si="304"/>
        <v>-0.47572670762884289</v>
      </c>
      <c r="Q3462" s="4">
        <f t="shared" ca="1" si="305"/>
        <v>1937.6764036497445</v>
      </c>
      <c r="R3462" s="4">
        <f t="shared" ca="1" si="306"/>
        <v>14.006359649744581</v>
      </c>
      <c r="S3462" s="4">
        <f t="shared" ca="1" si="307"/>
        <v>7.170014517272052</v>
      </c>
    </row>
    <row r="3463" spans="15:19" x14ac:dyDescent="0.2">
      <c r="O3463" s="4">
        <f t="shared" ca="1" si="303"/>
        <v>0.61354104148858135</v>
      </c>
      <c r="P3463" s="4">
        <f t="shared" ca="1" si="304"/>
        <v>0.28856025114976402</v>
      </c>
      <c r="Q3463" s="4">
        <f t="shared" ca="1" si="305"/>
        <v>1914.5223641671205</v>
      </c>
      <c r="R3463" s="4">
        <f t="shared" ca="1" si="306"/>
        <v>-9.1476798328794757</v>
      </c>
      <c r="S3463" s="4">
        <f t="shared" ca="1" si="307"/>
        <v>-4.5965815603960198</v>
      </c>
    </row>
    <row r="3464" spans="15:19" x14ac:dyDescent="0.2">
      <c r="O3464" s="4">
        <f t="shared" ca="1" si="303"/>
        <v>6.5724366832063508E-2</v>
      </c>
      <c r="P3464" s="4">
        <f t="shared" ca="1" si="304"/>
        <v>-1.5084134856533919</v>
      </c>
      <c r="Q3464" s="4">
        <f t="shared" ca="1" si="305"/>
        <v>1968.9616037397425</v>
      </c>
      <c r="R3464" s="4">
        <f t="shared" ca="1" si="306"/>
        <v>45.291559739742524</v>
      </c>
      <c r="S3464" s="4">
        <f t="shared" ca="1" si="307"/>
        <v>23.762062602452175</v>
      </c>
    </row>
    <row r="3465" spans="15:19" x14ac:dyDescent="0.2">
      <c r="O3465" s="4">
        <f t="shared" ca="1" si="303"/>
        <v>0.38630993478124132</v>
      </c>
      <c r="P3465" s="4">
        <f t="shared" ca="1" si="304"/>
        <v>-0.28894970049777169</v>
      </c>
      <c r="Q3465" s="4">
        <f t="shared" ca="1" si="305"/>
        <v>1932.0180025114207</v>
      </c>
      <c r="R3465" s="4">
        <f t="shared" ca="1" si="306"/>
        <v>8.3479585114207566</v>
      </c>
      <c r="S3465" s="4">
        <f t="shared" ca="1" si="307"/>
        <v>4.254186373579282</v>
      </c>
    </row>
    <row r="3466" spans="15:19" x14ac:dyDescent="0.2">
      <c r="O3466" s="4">
        <f t="shared" ca="1" si="303"/>
        <v>0.13042755153290453</v>
      </c>
      <c r="P3466" s="4">
        <f t="shared" ca="1" si="304"/>
        <v>-1.1243723355371307</v>
      </c>
      <c r="Q3466" s="4">
        <f t="shared" ca="1" si="305"/>
        <v>1957.3270941480118</v>
      </c>
      <c r="R3466" s="4">
        <f t="shared" ca="1" si="306"/>
        <v>33.657050148011876</v>
      </c>
      <c r="S3466" s="4">
        <f t="shared" ca="1" si="307"/>
        <v>17.498655260289127</v>
      </c>
    </row>
    <row r="3467" spans="15:19" x14ac:dyDescent="0.2">
      <c r="O3467" s="4">
        <f t="shared" ca="1" si="303"/>
        <v>0.12188082232734709</v>
      </c>
      <c r="P3467" s="4">
        <f t="shared" ca="1" si="304"/>
        <v>-1.1656360036722564</v>
      </c>
      <c r="Q3467" s="4">
        <f t="shared" ca="1" si="305"/>
        <v>1958.5771751421</v>
      </c>
      <c r="R3467" s="4">
        <f t="shared" ca="1" si="306"/>
        <v>34.90713114210007</v>
      </c>
      <c r="S3467" s="4">
        <f t="shared" ca="1" si="307"/>
        <v>18.166348724734878</v>
      </c>
    </row>
    <row r="3468" spans="15:19" x14ac:dyDescent="0.2">
      <c r="O3468" s="4">
        <f t="shared" ca="1" si="303"/>
        <v>0.15356896092704719</v>
      </c>
      <c r="P3468" s="4">
        <f t="shared" ca="1" si="304"/>
        <v>-1.0212459611005535</v>
      </c>
      <c r="Q3468" s="4">
        <f t="shared" ca="1" si="305"/>
        <v>1954.2028852131632</v>
      </c>
      <c r="R3468" s="4">
        <f t="shared" ca="1" si="306"/>
        <v>30.532841213163238</v>
      </c>
      <c r="S3468" s="4">
        <f t="shared" ca="1" si="307"/>
        <v>15.835515362155389</v>
      </c>
    </row>
    <row r="3469" spans="15:19" x14ac:dyDescent="0.2">
      <c r="O3469" s="4">
        <f t="shared" ca="1" si="303"/>
        <v>0.40985202790537034</v>
      </c>
      <c r="P3469" s="4">
        <f t="shared" ca="1" si="304"/>
        <v>-0.22792563182250125</v>
      </c>
      <c r="Q3469" s="4">
        <f t="shared" ca="1" si="305"/>
        <v>1930.1692810603104</v>
      </c>
      <c r="R3469" s="4">
        <f t="shared" ca="1" si="306"/>
        <v>6.4992370603104064</v>
      </c>
      <c r="S3469" s="4">
        <f t="shared" ca="1" si="307"/>
        <v>3.3071720969652434</v>
      </c>
    </row>
    <row r="3470" spans="15:19" x14ac:dyDescent="0.2">
      <c r="O3470" s="4">
        <f t="shared" ca="1" si="303"/>
        <v>0.66753091092346672</v>
      </c>
      <c r="P3470" s="4">
        <f t="shared" ca="1" si="304"/>
        <v>0.43310542997999579</v>
      </c>
      <c r="Q3470" s="4">
        <f t="shared" ca="1" si="305"/>
        <v>1910.1433743921193</v>
      </c>
      <c r="R3470" s="4">
        <f t="shared" ca="1" si="306"/>
        <v>-13.526669607880649</v>
      </c>
      <c r="S3470" s="4">
        <f t="shared" ca="1" si="307"/>
        <v>-6.7728508698651844</v>
      </c>
    </row>
    <row r="3471" spans="15:19" x14ac:dyDescent="0.2">
      <c r="O3471" s="4">
        <f t="shared" ca="1" si="303"/>
        <v>0.37927380364519503</v>
      </c>
      <c r="P3471" s="4">
        <f t="shared" ca="1" si="304"/>
        <v>-0.3073885961037619</v>
      </c>
      <c r="Q3471" s="4">
        <f t="shared" ca="1" si="305"/>
        <v>1932.5766080351355</v>
      </c>
      <c r="R3471" s="4">
        <f t="shared" ca="1" si="306"/>
        <v>8.9065640351354887</v>
      </c>
      <c r="S3471" s="4">
        <f t="shared" ca="1" si="307"/>
        <v>4.5408814863448663</v>
      </c>
    </row>
    <row r="3472" spans="15:19" x14ac:dyDescent="0.2">
      <c r="O3472" s="4">
        <f t="shared" ca="1" si="303"/>
        <v>0.64819257826778709</v>
      </c>
      <c r="P3472" s="4">
        <f t="shared" ca="1" si="304"/>
        <v>0.38044536739377288</v>
      </c>
      <c r="Q3472" s="4">
        <f t="shared" ca="1" si="305"/>
        <v>1911.7387086501151</v>
      </c>
      <c r="R3472" s="4">
        <f t="shared" ca="1" si="306"/>
        <v>-11.931335349884876</v>
      </c>
      <c r="S3472" s="4">
        <f t="shared" ca="1" si="307"/>
        <v>-5.9818097630271438</v>
      </c>
    </row>
    <row r="3473" spans="15:19" x14ac:dyDescent="0.2">
      <c r="O3473" s="4">
        <f t="shared" ca="1" si="303"/>
        <v>0.63859399158140406</v>
      </c>
      <c r="P3473" s="4">
        <f t="shared" ca="1" si="304"/>
        <v>0.35470311529819104</v>
      </c>
      <c r="Q3473" s="4">
        <f t="shared" ca="1" si="305"/>
        <v>1912.5185690344206</v>
      </c>
      <c r="R3473" s="4">
        <f t="shared" ca="1" si="306"/>
        <v>-11.151474965579382</v>
      </c>
      <c r="S3473" s="4">
        <f t="shared" ca="1" si="307"/>
        <v>-5.5943646013055837</v>
      </c>
    </row>
    <row r="3474" spans="15:19" x14ac:dyDescent="0.2">
      <c r="O3474" s="4">
        <f t="shared" ca="1" si="303"/>
        <v>0.74099310344207947</v>
      </c>
      <c r="P3474" s="4">
        <f t="shared" ca="1" si="304"/>
        <v>0.6464101124091538</v>
      </c>
      <c r="Q3474" s="4">
        <f t="shared" ca="1" si="305"/>
        <v>1903.6813185084418</v>
      </c>
      <c r="R3474" s="4">
        <f t="shared" ca="1" si="306"/>
        <v>-19.988725491558171</v>
      </c>
      <c r="S3474" s="4">
        <f t="shared" ca="1" si="307"/>
        <v>-9.9558444696829245</v>
      </c>
    </row>
    <row r="3475" spans="15:19" x14ac:dyDescent="0.2">
      <c r="O3475" s="4">
        <f t="shared" ca="1" si="303"/>
        <v>0.81106221734933981</v>
      </c>
      <c r="P3475" s="4">
        <f t="shared" ca="1" si="304"/>
        <v>0.88181739130943682</v>
      </c>
      <c r="Q3475" s="4">
        <f t="shared" ca="1" si="305"/>
        <v>1896.5496654460044</v>
      </c>
      <c r="R3475" s="4">
        <f t="shared" ca="1" si="306"/>
        <v>-27.120378553995579</v>
      </c>
      <c r="S3475" s="4">
        <f t="shared" ca="1" si="307"/>
        <v>-13.429195771321918</v>
      </c>
    </row>
    <row r="3476" spans="15:19" x14ac:dyDescent="0.2">
      <c r="O3476" s="4">
        <f t="shared" ca="1" si="303"/>
        <v>0.17546212502530145</v>
      </c>
      <c r="P3476" s="4">
        <f t="shared" ca="1" si="304"/>
        <v>-0.93279804648883069</v>
      </c>
      <c r="Q3476" s="4">
        <f t="shared" ca="1" si="305"/>
        <v>1951.5233595669995</v>
      </c>
      <c r="R3476" s="4">
        <f t="shared" ca="1" si="306"/>
        <v>27.853315566999527</v>
      </c>
      <c r="S3476" s="4">
        <f t="shared" ca="1" si="307"/>
        <v>14.415428391974139</v>
      </c>
    </row>
    <row r="3477" spans="15:19" x14ac:dyDescent="0.2">
      <c r="O3477" s="4">
        <f t="shared" ca="1" si="303"/>
        <v>0.46186538718517678</v>
      </c>
      <c r="P3477" s="4">
        <f t="shared" ca="1" si="304"/>
        <v>-9.5735337689358824E-2</v>
      </c>
      <c r="Q3477" s="4">
        <f t="shared" ca="1" si="305"/>
        <v>1926.1645819686635</v>
      </c>
      <c r="R3477" s="4">
        <f t="shared" ca="1" si="306"/>
        <v>2.4945379686635079</v>
      </c>
      <c r="S3477" s="4">
        <f t="shared" ca="1" si="307"/>
        <v>1.2652926311819179</v>
      </c>
    </row>
    <row r="3478" spans="15:19" x14ac:dyDescent="0.2">
      <c r="O3478" s="4">
        <f t="shared" ca="1" si="303"/>
        <v>0.61425052856175588</v>
      </c>
      <c r="P3478" s="4">
        <f t="shared" ca="1" si="304"/>
        <v>0.2904147735045457</v>
      </c>
      <c r="Q3478" s="4">
        <f t="shared" ca="1" si="305"/>
        <v>1914.4661814947212</v>
      </c>
      <c r="R3478" s="4">
        <f t="shared" ca="1" si="306"/>
        <v>-9.2038625052787211</v>
      </c>
      <c r="S3478" s="4">
        <f t="shared" ca="1" si="307"/>
        <v>-4.624602075346754</v>
      </c>
    </row>
    <row r="3479" spans="15:19" x14ac:dyDescent="0.2">
      <c r="O3479" s="4">
        <f t="shared" ca="1" si="303"/>
        <v>0.40702828682420822</v>
      </c>
      <c r="P3479" s="4">
        <f t="shared" ca="1" si="304"/>
        <v>-0.23519604744231887</v>
      </c>
      <c r="Q3479" s="4">
        <f t="shared" ca="1" si="305"/>
        <v>1930.3895379787139</v>
      </c>
      <c r="R3479" s="4">
        <f t="shared" ca="1" si="306"/>
        <v>6.7194939787138992</v>
      </c>
      <c r="S3479" s="4">
        <f t="shared" ca="1" si="307"/>
        <v>3.4198534954129647</v>
      </c>
    </row>
    <row r="3480" spans="15:19" x14ac:dyDescent="0.2">
      <c r="O3480" s="4">
        <f t="shared" ca="1" si="303"/>
        <v>0.67861248023644294</v>
      </c>
      <c r="P3480" s="4">
        <f t="shared" ca="1" si="304"/>
        <v>0.46382233554410968</v>
      </c>
      <c r="Q3480" s="4">
        <f t="shared" ca="1" si="305"/>
        <v>1909.2128071018542</v>
      </c>
      <c r="R3480" s="4">
        <f t="shared" ca="1" si="306"/>
        <v>-14.457236898145766</v>
      </c>
      <c r="S3480" s="4">
        <f t="shared" ca="1" si="307"/>
        <v>-7.2333126947394284</v>
      </c>
    </row>
    <row r="3481" spans="15:19" x14ac:dyDescent="0.2">
      <c r="O3481" s="4">
        <f t="shared" ca="1" si="303"/>
        <v>0.66018355862376488</v>
      </c>
      <c r="P3481" s="4">
        <f t="shared" ca="1" si="304"/>
        <v>0.41296414587757241</v>
      </c>
      <c r="Q3481" s="4">
        <f t="shared" ca="1" si="305"/>
        <v>1910.7535536997495</v>
      </c>
      <c r="R3481" s="4">
        <f t="shared" ca="1" si="306"/>
        <v>-12.916490300250416</v>
      </c>
      <c r="S3481" s="4">
        <f t="shared" ca="1" si="307"/>
        <v>-6.4705402177408367</v>
      </c>
    </row>
    <row r="3482" spans="15:19" x14ac:dyDescent="0.2">
      <c r="O3482" s="4">
        <f t="shared" ca="1" si="303"/>
        <v>0.13797925333685701</v>
      </c>
      <c r="P3482" s="4">
        <f t="shared" ca="1" si="304"/>
        <v>-1.0894431616024385</v>
      </c>
      <c r="Q3482" s="4">
        <f t="shared" ca="1" si="305"/>
        <v>1956.2689163744803</v>
      </c>
      <c r="R3482" s="4">
        <f t="shared" ca="1" si="306"/>
        <v>32.598872374480379</v>
      </c>
      <c r="S3482" s="4">
        <f t="shared" ca="1" si="307"/>
        <v>16.934455461479214</v>
      </c>
    </row>
    <row r="3483" spans="15:19" x14ac:dyDescent="0.2">
      <c r="O3483" s="4">
        <f t="shared" ca="1" si="303"/>
        <v>8.4335628257630857E-2</v>
      </c>
      <c r="P3483" s="4">
        <f t="shared" ca="1" si="304"/>
        <v>-1.3764858779616345</v>
      </c>
      <c r="Q3483" s="4">
        <f t="shared" ca="1" si="305"/>
        <v>1964.9648627221738</v>
      </c>
      <c r="R3483" s="4">
        <f t="shared" ca="1" si="306"/>
        <v>41.294818722173886</v>
      </c>
      <c r="S3483" s="4">
        <f t="shared" ca="1" si="307"/>
        <v>21.598001419714276</v>
      </c>
    </row>
    <row r="3484" spans="15:19" x14ac:dyDescent="0.2">
      <c r="O3484" s="4">
        <f t="shared" ca="1" si="303"/>
        <v>0.18974131775206515</v>
      </c>
      <c r="P3484" s="4">
        <f t="shared" ca="1" si="304"/>
        <v>-0.87884995645182284</v>
      </c>
      <c r="Q3484" s="4">
        <f t="shared" ca="1" si="305"/>
        <v>1949.8890045745693</v>
      </c>
      <c r="R3484" s="4">
        <f t="shared" ca="1" si="306"/>
        <v>26.218960574569337</v>
      </c>
      <c r="S3484" s="4">
        <f t="shared" ca="1" si="307"/>
        <v>13.552127837900542</v>
      </c>
    </row>
    <row r="3485" spans="15:19" x14ac:dyDescent="0.2">
      <c r="O3485" s="4">
        <f t="shared" ca="1" si="303"/>
        <v>0.59197128086716211</v>
      </c>
      <c r="P3485" s="4">
        <f t="shared" ca="1" si="304"/>
        <v>0.23261878607443598</v>
      </c>
      <c r="Q3485" s="4">
        <f t="shared" ca="1" si="305"/>
        <v>1916.2171083678325</v>
      </c>
      <c r="R3485" s="4">
        <f t="shared" ca="1" si="306"/>
        <v>-7.4529356321675095</v>
      </c>
      <c r="S3485" s="4">
        <f t="shared" ca="1" si="307"/>
        <v>-3.750137849011641</v>
      </c>
    </row>
    <row r="3486" spans="15:19" x14ac:dyDescent="0.2">
      <c r="O3486" s="4">
        <f t="shared" ca="1" si="303"/>
        <v>0.62610606838556571</v>
      </c>
      <c r="P3486" s="4">
        <f t="shared" ca="1" si="304"/>
        <v>0.32155760807866374</v>
      </c>
      <c r="Q3486" s="4">
        <f t="shared" ca="1" si="305"/>
        <v>1913.5227107040089</v>
      </c>
      <c r="R3486" s="4">
        <f t="shared" ca="1" si="306"/>
        <v>-10.147333295991075</v>
      </c>
      <c r="S3486" s="4">
        <f t="shared" ca="1" si="307"/>
        <v>-5.0947642507208544</v>
      </c>
    </row>
    <row r="3487" spans="15:19" x14ac:dyDescent="0.2">
      <c r="O3487" s="4">
        <f t="shared" ca="1" si="303"/>
        <v>0.2923845662187804</v>
      </c>
      <c r="P3487" s="4">
        <f t="shared" ca="1" si="304"/>
        <v>-0.54643183426091235</v>
      </c>
      <c r="Q3487" s="4">
        <f t="shared" ca="1" si="305"/>
        <v>1939.8184123218264</v>
      </c>
      <c r="R3487" s="4">
        <f t="shared" ca="1" si="306"/>
        <v>16.14836832182641</v>
      </c>
      <c r="S3487" s="4">
        <f t="shared" ca="1" si="307"/>
        <v>8.2806135766086797</v>
      </c>
    </row>
    <row r="3488" spans="15:19" x14ac:dyDescent="0.2">
      <c r="O3488" s="4">
        <f t="shared" ca="1" si="303"/>
        <v>0.20385112784833437</v>
      </c>
      <c r="P3488" s="4">
        <f t="shared" ca="1" si="304"/>
        <v>-0.82794392805578609</v>
      </c>
      <c r="Q3488" s="4">
        <f t="shared" ca="1" si="305"/>
        <v>1948.346808704488</v>
      </c>
      <c r="R3488" s="4">
        <f t="shared" ca="1" si="306"/>
        <v>24.67676470448805</v>
      </c>
      <c r="S3488" s="4">
        <f t="shared" ca="1" si="307"/>
        <v>12.739501840020127</v>
      </c>
    </row>
    <row r="3489" spans="15:19" x14ac:dyDescent="0.2">
      <c r="O3489" s="4">
        <f t="shared" ca="1" si="303"/>
        <v>0.46166713593167064</v>
      </c>
      <c r="P3489" s="4">
        <f t="shared" ca="1" si="304"/>
        <v>-9.6234574364773992E-2</v>
      </c>
      <c r="Q3489" s="4">
        <f t="shared" ca="1" si="305"/>
        <v>1926.1797063215797</v>
      </c>
      <c r="R3489" s="4">
        <f t="shared" ca="1" si="306"/>
        <v>2.5096623215797536</v>
      </c>
      <c r="S3489" s="4">
        <f t="shared" ca="1" si="307"/>
        <v>1.2729795359226381</v>
      </c>
    </row>
    <row r="3490" spans="15:19" x14ac:dyDescent="0.2">
      <c r="O3490" s="4">
        <f t="shared" ca="1" si="303"/>
        <v>0.17859032674614383</v>
      </c>
      <c r="P3490" s="4">
        <f t="shared" ca="1" si="304"/>
        <v>-0.92075059651244251</v>
      </c>
      <c r="Q3490" s="4">
        <f t="shared" ca="1" si="305"/>
        <v>1951.1583826048598</v>
      </c>
      <c r="R3490" s="4">
        <f t="shared" ca="1" si="306"/>
        <v>27.488338604859791</v>
      </c>
      <c r="S3490" s="4">
        <f t="shared" ca="1" si="307"/>
        <v>14.22245132004365</v>
      </c>
    </row>
    <row r="3491" spans="15:19" x14ac:dyDescent="0.2">
      <c r="O3491" s="4">
        <f t="shared" ca="1" si="303"/>
        <v>0.70877724907198625</v>
      </c>
      <c r="P3491" s="4">
        <f t="shared" ca="1" si="304"/>
        <v>0.54981611873148573</v>
      </c>
      <c r="Q3491" s="4">
        <f t="shared" ca="1" si="305"/>
        <v>1906.6076292582304</v>
      </c>
      <c r="R3491" s="4">
        <f t="shared" ca="1" si="306"/>
        <v>-17.062414741769544</v>
      </c>
      <c r="S3491" s="4">
        <f t="shared" ca="1" si="307"/>
        <v>-8.5186530329070482</v>
      </c>
    </row>
    <row r="3492" spans="15:19" x14ac:dyDescent="0.2">
      <c r="O3492" s="4">
        <f t="shared" ca="1" si="303"/>
        <v>0.18875496754726695</v>
      </c>
      <c r="P3492" s="4">
        <f t="shared" ca="1" si="304"/>
        <v>-0.882493607597853</v>
      </c>
      <c r="Q3492" s="4">
        <f t="shared" ca="1" si="305"/>
        <v>1949.9993888242639</v>
      </c>
      <c r="R3492" s="4">
        <f t="shared" ca="1" si="306"/>
        <v>26.329344824263899</v>
      </c>
      <c r="S3492" s="4">
        <f t="shared" ca="1" si="307"/>
        <v>13.610366633485956</v>
      </c>
    </row>
    <row r="3493" spans="15:19" x14ac:dyDescent="0.2">
      <c r="O3493" s="4">
        <f t="shared" ca="1" si="303"/>
        <v>0.95047920981563572</v>
      </c>
      <c r="P3493" s="4">
        <f t="shared" ca="1" si="304"/>
        <v>1.6495178939585651</v>
      </c>
      <c r="Q3493" s="4">
        <f t="shared" ca="1" si="305"/>
        <v>1873.2922128033808</v>
      </c>
      <c r="R3493" s="4">
        <f t="shared" ca="1" si="306"/>
        <v>-50.377831196619127</v>
      </c>
      <c r="S3493" s="4">
        <f t="shared" ca="1" si="307"/>
        <v>-24.468640076484448</v>
      </c>
    </row>
    <row r="3494" spans="15:19" x14ac:dyDescent="0.2">
      <c r="O3494" s="4">
        <f t="shared" ca="1" si="303"/>
        <v>1.2822180886906676E-2</v>
      </c>
      <c r="P3494" s="4">
        <f t="shared" ca="1" si="304"/>
        <v>-2.2315554055918927</v>
      </c>
      <c r="Q3494" s="4">
        <f t="shared" ca="1" si="305"/>
        <v>1990.8691560975039</v>
      </c>
      <c r="R3494" s="4">
        <f t="shared" ca="1" si="306"/>
        <v>67.199112097503985</v>
      </c>
      <c r="S3494" s="4">
        <f t="shared" ca="1" si="307"/>
        <v>35.855059668115913</v>
      </c>
    </row>
    <row r="3495" spans="15:19" x14ac:dyDescent="0.2">
      <c r="O3495" s="4">
        <f t="shared" ca="1" si="303"/>
        <v>0.37408889675226975</v>
      </c>
      <c r="P3495" s="4">
        <f t="shared" ca="1" si="304"/>
        <v>-0.32104301510258915</v>
      </c>
      <c r="Q3495" s="4">
        <f t="shared" ca="1" si="305"/>
        <v>1932.9902680524626</v>
      </c>
      <c r="R3495" s="4">
        <f t="shared" ca="1" si="306"/>
        <v>9.3202240524626632</v>
      </c>
      <c r="S3495" s="4">
        <f t="shared" ca="1" si="307"/>
        <v>4.7533494160622229</v>
      </c>
    </row>
    <row r="3496" spans="15:19" x14ac:dyDescent="0.2">
      <c r="O3496" s="4">
        <f t="shared" ca="1" si="303"/>
        <v>0.98719162479259337</v>
      </c>
      <c r="P3496" s="4">
        <f t="shared" ca="1" si="304"/>
        <v>2.2319729555714409</v>
      </c>
      <c r="Q3496" s="4">
        <f t="shared" ca="1" si="305"/>
        <v>1855.6467625722387</v>
      </c>
      <c r="R3496" s="4">
        <f t="shared" ca="1" si="306"/>
        <v>-68.023281427761276</v>
      </c>
      <c r="S3496" s="4">
        <f t="shared" ca="1" si="307"/>
        <v>-32.550474127142074</v>
      </c>
    </row>
    <row r="3497" spans="15:19" x14ac:dyDescent="0.2">
      <c r="O3497" s="4">
        <f t="shared" ca="1" si="303"/>
        <v>0.27527430993078639</v>
      </c>
      <c r="P3497" s="4">
        <f t="shared" ca="1" si="304"/>
        <v>-0.59693823307733029</v>
      </c>
      <c r="Q3497" s="4">
        <f t="shared" ca="1" si="305"/>
        <v>1941.3485014315368</v>
      </c>
      <c r="R3497" s="4">
        <f t="shared" ca="1" si="306"/>
        <v>17.678457431536799</v>
      </c>
      <c r="S3497" s="4">
        <f t="shared" ca="1" si="307"/>
        <v>9.0762287834960649</v>
      </c>
    </row>
    <row r="3498" spans="15:19" x14ac:dyDescent="0.2">
      <c r="O3498" s="4">
        <f t="shared" ca="1" si="303"/>
        <v>0.32278708893025487</v>
      </c>
      <c r="P3498" s="4">
        <f t="shared" ca="1" si="304"/>
        <v>-0.4599192562671624</v>
      </c>
      <c r="Q3498" s="4">
        <f t="shared" ca="1" si="305"/>
        <v>1937.1975176125777</v>
      </c>
      <c r="R3498" s="4">
        <f t="shared" ca="1" si="306"/>
        <v>13.527473612577751</v>
      </c>
      <c r="S3498" s="4">
        <f t="shared" ca="1" si="307"/>
        <v>6.9222302755364424</v>
      </c>
    </row>
    <row r="3499" spans="15:19" x14ac:dyDescent="0.2">
      <c r="O3499" s="4">
        <f t="shared" ca="1" si="303"/>
        <v>0.40436460421575671</v>
      </c>
      <c r="P3499" s="4">
        <f t="shared" ca="1" si="304"/>
        <v>-0.2420657605581284</v>
      </c>
      <c r="Q3499" s="4">
        <f t="shared" ca="1" si="305"/>
        <v>1930.597655632549</v>
      </c>
      <c r="R3499" s="4">
        <f t="shared" ca="1" si="306"/>
        <v>6.9276116325490875</v>
      </c>
      <c r="S3499" s="4">
        <f t="shared" ca="1" si="307"/>
        <v>3.5263608497580439</v>
      </c>
    </row>
    <row r="3500" spans="15:19" x14ac:dyDescent="0.2">
      <c r="O3500" s="4">
        <f t="shared" ca="1" si="303"/>
        <v>0.92344427791705652</v>
      </c>
      <c r="P3500" s="4">
        <f t="shared" ca="1" si="304"/>
        <v>1.4286270882657948</v>
      </c>
      <c r="Q3500" s="4">
        <f t="shared" ca="1" si="305"/>
        <v>1879.9840899545131</v>
      </c>
      <c r="R3500" s="4">
        <f t="shared" ca="1" si="306"/>
        <v>-43.685954045486824</v>
      </c>
      <c r="S3500" s="4">
        <f t="shared" ca="1" si="307"/>
        <v>-21.33738145248503</v>
      </c>
    </row>
    <row r="3501" spans="15:19" x14ac:dyDescent="0.2">
      <c r="O3501" s="4">
        <f t="shared" ca="1" si="303"/>
        <v>0.78098983391316712</v>
      </c>
      <c r="P3501" s="4">
        <f t="shared" ca="1" si="304"/>
        <v>0.77554051927344092</v>
      </c>
      <c r="Q3501" s="4">
        <f t="shared" ca="1" si="305"/>
        <v>1899.7693185657486</v>
      </c>
      <c r="R3501" s="4">
        <f t="shared" ca="1" si="306"/>
        <v>-23.900725434251399</v>
      </c>
      <c r="S3501" s="4">
        <f t="shared" ca="1" si="307"/>
        <v>-11.866245192086005</v>
      </c>
    </row>
    <row r="3502" spans="15:19" x14ac:dyDescent="0.2">
      <c r="O3502" s="4">
        <f t="shared" ca="1" si="303"/>
        <v>0.42364447009489481</v>
      </c>
      <c r="P3502" s="4">
        <f t="shared" ca="1" si="304"/>
        <v>-0.19257868392127378</v>
      </c>
      <c r="Q3502" s="4">
        <f t="shared" ca="1" si="305"/>
        <v>1929.098446843012</v>
      </c>
      <c r="R3502" s="4">
        <f t="shared" ca="1" si="306"/>
        <v>5.4284028430120088</v>
      </c>
      <c r="S3502" s="4">
        <f t="shared" ca="1" si="307"/>
        <v>2.7599060256108845</v>
      </c>
    </row>
    <row r="3503" spans="15:19" x14ac:dyDescent="0.2">
      <c r="O3503" s="4">
        <f t="shared" ca="1" si="303"/>
        <v>0.44428694645172895</v>
      </c>
      <c r="P3503" s="4">
        <f t="shared" ca="1" si="304"/>
        <v>-0.14010897071541403</v>
      </c>
      <c r="Q3503" s="4">
        <f t="shared" ca="1" si="305"/>
        <v>1927.5088792110432</v>
      </c>
      <c r="R3503" s="4">
        <f t="shared" ca="1" si="306"/>
        <v>3.8388352110432606</v>
      </c>
      <c r="S3503" s="4">
        <f t="shared" ca="1" si="307"/>
        <v>1.9492548239152698</v>
      </c>
    </row>
    <row r="3504" spans="15:19" x14ac:dyDescent="0.2">
      <c r="O3504" s="4">
        <f t="shared" ca="1" si="303"/>
        <v>0.11732156012617201</v>
      </c>
      <c r="P3504" s="4">
        <f t="shared" ca="1" si="304"/>
        <v>-1.1884831352644381</v>
      </c>
      <c r="Q3504" s="4">
        <f t="shared" ca="1" si="305"/>
        <v>1959.2693279792952</v>
      </c>
      <c r="R3504" s="4">
        <f t="shared" ca="1" si="306"/>
        <v>35.599283979295251</v>
      </c>
      <c r="S3504" s="4">
        <f t="shared" ca="1" si="307"/>
        <v>18.536588743408057</v>
      </c>
    </row>
    <row r="3505" spans="15:19" x14ac:dyDescent="0.2">
      <c r="O3505" s="4">
        <f t="shared" ca="1" si="303"/>
        <v>0.93295226888313265</v>
      </c>
      <c r="P3505" s="4">
        <f t="shared" ca="1" si="304"/>
        <v>1.4981454598082744</v>
      </c>
      <c r="Q3505" s="4">
        <f t="shared" ca="1" si="305"/>
        <v>1877.8780339751795</v>
      </c>
      <c r="R3505" s="4">
        <f t="shared" ca="1" si="306"/>
        <v>-45.792010024820456</v>
      </c>
      <c r="S3505" s="4">
        <f t="shared" ca="1" si="307"/>
        <v>-22.326777212850043</v>
      </c>
    </row>
    <row r="3506" spans="15:19" x14ac:dyDescent="0.2">
      <c r="O3506" s="4">
        <f t="shared" ca="1" si="303"/>
        <v>0.67647543190071446</v>
      </c>
      <c r="P3506" s="4">
        <f t="shared" ca="1" si="304"/>
        <v>0.45786541398465153</v>
      </c>
      <c r="Q3506" s="4">
        <f t="shared" ca="1" si="305"/>
        <v>1909.3932717760169</v>
      </c>
      <c r="R3506" s="4">
        <f t="shared" ca="1" si="306"/>
        <v>-14.276772223983016</v>
      </c>
      <c r="S3506" s="4">
        <f t="shared" ca="1" si="307"/>
        <v>-7.1440705557646274</v>
      </c>
    </row>
    <row r="3507" spans="15:19" x14ac:dyDescent="0.2">
      <c r="O3507" s="4">
        <f t="shared" ca="1" si="303"/>
        <v>0.5320273464095906</v>
      </c>
      <c r="P3507" s="4">
        <f t="shared" ca="1" si="304"/>
        <v>8.0367081712319322E-2</v>
      </c>
      <c r="Q3507" s="4">
        <f t="shared" ca="1" si="305"/>
        <v>1920.8295669916602</v>
      </c>
      <c r="R3507" s="4">
        <f t="shared" ca="1" si="306"/>
        <v>-2.8404770083398034</v>
      </c>
      <c r="S3507" s="4">
        <f t="shared" ca="1" si="307"/>
        <v>-1.4345929232692991</v>
      </c>
    </row>
    <row r="3508" spans="15:19" x14ac:dyDescent="0.2">
      <c r="O3508" s="4">
        <f t="shared" ca="1" si="303"/>
        <v>0.53183082857508546</v>
      </c>
      <c r="P3508" s="4">
        <f t="shared" ca="1" si="304"/>
        <v>7.9872900963852425E-2</v>
      </c>
      <c r="Q3508" s="4">
        <f t="shared" ca="1" si="305"/>
        <v>1920.8445381754939</v>
      </c>
      <c r="R3508" s="4">
        <f t="shared" ca="1" si="306"/>
        <v>-2.8255058245060809</v>
      </c>
      <c r="S3508" s="4">
        <f t="shared" ca="1" si="307"/>
        <v>-1.4270488936170429</v>
      </c>
    </row>
    <row r="3509" spans="15:19" x14ac:dyDescent="0.2">
      <c r="O3509" s="4">
        <f t="shared" ca="1" si="303"/>
        <v>0.1924343939159705</v>
      </c>
      <c r="P3509" s="4">
        <f t="shared" ca="1" si="304"/>
        <v>-0.86896040565697086</v>
      </c>
      <c r="Q3509" s="4">
        <f t="shared" ca="1" si="305"/>
        <v>1949.5894010723255</v>
      </c>
      <c r="R3509" s="4">
        <f t="shared" ca="1" si="306"/>
        <v>25.919357072325511</v>
      </c>
      <c r="S3509" s="4">
        <f t="shared" ca="1" si="307"/>
        <v>13.394106854328651</v>
      </c>
    </row>
    <row r="3510" spans="15:19" x14ac:dyDescent="0.2">
      <c r="O3510" s="4">
        <f t="shared" ca="1" si="303"/>
        <v>0.30740988737177899</v>
      </c>
      <c r="P3510" s="4">
        <f t="shared" ca="1" si="304"/>
        <v>-0.50320553352695829</v>
      </c>
      <c r="Q3510" s="4">
        <f t="shared" ca="1" si="305"/>
        <v>1938.5088734602957</v>
      </c>
      <c r="R3510" s="4">
        <f t="shared" ca="1" si="306"/>
        <v>14.838829460295756</v>
      </c>
      <c r="S3510" s="4">
        <f t="shared" ca="1" si="307"/>
        <v>7.6011937405255576</v>
      </c>
    </row>
    <row r="3511" spans="15:19" x14ac:dyDescent="0.2">
      <c r="O3511" s="4">
        <f t="shared" ca="1" si="303"/>
        <v>0.38501505877662778</v>
      </c>
      <c r="P3511" s="4">
        <f t="shared" ca="1" si="304"/>
        <v>-0.29233550136880104</v>
      </c>
      <c r="Q3511" s="4">
        <f t="shared" ca="1" si="305"/>
        <v>1932.1205751984821</v>
      </c>
      <c r="R3511" s="4">
        <f t="shared" ca="1" si="306"/>
        <v>8.4505311984821674</v>
      </c>
      <c r="S3511" s="4">
        <f t="shared" ca="1" si="307"/>
        <v>4.3068110796949037</v>
      </c>
    </row>
    <row r="3512" spans="15:19" x14ac:dyDescent="0.2">
      <c r="O3512" s="4">
        <f t="shared" ca="1" si="303"/>
        <v>9.8391336395333928E-2</v>
      </c>
      <c r="P3512" s="4">
        <f t="shared" ca="1" si="304"/>
        <v>-1.2907722216767401</v>
      </c>
      <c r="Q3512" s="4">
        <f t="shared" ca="1" si="305"/>
        <v>1962.3681713106234</v>
      </c>
      <c r="R3512" s="4">
        <f t="shared" ca="1" si="306"/>
        <v>38.698127310623477</v>
      </c>
      <c r="S3512" s="4">
        <f t="shared" ca="1" si="307"/>
        <v>20.1989755961288</v>
      </c>
    </row>
    <row r="3513" spans="15:19" x14ac:dyDescent="0.2">
      <c r="O3513" s="4">
        <f t="shared" ca="1" si="303"/>
        <v>0.28520195808451121</v>
      </c>
      <c r="P3513" s="4">
        <f t="shared" ca="1" si="304"/>
        <v>-0.56745673053505974</v>
      </c>
      <c r="Q3513" s="4">
        <f t="shared" ca="1" si="305"/>
        <v>1940.4553606209677</v>
      </c>
      <c r="R3513" s="4">
        <f t="shared" ca="1" si="306"/>
        <v>16.785316620967706</v>
      </c>
      <c r="S3513" s="4">
        <f t="shared" ca="1" si="307"/>
        <v>8.6115821578600862</v>
      </c>
    </row>
    <row r="3514" spans="15:19" x14ac:dyDescent="0.2">
      <c r="O3514" s="4">
        <f t="shared" ca="1" si="303"/>
        <v>0.3570355647777248</v>
      </c>
      <c r="P3514" s="4">
        <f t="shared" ca="1" si="304"/>
        <v>-0.36639395536011615</v>
      </c>
      <c r="Q3514" s="4">
        <f t="shared" ca="1" si="305"/>
        <v>1934.3641727740282</v>
      </c>
      <c r="R3514" s="4">
        <f t="shared" ca="1" si="306"/>
        <v>10.694128774028286</v>
      </c>
      <c r="S3514" s="4">
        <f t="shared" ca="1" si="307"/>
        <v>5.460026957177754</v>
      </c>
    </row>
    <row r="3515" spans="15:19" x14ac:dyDescent="0.2">
      <c r="O3515" s="4">
        <f t="shared" ca="1" si="303"/>
        <v>0.67636602775460697</v>
      </c>
      <c r="P3515" s="4">
        <f t="shared" ca="1" si="304"/>
        <v>0.45756089361213909</v>
      </c>
      <c r="Q3515" s="4">
        <f t="shared" ca="1" si="305"/>
        <v>1909.4024972071816</v>
      </c>
      <c r="R3515" s="4">
        <f t="shared" ca="1" si="306"/>
        <v>-14.267546792818393</v>
      </c>
      <c r="S3515" s="4">
        <f t="shared" ca="1" si="307"/>
        <v>-7.1395077471719768</v>
      </c>
    </row>
    <row r="3516" spans="15:19" x14ac:dyDescent="0.2">
      <c r="O3516" s="4">
        <f t="shared" ca="1" si="303"/>
        <v>0.20078716194737989</v>
      </c>
      <c r="P3516" s="4">
        <f t="shared" ca="1" si="304"/>
        <v>-0.83881287631709789</v>
      </c>
      <c r="Q3516" s="4">
        <f t="shared" ca="1" si="305"/>
        <v>1948.6760830094941</v>
      </c>
      <c r="R3516" s="4">
        <f t="shared" ca="1" si="306"/>
        <v>25.006039009494089</v>
      </c>
      <c r="S3516" s="4">
        <f t="shared" ca="1" si="307"/>
        <v>12.91284307406746</v>
      </c>
    </row>
    <row r="3517" spans="15:19" x14ac:dyDescent="0.2">
      <c r="O3517" s="4">
        <f t="shared" ca="1" si="303"/>
        <v>0.57586418600130374</v>
      </c>
      <c r="P3517" s="4">
        <f t="shared" ca="1" si="304"/>
        <v>0.19132416735780941</v>
      </c>
      <c r="Q3517" s="4">
        <f t="shared" ca="1" si="305"/>
        <v>1917.4681270084131</v>
      </c>
      <c r="R3517" s="4">
        <f t="shared" ca="1" si="306"/>
        <v>-6.2019169915868133</v>
      </c>
      <c r="S3517" s="4">
        <f t="shared" ca="1" si="307"/>
        <v>-3.1238137094800744</v>
      </c>
    </row>
    <row r="3518" spans="15:19" x14ac:dyDescent="0.2">
      <c r="O3518" s="4">
        <f t="shared" ca="1" si="303"/>
        <v>0.48683244786033009</v>
      </c>
      <c r="P3518" s="4">
        <f t="shared" ca="1" si="304"/>
        <v>-3.3012153641008943E-2</v>
      </c>
      <c r="Q3518" s="4">
        <f t="shared" ca="1" si="305"/>
        <v>1924.2643858927649</v>
      </c>
      <c r="R3518" s="4">
        <f t="shared" ca="1" si="306"/>
        <v>0.59434189276498728</v>
      </c>
      <c r="S3518" s="4">
        <f t="shared" ca="1" si="307"/>
        <v>0.30100548170393421</v>
      </c>
    </row>
    <row r="3519" spans="15:19" x14ac:dyDescent="0.2">
      <c r="O3519" s="4">
        <f t="shared" ca="1" si="303"/>
        <v>0.74719317951810182</v>
      </c>
      <c r="P3519" s="4">
        <f t="shared" ca="1" si="304"/>
        <v>0.66568315774469744</v>
      </c>
      <c r="Q3519" s="4">
        <f t="shared" ca="1" si="305"/>
        <v>1903.0974424557055</v>
      </c>
      <c r="R3519" s="4">
        <f t="shared" ca="1" si="306"/>
        <v>-20.572601544294457</v>
      </c>
      <c r="S3519" s="4">
        <f t="shared" ca="1" si="307"/>
        <v>-10.241767712608437</v>
      </c>
    </row>
    <row r="3520" spans="15:19" x14ac:dyDescent="0.2">
      <c r="O3520" s="4">
        <f t="shared" ca="1" si="303"/>
        <v>0.32722025920199393</v>
      </c>
      <c r="P3520" s="4">
        <f t="shared" ca="1" si="304"/>
        <v>-0.44760191838808888</v>
      </c>
      <c r="Q3520" s="4">
        <f t="shared" ca="1" si="305"/>
        <v>1936.8243644084084</v>
      </c>
      <c r="R3520" s="4">
        <f t="shared" ca="1" si="306"/>
        <v>13.154320408408466</v>
      </c>
      <c r="S3520" s="4">
        <f t="shared" ca="1" si="307"/>
        <v>6.7292835257954469</v>
      </c>
    </row>
    <row r="3521" spans="15:19" x14ac:dyDescent="0.2">
      <c r="O3521" s="4">
        <f t="shared" ca="1" si="303"/>
        <v>0.84474252821143259</v>
      </c>
      <c r="P3521" s="4">
        <f t="shared" ca="1" si="304"/>
        <v>1.0141421172121974</v>
      </c>
      <c r="Q3521" s="4">
        <f t="shared" ca="1" si="305"/>
        <v>1892.5408937498653</v>
      </c>
      <c r="R3521" s="4">
        <f t="shared" ca="1" si="306"/>
        <v>-31.129150250134671</v>
      </c>
      <c r="S3521" s="4">
        <f t="shared" ca="1" si="307"/>
        <v>-15.363420916221575</v>
      </c>
    </row>
    <row r="3522" spans="15:19" x14ac:dyDescent="0.2">
      <c r="O3522" s="4">
        <f t="shared" ca="1" si="303"/>
        <v>9.4013440604698295E-2</v>
      </c>
      <c r="P3522" s="4">
        <f t="shared" ca="1" si="304"/>
        <v>-1.3164385782764061</v>
      </c>
      <c r="Q3522" s="4">
        <f t="shared" ca="1" si="305"/>
        <v>1963.1457324442497</v>
      </c>
      <c r="R3522" s="4">
        <f t="shared" ca="1" si="306"/>
        <v>39.475688444249727</v>
      </c>
      <c r="S3522" s="4">
        <f t="shared" ca="1" si="307"/>
        <v>20.617328328753679</v>
      </c>
    </row>
    <row r="3523" spans="15:19" x14ac:dyDescent="0.2">
      <c r="O3523" s="4">
        <f t="shared" ref="O3523:O3586" ca="1" si="308">RAND()</f>
        <v>0.54189263881120731</v>
      </c>
      <c r="P3523" s="4">
        <f t="shared" ref="P3523:P3586" ca="1" si="309">NORMSINV(O3523)</f>
        <v>0.10520300995773234</v>
      </c>
      <c r="Q3523" s="4">
        <f t="shared" ref="Q3523:Q3586" ca="1" si="310">$B$4*(1+$B$17-$B$6/SQRT(252)*P3523)</f>
        <v>1920.0771636481556</v>
      </c>
      <c r="R3523" s="4">
        <f t="shared" ref="R3523:R3586" ca="1" si="311">Q3523-$B$4</f>
        <v>-3.5928803518443146</v>
      </c>
      <c r="S3523" s="4">
        <f t="shared" ref="S3523:S3586" ca="1" si="312">R3523*$B$12+0.5*$B$13*R3523^2</f>
        <v>-1.8134964551929347</v>
      </c>
    </row>
    <row r="3524" spans="15:19" x14ac:dyDescent="0.2">
      <c r="O3524" s="4">
        <f t="shared" ca="1" si="308"/>
        <v>0.98816306379648722</v>
      </c>
      <c r="P3524" s="4">
        <f t="shared" ca="1" si="309"/>
        <v>2.262381022456839</v>
      </c>
      <c r="Q3524" s="4">
        <f t="shared" ca="1" si="310"/>
        <v>1854.725551536033</v>
      </c>
      <c r="R3524" s="4">
        <f t="shared" ca="1" si="311"/>
        <v>-68.944492463966981</v>
      </c>
      <c r="S3524" s="4">
        <f t="shared" ca="1" si="312"/>
        <v>-32.965437718663118</v>
      </c>
    </row>
    <row r="3525" spans="15:19" x14ac:dyDescent="0.2">
      <c r="O3525" s="4">
        <f t="shared" ca="1" si="308"/>
        <v>0.26532599486769892</v>
      </c>
      <c r="P3525" s="4">
        <f t="shared" ca="1" si="309"/>
        <v>-0.62701105330242646</v>
      </c>
      <c r="Q3525" s="4">
        <f t="shared" ca="1" si="310"/>
        <v>1942.2595561850528</v>
      </c>
      <c r="R3525" s="4">
        <f t="shared" ca="1" si="311"/>
        <v>18.589512185052854</v>
      </c>
      <c r="S3525" s="4">
        <f t="shared" ca="1" si="312"/>
        <v>9.5508640479756934</v>
      </c>
    </row>
    <row r="3526" spans="15:19" x14ac:dyDescent="0.2">
      <c r="O3526" s="4">
        <f t="shared" ca="1" si="308"/>
        <v>0.54151919832457984</v>
      </c>
      <c r="P3526" s="4">
        <f t="shared" ca="1" si="309"/>
        <v>0.10426178548375116</v>
      </c>
      <c r="Q3526" s="4">
        <f t="shared" ca="1" si="310"/>
        <v>1920.1056780018055</v>
      </c>
      <c r="R3526" s="4">
        <f t="shared" ca="1" si="311"/>
        <v>-3.5643659981944893</v>
      </c>
      <c r="S3526" s="4">
        <f t="shared" ca="1" si="312"/>
        <v>-1.7991452864990856</v>
      </c>
    </row>
    <row r="3527" spans="15:19" x14ac:dyDescent="0.2">
      <c r="O3527" s="4">
        <f t="shared" ca="1" si="308"/>
        <v>0.50350125402725154</v>
      </c>
      <c r="P3527" s="4">
        <f t="shared" ca="1" si="309"/>
        <v>8.7764550095142894E-3</v>
      </c>
      <c r="Q3527" s="4">
        <f t="shared" ca="1" si="310"/>
        <v>1922.9984018490698</v>
      </c>
      <c r="R3527" s="4">
        <f t="shared" ca="1" si="311"/>
        <v>-0.67164215093021085</v>
      </c>
      <c r="S3527" s="4">
        <f t="shared" ca="1" si="312"/>
        <v>-0.33980820525047595</v>
      </c>
    </row>
    <row r="3528" spans="15:19" x14ac:dyDescent="0.2">
      <c r="O3528" s="4">
        <f t="shared" ca="1" si="308"/>
        <v>0.39075541892930454</v>
      </c>
      <c r="P3528" s="4">
        <f t="shared" ca="1" si="309"/>
        <v>-0.27735069351823688</v>
      </c>
      <c r="Q3528" s="4">
        <f t="shared" ca="1" si="310"/>
        <v>1931.6666111099596</v>
      </c>
      <c r="R3528" s="4">
        <f t="shared" ca="1" si="311"/>
        <v>7.996567109959642</v>
      </c>
      <c r="S3528" s="4">
        <f t="shared" ca="1" si="312"/>
        <v>4.0739706731421093</v>
      </c>
    </row>
    <row r="3529" spans="15:19" x14ac:dyDescent="0.2">
      <c r="O3529" s="4">
        <f t="shared" ca="1" si="308"/>
        <v>0.99702868466364725</v>
      </c>
      <c r="P3529" s="4">
        <f t="shared" ca="1" si="309"/>
        <v>2.7509301865405522</v>
      </c>
      <c r="Q3529" s="4">
        <f t="shared" ca="1" si="310"/>
        <v>1839.9249763012094</v>
      </c>
      <c r="R3529" s="4">
        <f t="shared" ca="1" si="311"/>
        <v>-83.745067698790535</v>
      </c>
      <c r="S3529" s="4">
        <f t="shared" ca="1" si="312"/>
        <v>-39.537700847633957</v>
      </c>
    </row>
    <row r="3530" spans="15:19" x14ac:dyDescent="0.2">
      <c r="O3530" s="4">
        <f t="shared" ca="1" si="308"/>
        <v>0.74138122344999557</v>
      </c>
      <c r="P3530" s="4">
        <f t="shared" ca="1" si="309"/>
        <v>0.64760949716681471</v>
      </c>
      <c r="Q3530" s="4">
        <f t="shared" ca="1" si="310"/>
        <v>1903.6449832004598</v>
      </c>
      <c r="R3530" s="4">
        <f t="shared" ca="1" si="311"/>
        <v>-20.025060799540142</v>
      </c>
      <c r="S3530" s="4">
        <f t="shared" ca="1" si="312"/>
        <v>-9.9736459151439938</v>
      </c>
    </row>
    <row r="3531" spans="15:19" x14ac:dyDescent="0.2">
      <c r="O3531" s="4">
        <f t="shared" ca="1" si="308"/>
        <v>0.27197037976621852</v>
      </c>
      <c r="P3531" s="4">
        <f t="shared" ca="1" si="309"/>
        <v>-0.60686461976781914</v>
      </c>
      <c r="Q3531" s="4">
        <f t="shared" ca="1" si="310"/>
        <v>1941.6492208756033</v>
      </c>
      <c r="R3531" s="4">
        <f t="shared" ca="1" si="311"/>
        <v>17.979176875603343</v>
      </c>
      <c r="S3531" s="4">
        <f t="shared" ca="1" si="312"/>
        <v>9.2328208920986992</v>
      </c>
    </row>
    <row r="3532" spans="15:19" x14ac:dyDescent="0.2">
      <c r="O3532" s="4">
        <f t="shared" ca="1" si="308"/>
        <v>0.40579370859068509</v>
      </c>
      <c r="P3532" s="4">
        <f t="shared" ca="1" si="309"/>
        <v>-0.23837866012398767</v>
      </c>
      <c r="Q3532" s="4">
        <f t="shared" ca="1" si="310"/>
        <v>1930.4859550886001</v>
      </c>
      <c r="R3532" s="4">
        <f t="shared" ca="1" si="311"/>
        <v>6.8159110886001599</v>
      </c>
      <c r="S3532" s="4">
        <f t="shared" ca="1" si="312"/>
        <v>3.4691920243440908</v>
      </c>
    </row>
    <row r="3533" spans="15:19" x14ac:dyDescent="0.2">
      <c r="O3533" s="4">
        <f t="shared" ca="1" si="308"/>
        <v>0.57402274293676181</v>
      </c>
      <c r="P3533" s="4">
        <f t="shared" ca="1" si="309"/>
        <v>0.18662519107180434</v>
      </c>
      <c r="Q3533" s="4">
        <f t="shared" ca="1" si="310"/>
        <v>1917.6104822863679</v>
      </c>
      <c r="R3533" s="4">
        <f t="shared" ca="1" si="311"/>
        <v>-6.0595617136320925</v>
      </c>
      <c r="S3533" s="4">
        <f t="shared" ca="1" si="312"/>
        <v>-3.0524626071426173</v>
      </c>
    </row>
    <row r="3534" spans="15:19" x14ac:dyDescent="0.2">
      <c r="O3534" s="4">
        <f t="shared" ca="1" si="308"/>
        <v>0.86914911825221486</v>
      </c>
      <c r="P3534" s="4">
        <f t="shared" ca="1" si="309"/>
        <v>1.1223779787079786</v>
      </c>
      <c r="Q3534" s="4">
        <f t="shared" ca="1" si="310"/>
        <v>1889.2618931314141</v>
      </c>
      <c r="R3534" s="4">
        <f t="shared" ca="1" si="311"/>
        <v>-34.408150868585835</v>
      </c>
      <c r="S3534" s="4">
        <f t="shared" ca="1" si="312"/>
        <v>-16.935805252074644</v>
      </c>
    </row>
    <row r="3535" spans="15:19" x14ac:dyDescent="0.2">
      <c r="O3535" s="4">
        <f t="shared" ca="1" si="308"/>
        <v>0.59895705078418415</v>
      </c>
      <c r="P3535" s="4">
        <f t="shared" ca="1" si="309"/>
        <v>0.25064847716213051</v>
      </c>
      <c r="Q3535" s="4">
        <f t="shared" ca="1" si="310"/>
        <v>1915.6708996768311</v>
      </c>
      <c r="R3535" s="4">
        <f t="shared" ca="1" si="311"/>
        <v>-7.9991443231688208</v>
      </c>
      <c r="S3535" s="4">
        <f t="shared" ca="1" si="312"/>
        <v>-4.0231983496208175</v>
      </c>
    </row>
    <row r="3536" spans="15:19" x14ac:dyDescent="0.2">
      <c r="O3536" s="4">
        <f t="shared" ca="1" si="308"/>
        <v>0.30936967887559219</v>
      </c>
      <c r="P3536" s="4">
        <f t="shared" ca="1" si="309"/>
        <v>-0.49763779748844028</v>
      </c>
      <c r="Q3536" s="4">
        <f t="shared" ca="1" si="310"/>
        <v>1938.3401991442108</v>
      </c>
      <c r="R3536" s="4">
        <f t="shared" ca="1" si="311"/>
        <v>14.670155144210867</v>
      </c>
      <c r="S3536" s="4">
        <f t="shared" ca="1" si="312"/>
        <v>7.5137830000365282</v>
      </c>
    </row>
    <row r="3537" spans="15:19" x14ac:dyDescent="0.2">
      <c r="O3537" s="4">
        <f t="shared" ca="1" si="308"/>
        <v>0.51517411447101513</v>
      </c>
      <c r="P3537" s="4">
        <f t="shared" ca="1" si="309"/>
        <v>3.8045040274201254E-2</v>
      </c>
      <c r="Q3537" s="4">
        <f t="shared" ca="1" si="310"/>
        <v>1922.1117113579719</v>
      </c>
      <c r="R3537" s="4">
        <f t="shared" ca="1" si="311"/>
        <v>-1.5583326420280628</v>
      </c>
      <c r="S3537" s="4">
        <f t="shared" ca="1" si="312"/>
        <v>-0.78785471995403999</v>
      </c>
    </row>
    <row r="3538" spans="15:19" x14ac:dyDescent="0.2">
      <c r="O3538" s="4">
        <f t="shared" ca="1" si="308"/>
        <v>0.59382135604418629</v>
      </c>
      <c r="P3538" s="4">
        <f t="shared" ca="1" si="309"/>
        <v>0.23738607972054709</v>
      </c>
      <c r="Q3538" s="4">
        <f t="shared" ca="1" si="310"/>
        <v>1916.0726834184866</v>
      </c>
      <c r="R3538" s="4">
        <f t="shared" ca="1" si="311"/>
        <v>-7.5973605815133851</v>
      </c>
      <c r="S3538" s="4">
        <f t="shared" ca="1" si="312"/>
        <v>-3.8223623517523495</v>
      </c>
    </row>
    <row r="3539" spans="15:19" x14ac:dyDescent="0.2">
      <c r="O3539" s="4">
        <f t="shared" ca="1" si="308"/>
        <v>0.19633197832928329</v>
      </c>
      <c r="P3539" s="4">
        <f t="shared" ca="1" si="309"/>
        <v>-0.85479624626683137</v>
      </c>
      <c r="Q3539" s="4">
        <f t="shared" ca="1" si="310"/>
        <v>1949.1602984924757</v>
      </c>
      <c r="R3539" s="4">
        <f t="shared" ca="1" si="311"/>
        <v>25.490254492475742</v>
      </c>
      <c r="S3539" s="4">
        <f t="shared" ca="1" si="312"/>
        <v>13.167910979510804</v>
      </c>
    </row>
    <row r="3540" spans="15:19" x14ac:dyDescent="0.2">
      <c r="O3540" s="4">
        <f t="shared" ca="1" si="308"/>
        <v>0.43295493287798004</v>
      </c>
      <c r="P3540" s="4">
        <f t="shared" ca="1" si="309"/>
        <v>-0.16885605504035484</v>
      </c>
      <c r="Q3540" s="4">
        <f t="shared" ca="1" si="310"/>
        <v>1928.3797708543254</v>
      </c>
      <c r="R3540" s="4">
        <f t="shared" ca="1" si="311"/>
        <v>4.7097268543254813</v>
      </c>
      <c r="S3540" s="4">
        <f t="shared" ca="1" si="312"/>
        <v>2.3931392820274699</v>
      </c>
    </row>
    <row r="3541" spans="15:19" x14ac:dyDescent="0.2">
      <c r="O3541" s="4">
        <f t="shared" ca="1" si="308"/>
        <v>0.51691484342666116</v>
      </c>
      <c r="P3541" s="4">
        <f t="shared" ca="1" si="309"/>
        <v>4.2411936267236661E-2</v>
      </c>
      <c r="Q3541" s="4">
        <f t="shared" ca="1" si="310"/>
        <v>1921.9794164377486</v>
      </c>
      <c r="R3541" s="4">
        <f t="shared" ca="1" si="311"/>
        <v>-1.6906275622513931</v>
      </c>
      <c r="S3541" s="4">
        <f t="shared" ca="1" si="312"/>
        <v>-0.85464873751372594</v>
      </c>
    </row>
    <row r="3542" spans="15:19" x14ac:dyDescent="0.2">
      <c r="O3542" s="4">
        <f t="shared" ca="1" si="308"/>
        <v>0.82256268701038815</v>
      </c>
      <c r="P3542" s="4">
        <f t="shared" ca="1" si="309"/>
        <v>0.92517549890514694</v>
      </c>
      <c r="Q3542" s="4">
        <f t="shared" ca="1" si="310"/>
        <v>1895.2361335014489</v>
      </c>
      <c r="R3542" s="4">
        <f t="shared" ca="1" si="311"/>
        <v>-28.433910498551086</v>
      </c>
      <c r="S3542" s="4">
        <f t="shared" ca="1" si="312"/>
        <v>-14.064413716349645</v>
      </c>
    </row>
    <row r="3543" spans="15:19" x14ac:dyDescent="0.2">
      <c r="O3543" s="4">
        <f t="shared" ca="1" si="308"/>
        <v>0.54590947756580133</v>
      </c>
      <c r="P3543" s="4">
        <f t="shared" ca="1" si="309"/>
        <v>0.11533317384881762</v>
      </c>
      <c r="Q3543" s="4">
        <f t="shared" ca="1" si="310"/>
        <v>1919.7702707828444</v>
      </c>
      <c r="R3543" s="4">
        <f t="shared" ca="1" si="311"/>
        <v>-3.8997732171555981</v>
      </c>
      <c r="S3543" s="4">
        <f t="shared" ca="1" si="312"/>
        <v>-1.9679125975570688</v>
      </c>
    </row>
    <row r="3544" spans="15:19" x14ac:dyDescent="0.2">
      <c r="O3544" s="4">
        <f t="shared" ca="1" si="308"/>
        <v>0.65355383542708034</v>
      </c>
      <c r="P3544" s="4">
        <f t="shared" ca="1" si="309"/>
        <v>0.39493300793589364</v>
      </c>
      <c r="Q3544" s="4">
        <f t="shared" ca="1" si="310"/>
        <v>1911.2998062231281</v>
      </c>
      <c r="R3544" s="4">
        <f t="shared" ca="1" si="311"/>
        <v>-12.370237776871818</v>
      </c>
      <c r="S3544" s="4">
        <f t="shared" ca="1" si="312"/>
        <v>-6.199644662306766</v>
      </c>
    </row>
    <row r="3545" spans="15:19" x14ac:dyDescent="0.2">
      <c r="O3545" s="4">
        <f t="shared" ca="1" si="308"/>
        <v>0.32963770096122169</v>
      </c>
      <c r="P3545" s="4">
        <f t="shared" ca="1" si="309"/>
        <v>-0.44091380112586631</v>
      </c>
      <c r="Q3545" s="4">
        <f t="shared" ca="1" si="310"/>
        <v>1936.6217481928952</v>
      </c>
      <c r="R3545" s="4">
        <f t="shared" ca="1" si="311"/>
        <v>12.951704192895249</v>
      </c>
      <c r="S3545" s="4">
        <f t="shared" ca="1" si="312"/>
        <v>6.6245640186361339</v>
      </c>
    </row>
    <row r="3546" spans="15:19" x14ac:dyDescent="0.2">
      <c r="O3546" s="4">
        <f t="shared" ca="1" si="308"/>
        <v>0.78687619449862045</v>
      </c>
      <c r="P3546" s="4">
        <f t="shared" ca="1" si="309"/>
        <v>0.79562916269633832</v>
      </c>
      <c r="Q3546" s="4">
        <f t="shared" ca="1" si="310"/>
        <v>1899.1607340051676</v>
      </c>
      <c r="R3546" s="4">
        <f t="shared" ca="1" si="311"/>
        <v>-24.509309994832392</v>
      </c>
      <c r="S3546" s="4">
        <f t="shared" ca="1" si="312"/>
        <v>-12.162323746922812</v>
      </c>
    </row>
    <row r="3547" spans="15:19" x14ac:dyDescent="0.2">
      <c r="O3547" s="4">
        <f t="shared" ca="1" si="308"/>
        <v>0.28359764272142862</v>
      </c>
      <c r="P3547" s="4">
        <f t="shared" ca="1" si="309"/>
        <v>-0.57218701218351542</v>
      </c>
      <c r="Q3547" s="4">
        <f t="shared" ca="1" si="310"/>
        <v>1940.5986642934879</v>
      </c>
      <c r="R3547" s="4">
        <f t="shared" ca="1" si="311"/>
        <v>16.928620293487938</v>
      </c>
      <c r="S3547" s="4">
        <f t="shared" ca="1" si="312"/>
        <v>8.6860905666949808</v>
      </c>
    </row>
    <row r="3548" spans="15:19" x14ac:dyDescent="0.2">
      <c r="O3548" s="4">
        <f t="shared" ca="1" si="308"/>
        <v>0.79923088509492446</v>
      </c>
      <c r="P3548" s="4">
        <f t="shared" ca="1" si="309"/>
        <v>0.83887718861284122</v>
      </c>
      <c r="Q3548" s="4">
        <f t="shared" ca="1" si="310"/>
        <v>1897.850536980196</v>
      </c>
      <c r="R3548" s="4">
        <f t="shared" ca="1" si="311"/>
        <v>-25.81950701980395</v>
      </c>
      <c r="S3548" s="4">
        <f t="shared" ca="1" si="312"/>
        <v>-12.798715898235116</v>
      </c>
    </row>
    <row r="3549" spans="15:19" x14ac:dyDescent="0.2">
      <c r="O3549" s="4">
        <f t="shared" ca="1" si="308"/>
        <v>0.42196064110265774</v>
      </c>
      <c r="P3549" s="4">
        <f t="shared" ca="1" si="309"/>
        <v>-0.19688020808086434</v>
      </c>
      <c r="Q3549" s="4">
        <f t="shared" ca="1" si="310"/>
        <v>1929.2287613264434</v>
      </c>
      <c r="R3549" s="4">
        <f t="shared" ca="1" si="311"/>
        <v>5.5587173264434568</v>
      </c>
      <c r="S3549" s="4">
        <f t="shared" ca="1" si="312"/>
        <v>2.8264553274799442</v>
      </c>
    </row>
    <row r="3550" spans="15:19" x14ac:dyDescent="0.2">
      <c r="O3550" s="4">
        <f t="shared" ca="1" si="308"/>
        <v>0.87137099260581341</v>
      </c>
      <c r="P3550" s="4">
        <f t="shared" ca="1" si="309"/>
        <v>1.1328957980673797</v>
      </c>
      <c r="Q3550" s="4">
        <f t="shared" ca="1" si="310"/>
        <v>1888.9432562609018</v>
      </c>
      <c r="R3550" s="4">
        <f t="shared" ca="1" si="311"/>
        <v>-34.726787739098199</v>
      </c>
      <c r="S3550" s="4">
        <f t="shared" ca="1" si="312"/>
        <v>-17.088135053200734</v>
      </c>
    </row>
    <row r="3551" spans="15:19" x14ac:dyDescent="0.2">
      <c r="O3551" s="4">
        <f t="shared" ca="1" si="308"/>
        <v>0.83081450978778659</v>
      </c>
      <c r="P3551" s="4">
        <f t="shared" ca="1" si="309"/>
        <v>0.95738893669231084</v>
      </c>
      <c r="Q3551" s="4">
        <f t="shared" ca="1" si="310"/>
        <v>1894.260228833931</v>
      </c>
      <c r="R3551" s="4">
        <f t="shared" ca="1" si="311"/>
        <v>-29.409815166068938</v>
      </c>
      <c r="S3551" s="4">
        <f t="shared" ca="1" si="312"/>
        <v>-14.535447175673104</v>
      </c>
    </row>
    <row r="3552" spans="15:19" x14ac:dyDescent="0.2">
      <c r="O3552" s="4">
        <f t="shared" ca="1" si="308"/>
        <v>0.10635181338305577</v>
      </c>
      <c r="P3552" s="4">
        <f t="shared" ca="1" si="309"/>
        <v>-1.2461655416273296</v>
      </c>
      <c r="Q3552" s="4">
        <f t="shared" ca="1" si="310"/>
        <v>1961.0168139190184</v>
      </c>
      <c r="R3552" s="4">
        <f t="shared" ca="1" si="311"/>
        <v>37.34676991901847</v>
      </c>
      <c r="S3552" s="4">
        <f t="shared" ca="1" si="312"/>
        <v>19.473073253755089</v>
      </c>
    </row>
    <row r="3553" spans="15:19" x14ac:dyDescent="0.2">
      <c r="O3553" s="4">
        <f t="shared" ca="1" si="308"/>
        <v>0.86788086452286251</v>
      </c>
      <c r="P3553" s="4">
        <f t="shared" ca="1" si="309"/>
        <v>1.1164296425463438</v>
      </c>
      <c r="Q3553" s="4">
        <f t="shared" ca="1" si="310"/>
        <v>1889.4420977113307</v>
      </c>
      <c r="R3553" s="4">
        <f t="shared" ca="1" si="311"/>
        <v>-34.227946288669273</v>
      </c>
      <c r="S3553" s="4">
        <f t="shared" ca="1" si="312"/>
        <v>-16.849618780250744</v>
      </c>
    </row>
    <row r="3554" spans="15:19" x14ac:dyDescent="0.2">
      <c r="O3554" s="4">
        <f t="shared" ca="1" si="308"/>
        <v>0.14999349603906831</v>
      </c>
      <c r="P3554" s="4">
        <f t="shared" ca="1" si="309"/>
        <v>-1.0364612848837287</v>
      </c>
      <c r="Q3554" s="4">
        <f t="shared" ca="1" si="310"/>
        <v>1954.6638327716291</v>
      </c>
      <c r="R3554" s="4">
        <f t="shared" ca="1" si="311"/>
        <v>30.99378877162917</v>
      </c>
      <c r="S3554" s="4">
        <f t="shared" ca="1" si="312"/>
        <v>16.08039623826636</v>
      </c>
    </row>
    <row r="3555" spans="15:19" x14ac:dyDescent="0.2">
      <c r="O3555" s="4">
        <f t="shared" ca="1" si="308"/>
        <v>7.257551231951187E-2</v>
      </c>
      <c r="P3555" s="4">
        <f t="shared" ca="1" si="309"/>
        <v>-1.4568745056043062</v>
      </c>
      <c r="Q3555" s="4">
        <f t="shared" ca="1" si="310"/>
        <v>1967.4002326274342</v>
      </c>
      <c r="R3555" s="4">
        <f t="shared" ca="1" si="311"/>
        <v>43.730188627434245</v>
      </c>
      <c r="S3555" s="4">
        <f t="shared" ca="1" si="312"/>
        <v>22.915100263409542</v>
      </c>
    </row>
    <row r="3556" spans="15:19" x14ac:dyDescent="0.2">
      <c r="O3556" s="4">
        <f t="shared" ca="1" si="308"/>
        <v>0.32505514883588904</v>
      </c>
      <c r="P3556" s="4">
        <f t="shared" ca="1" si="309"/>
        <v>-0.45360896792111427</v>
      </c>
      <c r="Q3556" s="4">
        <f t="shared" ca="1" si="310"/>
        <v>1937.0063477073045</v>
      </c>
      <c r="R3556" s="4">
        <f t="shared" ca="1" si="311"/>
        <v>13.336303707304523</v>
      </c>
      <c r="S3556" s="4">
        <f t="shared" ca="1" si="312"/>
        <v>6.8233676743575069</v>
      </c>
    </row>
    <row r="3557" spans="15:19" x14ac:dyDescent="0.2">
      <c r="O3557" s="4">
        <f t="shared" ca="1" si="308"/>
        <v>0.29417045225616034</v>
      </c>
      <c r="P3557" s="4">
        <f t="shared" ca="1" si="309"/>
        <v>-0.54124183659761527</v>
      </c>
      <c r="Q3557" s="4">
        <f t="shared" ca="1" si="310"/>
        <v>1939.661181573048</v>
      </c>
      <c r="R3557" s="4">
        <f t="shared" ca="1" si="311"/>
        <v>15.991137573048036</v>
      </c>
      <c r="S3557" s="4">
        <f t="shared" ca="1" si="312"/>
        <v>8.1989647810361461</v>
      </c>
    </row>
    <row r="3558" spans="15:19" x14ac:dyDescent="0.2">
      <c r="O3558" s="4">
        <f t="shared" ca="1" si="308"/>
        <v>8.9600001814618357E-2</v>
      </c>
      <c r="P3558" s="4">
        <f t="shared" ca="1" si="309"/>
        <v>-1.3432222977066683</v>
      </c>
      <c r="Q3558" s="4">
        <f t="shared" ca="1" si="310"/>
        <v>1963.957144035219</v>
      </c>
      <c r="R3558" s="4">
        <f t="shared" ca="1" si="311"/>
        <v>40.287100035219055</v>
      </c>
      <c r="S3558" s="4">
        <f t="shared" ca="1" si="312"/>
        <v>21.054418527720546</v>
      </c>
    </row>
    <row r="3559" spans="15:19" x14ac:dyDescent="0.2">
      <c r="O3559" s="4">
        <f t="shared" ca="1" si="308"/>
        <v>0.31555287090347339</v>
      </c>
      <c r="P3559" s="4">
        <f t="shared" ca="1" si="309"/>
        <v>-0.48017109014169479</v>
      </c>
      <c r="Q3559" s="4">
        <f t="shared" ca="1" si="310"/>
        <v>1937.8110460206456</v>
      </c>
      <c r="R3559" s="4">
        <f t="shared" ca="1" si="311"/>
        <v>14.141002020645601</v>
      </c>
      <c r="S3559" s="4">
        <f t="shared" ca="1" si="312"/>
        <v>7.2397145263815554</v>
      </c>
    </row>
    <row r="3560" spans="15:19" x14ac:dyDescent="0.2">
      <c r="O3560" s="4">
        <f t="shared" ca="1" si="308"/>
        <v>0.83962726492538808</v>
      </c>
      <c r="P3560" s="4">
        <f t="shared" ca="1" si="309"/>
        <v>0.99292712440531705</v>
      </c>
      <c r="Q3560" s="4">
        <f t="shared" ca="1" si="310"/>
        <v>1893.1836010150253</v>
      </c>
      <c r="R3560" s="4">
        <f t="shared" ca="1" si="311"/>
        <v>-30.486442984974701</v>
      </c>
      <c r="S3560" s="4">
        <f t="shared" ca="1" si="312"/>
        <v>-15.054196466027989</v>
      </c>
    </row>
    <row r="3561" spans="15:19" x14ac:dyDescent="0.2">
      <c r="O3561" s="4">
        <f t="shared" ca="1" si="308"/>
        <v>4.3917062164339327E-2</v>
      </c>
      <c r="P3561" s="4">
        <f t="shared" ca="1" si="309"/>
        <v>-1.7069350548150288</v>
      </c>
      <c r="Q3561" s="4">
        <f t="shared" ca="1" si="310"/>
        <v>1974.9758058633358</v>
      </c>
      <c r="R3561" s="4">
        <f t="shared" ca="1" si="311"/>
        <v>51.305761863335874</v>
      </c>
      <c r="S3561" s="4">
        <f t="shared" ca="1" si="312"/>
        <v>27.042999860452117</v>
      </c>
    </row>
    <row r="3562" spans="15:19" x14ac:dyDescent="0.2">
      <c r="O3562" s="4">
        <f t="shared" ca="1" si="308"/>
        <v>0.38581941779819517</v>
      </c>
      <c r="P3562" s="4">
        <f t="shared" ca="1" si="309"/>
        <v>-0.29023189701291474</v>
      </c>
      <c r="Q3562" s="4">
        <f t="shared" ca="1" si="310"/>
        <v>1932.0568465979186</v>
      </c>
      <c r="R3562" s="4">
        <f t="shared" ca="1" si="311"/>
        <v>8.3868025979186314</v>
      </c>
      <c r="S3562" s="4">
        <f t="shared" ca="1" si="312"/>
        <v>4.2741142445673823</v>
      </c>
    </row>
    <row r="3563" spans="15:19" x14ac:dyDescent="0.2">
      <c r="O3563" s="4">
        <f t="shared" ca="1" si="308"/>
        <v>7.1423338286521476E-2</v>
      </c>
      <c r="P3563" s="4">
        <f t="shared" ca="1" si="309"/>
        <v>-1.465272168735017</v>
      </c>
      <c r="Q3563" s="4">
        <f t="shared" ca="1" si="310"/>
        <v>1967.6546394591314</v>
      </c>
      <c r="R3563" s="4">
        <f t="shared" ca="1" si="311"/>
        <v>43.984595459131469</v>
      </c>
      <c r="S3563" s="4">
        <f t="shared" ca="1" si="312"/>
        <v>23.052967341101546</v>
      </c>
    </row>
    <row r="3564" spans="15:19" x14ac:dyDescent="0.2">
      <c r="O3564" s="4">
        <f t="shared" ca="1" si="308"/>
        <v>0.75915605406343001</v>
      </c>
      <c r="P3564" s="4">
        <f t="shared" ca="1" si="309"/>
        <v>0.70359039944987789</v>
      </c>
      <c r="Q3564" s="4">
        <f t="shared" ca="1" si="310"/>
        <v>1901.9490442512904</v>
      </c>
      <c r="R3564" s="4">
        <f t="shared" ca="1" si="311"/>
        <v>-21.720999748709573</v>
      </c>
      <c r="S3564" s="4">
        <f t="shared" ca="1" si="312"/>
        <v>-10.803326822264907</v>
      </c>
    </row>
    <row r="3565" spans="15:19" x14ac:dyDescent="0.2">
      <c r="O3565" s="4">
        <f t="shared" ca="1" si="308"/>
        <v>0.78693147420964238</v>
      </c>
      <c r="P3565" s="4">
        <f t="shared" ca="1" si="309"/>
        <v>0.79581933547607231</v>
      </c>
      <c r="Q3565" s="4">
        <f t="shared" ca="1" si="310"/>
        <v>1899.154972729249</v>
      </c>
      <c r="R3565" s="4">
        <f t="shared" ca="1" si="311"/>
        <v>-24.515071270750923</v>
      </c>
      <c r="S3565" s="4">
        <f t="shared" ca="1" si="312"/>
        <v>-12.165125187375811</v>
      </c>
    </row>
    <row r="3566" spans="15:19" x14ac:dyDescent="0.2">
      <c r="O3566" s="4">
        <f t="shared" ca="1" si="308"/>
        <v>0.21803486373040848</v>
      </c>
      <c r="P3566" s="4">
        <f t="shared" ca="1" si="309"/>
        <v>-0.77884720407187347</v>
      </c>
      <c r="Q3566" s="4">
        <f t="shared" ca="1" si="310"/>
        <v>1946.8594256312406</v>
      </c>
      <c r="R3566" s="4">
        <f t="shared" ca="1" si="311"/>
        <v>23.189381631240622</v>
      </c>
      <c r="S3566" s="4">
        <f t="shared" ca="1" si="312"/>
        <v>11.957592545611853</v>
      </c>
    </row>
    <row r="3567" spans="15:19" x14ac:dyDescent="0.2">
      <c r="O3567" s="4">
        <f t="shared" ca="1" si="308"/>
        <v>0.28685519937189752</v>
      </c>
      <c r="P3567" s="4">
        <f t="shared" ca="1" si="309"/>
        <v>-0.56259543866621975</v>
      </c>
      <c r="Q3567" s="4">
        <f t="shared" ca="1" si="310"/>
        <v>1940.3080879996378</v>
      </c>
      <c r="R3567" s="4">
        <f t="shared" ca="1" si="311"/>
        <v>16.63804399963783</v>
      </c>
      <c r="S3567" s="4">
        <f t="shared" ca="1" si="312"/>
        <v>8.5350275788740806</v>
      </c>
    </row>
    <row r="3568" spans="15:19" x14ac:dyDescent="0.2">
      <c r="O3568" s="4">
        <f t="shared" ca="1" si="308"/>
        <v>6.6024179062353028E-2</v>
      </c>
      <c r="P3568" s="4">
        <f t="shared" ca="1" si="309"/>
        <v>-1.5060732990632029</v>
      </c>
      <c r="Q3568" s="4">
        <f t="shared" ca="1" si="310"/>
        <v>1968.8907078908946</v>
      </c>
      <c r="R3568" s="4">
        <f t="shared" ca="1" si="311"/>
        <v>45.220663890894684</v>
      </c>
      <c r="S3568" s="4">
        <f t="shared" ca="1" si="312"/>
        <v>23.723562290173195</v>
      </c>
    </row>
    <row r="3569" spans="15:19" x14ac:dyDescent="0.2">
      <c r="O3569" s="4">
        <f t="shared" ca="1" si="308"/>
        <v>0.92192099025788599</v>
      </c>
      <c r="P3569" s="4">
        <f t="shared" ca="1" si="309"/>
        <v>1.4181121673486077</v>
      </c>
      <c r="Q3569" s="4">
        <f t="shared" ca="1" si="310"/>
        <v>1880.3026390168475</v>
      </c>
      <c r="R3569" s="4">
        <f t="shared" ca="1" si="311"/>
        <v>-43.367404983152483</v>
      </c>
      <c r="S3569" s="4">
        <f t="shared" ca="1" si="312"/>
        <v>-21.187417138373885</v>
      </c>
    </row>
    <row r="3570" spans="15:19" x14ac:dyDescent="0.2">
      <c r="O3570" s="4">
        <f t="shared" ca="1" si="308"/>
        <v>0.90778969312304381</v>
      </c>
      <c r="P3570" s="4">
        <f t="shared" ca="1" si="309"/>
        <v>1.3272662809966642</v>
      </c>
      <c r="Q3570" s="4">
        <f t="shared" ca="1" si="310"/>
        <v>1883.0548111104133</v>
      </c>
      <c r="R3570" s="4">
        <f t="shared" ca="1" si="311"/>
        <v>-40.61523288958665</v>
      </c>
      <c r="S3570" s="4">
        <f t="shared" ca="1" si="312"/>
        <v>-19.888328479437202</v>
      </c>
    </row>
    <row r="3571" spans="15:19" x14ac:dyDescent="0.2">
      <c r="O3571" s="4">
        <f t="shared" ca="1" si="308"/>
        <v>0.40658073454156507</v>
      </c>
      <c r="P3571" s="4">
        <f t="shared" ca="1" si="309"/>
        <v>-0.23634951315333763</v>
      </c>
      <c r="Q3571" s="4">
        <f t="shared" ca="1" si="310"/>
        <v>1930.4244821712164</v>
      </c>
      <c r="R3571" s="4">
        <f t="shared" ca="1" si="311"/>
        <v>6.7544381712164068</v>
      </c>
      <c r="S3571" s="4">
        <f t="shared" ca="1" si="312"/>
        <v>3.4377342506480169</v>
      </c>
    </row>
    <row r="3572" spans="15:19" x14ac:dyDescent="0.2">
      <c r="O3572" s="4">
        <f t="shared" ca="1" si="308"/>
        <v>0.1130423382845116</v>
      </c>
      <c r="P3572" s="4">
        <f t="shared" ca="1" si="309"/>
        <v>-1.2105062953893275</v>
      </c>
      <c r="Q3572" s="4">
        <f t="shared" ca="1" si="310"/>
        <v>1959.9365186374728</v>
      </c>
      <c r="R3572" s="4">
        <f t="shared" ca="1" si="311"/>
        <v>36.266474637472811</v>
      </c>
      <c r="S3572" s="4">
        <f t="shared" ca="1" si="312"/>
        <v>18.893845411149918</v>
      </c>
    </row>
    <row r="3573" spans="15:19" x14ac:dyDescent="0.2">
      <c r="O3573" s="4">
        <f t="shared" ca="1" si="308"/>
        <v>0.60727409023891465</v>
      </c>
      <c r="P3573" s="4">
        <f t="shared" ca="1" si="309"/>
        <v>0.27222135918210144</v>
      </c>
      <c r="Q3573" s="4">
        <f t="shared" ca="1" si="310"/>
        <v>1915.0173501738504</v>
      </c>
      <c r="R3573" s="4">
        <f t="shared" ca="1" si="311"/>
        <v>-8.6526938261495161</v>
      </c>
      <c r="S3573" s="4">
        <f t="shared" ca="1" si="312"/>
        <v>-4.3496014562931027</v>
      </c>
    </row>
    <row r="3574" spans="15:19" x14ac:dyDescent="0.2">
      <c r="O3574" s="4">
        <f t="shared" ca="1" si="308"/>
        <v>0.6900328997711408</v>
      </c>
      <c r="P3574" s="4">
        <f t="shared" ca="1" si="309"/>
        <v>0.4959436045356147</v>
      </c>
      <c r="Q3574" s="4">
        <f t="shared" ca="1" si="310"/>
        <v>1908.2396946839087</v>
      </c>
      <c r="R3574" s="4">
        <f t="shared" ca="1" si="311"/>
        <v>-15.430349316091224</v>
      </c>
      <c r="S3574" s="4">
        <f t="shared" ca="1" si="312"/>
        <v>-7.714072538503661</v>
      </c>
    </row>
    <row r="3575" spans="15:19" x14ac:dyDescent="0.2">
      <c r="O3575" s="4">
        <f t="shared" ca="1" si="308"/>
        <v>0.22646270217875319</v>
      </c>
      <c r="P3575" s="4">
        <f t="shared" ca="1" si="309"/>
        <v>-0.75054687314523472</v>
      </c>
      <c r="Q3575" s="4">
        <f t="shared" ca="1" si="310"/>
        <v>1946.0020683623245</v>
      </c>
      <c r="R3575" s="4">
        <f t="shared" ca="1" si="311"/>
        <v>22.332024362324546</v>
      </c>
      <c r="S3575" s="4">
        <f t="shared" ca="1" si="312"/>
        <v>11.507702756517618</v>
      </c>
    </row>
    <row r="3576" spans="15:19" x14ac:dyDescent="0.2">
      <c r="O3576" s="4">
        <f t="shared" ca="1" si="308"/>
        <v>0.58924793310001677</v>
      </c>
      <c r="P3576" s="4">
        <f t="shared" ca="1" si="309"/>
        <v>0.22561080826272953</v>
      </c>
      <c r="Q3576" s="4">
        <f t="shared" ca="1" si="310"/>
        <v>1916.4294147444912</v>
      </c>
      <c r="R3576" s="4">
        <f t="shared" ca="1" si="311"/>
        <v>-7.240629255508793</v>
      </c>
      <c r="S3576" s="4">
        <f t="shared" ca="1" si="312"/>
        <v>-3.6439361493496305</v>
      </c>
    </row>
    <row r="3577" spans="15:19" x14ac:dyDescent="0.2">
      <c r="O3577" s="4">
        <f t="shared" ca="1" si="308"/>
        <v>0.94499434373046221</v>
      </c>
      <c r="P3577" s="4">
        <f t="shared" ca="1" si="309"/>
        <v>1.5981422953624562</v>
      </c>
      <c r="Q3577" s="4">
        <f t="shared" ca="1" si="310"/>
        <v>1874.8486342818248</v>
      </c>
      <c r="R3577" s="4">
        <f t="shared" ca="1" si="311"/>
        <v>-48.821409718175119</v>
      </c>
      <c r="S3577" s="4">
        <f t="shared" ca="1" si="312"/>
        <v>-23.743614069745554</v>
      </c>
    </row>
    <row r="3578" spans="15:19" x14ac:dyDescent="0.2">
      <c r="O3578" s="4">
        <f t="shared" ca="1" si="308"/>
        <v>0.31777958744390156</v>
      </c>
      <c r="P3578" s="4">
        <f t="shared" ca="1" si="309"/>
        <v>-0.47391688929653303</v>
      </c>
      <c r="Q3578" s="4">
        <f t="shared" ca="1" si="310"/>
        <v>1937.6215752837215</v>
      </c>
      <c r="R3578" s="4">
        <f t="shared" ca="1" si="311"/>
        <v>13.951531283721579</v>
      </c>
      <c r="S3578" s="4">
        <f t="shared" ca="1" si="312"/>
        <v>7.1416358708481553</v>
      </c>
    </row>
    <row r="3579" spans="15:19" x14ac:dyDescent="0.2">
      <c r="O3579" s="4">
        <f t="shared" ca="1" si="308"/>
        <v>0.96705996681318873</v>
      </c>
      <c r="P3579" s="4">
        <f t="shared" ca="1" si="309"/>
        <v>1.839238825602564</v>
      </c>
      <c r="Q3579" s="4">
        <f t="shared" ca="1" si="310"/>
        <v>1867.5446256026446</v>
      </c>
      <c r="R3579" s="4">
        <f t="shared" ca="1" si="311"/>
        <v>-56.125418397355361</v>
      </c>
      <c r="S3579" s="4">
        <f t="shared" ca="1" si="312"/>
        <v>-27.128942996277889</v>
      </c>
    </row>
    <row r="3580" spans="15:19" x14ac:dyDescent="0.2">
      <c r="O3580" s="4">
        <f t="shared" ca="1" si="308"/>
        <v>0.76377035189883757</v>
      </c>
      <c r="P3580" s="4">
        <f t="shared" ca="1" si="309"/>
        <v>0.71848337314170996</v>
      </c>
      <c r="Q3580" s="4">
        <f t="shared" ca="1" si="310"/>
        <v>1901.4978622745296</v>
      </c>
      <c r="R3580" s="4">
        <f t="shared" ca="1" si="311"/>
        <v>-22.172181725470409</v>
      </c>
      <c r="S3580" s="4">
        <f t="shared" ca="1" si="312"/>
        <v>-11.023658035612424</v>
      </c>
    </row>
    <row r="3581" spans="15:19" x14ac:dyDescent="0.2">
      <c r="O3581" s="4">
        <f t="shared" ca="1" si="308"/>
        <v>0.67765506550553767</v>
      </c>
      <c r="P3581" s="4">
        <f t="shared" ca="1" si="309"/>
        <v>0.46115156442193722</v>
      </c>
      <c r="Q3581" s="4">
        <f t="shared" ca="1" si="310"/>
        <v>1909.2937179944211</v>
      </c>
      <c r="R3581" s="4">
        <f t="shared" ca="1" si="311"/>
        <v>-14.376326005578903</v>
      </c>
      <c r="S3581" s="4">
        <f t="shared" ca="1" si="312"/>
        <v>-7.1933044802770043</v>
      </c>
    </row>
    <row r="3582" spans="15:19" x14ac:dyDescent="0.2">
      <c r="O3582" s="4">
        <f t="shared" ca="1" si="308"/>
        <v>0.69557117125068724</v>
      </c>
      <c r="P3582" s="4">
        <f t="shared" ca="1" si="309"/>
        <v>0.51170475535512339</v>
      </c>
      <c r="Q3582" s="4">
        <f t="shared" ca="1" si="310"/>
        <v>1907.762211319611</v>
      </c>
      <c r="R3582" s="4">
        <f t="shared" ca="1" si="311"/>
        <v>-15.907832680388992</v>
      </c>
      <c r="S3582" s="4">
        <f t="shared" ca="1" si="312"/>
        <v>-7.9496881301068401</v>
      </c>
    </row>
    <row r="3583" spans="15:19" x14ac:dyDescent="0.2">
      <c r="O3583" s="4">
        <f t="shared" ca="1" si="308"/>
        <v>0.72701657574631962</v>
      </c>
      <c r="P3583" s="4">
        <f t="shared" ca="1" si="309"/>
        <v>0.60381469485986916</v>
      </c>
      <c r="Q3583" s="4">
        <f t="shared" ca="1" si="310"/>
        <v>1904.9717447919036</v>
      </c>
      <c r="R3583" s="4">
        <f t="shared" ca="1" si="311"/>
        <v>-18.698299208096387</v>
      </c>
      <c r="S3583" s="4">
        <f t="shared" ca="1" si="312"/>
        <v>-9.3229400620053156</v>
      </c>
    </row>
    <row r="3584" spans="15:19" x14ac:dyDescent="0.2">
      <c r="O3584" s="4">
        <f t="shared" ca="1" si="308"/>
        <v>0.92158727524410644</v>
      </c>
      <c r="P3584" s="4">
        <f t="shared" ca="1" si="309"/>
        <v>1.4158294340571138</v>
      </c>
      <c r="Q3584" s="4">
        <f t="shared" ca="1" si="310"/>
        <v>1880.3717943205622</v>
      </c>
      <c r="R3584" s="4">
        <f t="shared" ca="1" si="311"/>
        <v>-43.298249679437731</v>
      </c>
      <c r="S3584" s="4">
        <f t="shared" ca="1" si="312"/>
        <v>-21.154849770756222</v>
      </c>
    </row>
    <row r="3585" spans="15:19" x14ac:dyDescent="0.2">
      <c r="O3585" s="4">
        <f t="shared" ca="1" si="308"/>
        <v>0.85936216427305356</v>
      </c>
      <c r="P3585" s="4">
        <f t="shared" ca="1" si="309"/>
        <v>1.0774580742296171</v>
      </c>
      <c r="Q3585" s="4">
        <f t="shared" ca="1" si="310"/>
        <v>1890.6227396431875</v>
      </c>
      <c r="R3585" s="4">
        <f t="shared" ca="1" si="311"/>
        <v>-33.047304356812447</v>
      </c>
      <c r="S3585" s="4">
        <f t="shared" ca="1" si="312"/>
        <v>-16.284298957157375</v>
      </c>
    </row>
    <row r="3586" spans="15:19" x14ac:dyDescent="0.2">
      <c r="O3586" s="4">
        <f t="shared" ca="1" si="308"/>
        <v>0.4775222613398642</v>
      </c>
      <c r="P3586" s="4">
        <f t="shared" ca="1" si="309"/>
        <v>-5.6373179434151127E-2</v>
      </c>
      <c r="Q3586" s="4">
        <f t="shared" ca="1" si="310"/>
        <v>1924.9721071319623</v>
      </c>
      <c r="R3586" s="4">
        <f t="shared" ca="1" si="311"/>
        <v>1.3020631319623135</v>
      </c>
      <c r="S3586" s="4">
        <f t="shared" ca="1" si="312"/>
        <v>0.65980724328635332</v>
      </c>
    </row>
    <row r="3587" spans="15:19" x14ac:dyDescent="0.2">
      <c r="O3587" s="4">
        <f t="shared" ref="O3587:O3650" ca="1" si="313">RAND()</f>
        <v>0.34428451497416435</v>
      </c>
      <c r="P3587" s="4">
        <f t="shared" ref="P3587:P3650" ca="1" si="314">NORMSINV(O3587)</f>
        <v>-0.40079775763555614</v>
      </c>
      <c r="Q3587" s="4">
        <f t="shared" ref="Q3587:Q3650" ca="1" si="315">$B$4*(1+$B$17-$B$6/SQRT(252)*P3587)</f>
        <v>1935.4064344364681</v>
      </c>
      <c r="R3587" s="4">
        <f t="shared" ref="R3587:R3650" ca="1" si="316">Q3587-$B$4</f>
        <v>11.736390436468128</v>
      </c>
      <c r="S3587" s="4">
        <f t="shared" ref="S3587:S3650" ca="1" si="317">R3587*$B$12+0.5*$B$13*R3587^2</f>
        <v>5.997146675339323</v>
      </c>
    </row>
    <row r="3588" spans="15:19" x14ac:dyDescent="0.2">
      <c r="O3588" s="4">
        <f t="shared" ca="1" si="313"/>
        <v>0.20173626244900877</v>
      </c>
      <c r="P3588" s="4">
        <f t="shared" ca="1" si="314"/>
        <v>-0.83543554257966035</v>
      </c>
      <c r="Q3588" s="4">
        <f t="shared" ca="1" si="315"/>
        <v>1948.5737668338686</v>
      </c>
      <c r="R3588" s="4">
        <f t="shared" ca="1" si="316"/>
        <v>24.903722833868642</v>
      </c>
      <c r="S3588" s="4">
        <f t="shared" ca="1" si="317"/>
        <v>12.858970893867156</v>
      </c>
    </row>
    <row r="3589" spans="15:19" x14ac:dyDescent="0.2">
      <c r="O3589" s="4">
        <f t="shared" ca="1" si="313"/>
        <v>0.24375412553739662</v>
      </c>
      <c r="P3589" s="4">
        <f t="shared" ca="1" si="314"/>
        <v>-0.69427741612380089</v>
      </c>
      <c r="Q3589" s="4">
        <f t="shared" ca="1" si="315"/>
        <v>1944.2973876601675</v>
      </c>
      <c r="R3589" s="4">
        <f t="shared" ca="1" si="316"/>
        <v>20.627343660167526</v>
      </c>
      <c r="S3589" s="4">
        <f t="shared" ca="1" si="317"/>
        <v>10.614966192062845</v>
      </c>
    </row>
    <row r="3590" spans="15:19" x14ac:dyDescent="0.2">
      <c r="O3590" s="4">
        <f t="shared" ca="1" si="313"/>
        <v>0.31838562130996528</v>
      </c>
      <c r="P3590" s="4">
        <f t="shared" ca="1" si="314"/>
        <v>-0.47221793047786265</v>
      </c>
      <c r="Q3590" s="4">
        <f t="shared" ca="1" si="315"/>
        <v>1937.5701054017418</v>
      </c>
      <c r="R3590" s="4">
        <f t="shared" ca="1" si="316"/>
        <v>13.900061401741823</v>
      </c>
      <c r="S3590" s="4">
        <f t="shared" ca="1" si="317"/>
        <v>7.1149977713083228</v>
      </c>
    </row>
    <row r="3591" spans="15:19" x14ac:dyDescent="0.2">
      <c r="O3591" s="4">
        <f t="shared" ca="1" si="313"/>
        <v>0.71378963820124908</v>
      </c>
      <c r="P3591" s="4">
        <f t="shared" ca="1" si="314"/>
        <v>0.5644899709779243</v>
      </c>
      <c r="Q3591" s="4">
        <f t="shared" ca="1" si="315"/>
        <v>1906.1630855559288</v>
      </c>
      <c r="R3591" s="4">
        <f t="shared" ca="1" si="316"/>
        <v>-17.506958444071188</v>
      </c>
      <c r="S3591" s="4">
        <f t="shared" ca="1" si="317"/>
        <v>-8.7374297334056106</v>
      </c>
    </row>
    <row r="3592" spans="15:19" x14ac:dyDescent="0.2">
      <c r="O3592" s="4">
        <f t="shared" ca="1" si="313"/>
        <v>0.45220011322302844</v>
      </c>
      <c r="P3592" s="4">
        <f t="shared" ca="1" si="314"/>
        <v>-0.12010467833441814</v>
      </c>
      <c r="Q3592" s="4">
        <f t="shared" ca="1" si="315"/>
        <v>1926.9028500615311</v>
      </c>
      <c r="R3592" s="4">
        <f t="shared" ca="1" si="316"/>
        <v>3.2328060615311642</v>
      </c>
      <c r="S3592" s="4">
        <f t="shared" ca="1" si="317"/>
        <v>1.6407323881151439</v>
      </c>
    </row>
    <row r="3593" spans="15:19" x14ac:dyDescent="0.2">
      <c r="O3593" s="4">
        <f t="shared" ca="1" si="313"/>
        <v>0.87018913126172537</v>
      </c>
      <c r="P3593" s="4">
        <f t="shared" ca="1" si="314"/>
        <v>1.1272856265937845</v>
      </c>
      <c r="Q3593" s="4">
        <f t="shared" ca="1" si="315"/>
        <v>1889.1132161566084</v>
      </c>
      <c r="R3593" s="4">
        <f t="shared" ca="1" si="316"/>
        <v>-34.556827843391602</v>
      </c>
      <c r="S3593" s="4">
        <f t="shared" ca="1" si="317"/>
        <v>-17.006893106900101</v>
      </c>
    </row>
    <row r="3594" spans="15:19" x14ac:dyDescent="0.2">
      <c r="O3594" s="4">
        <f t="shared" ca="1" si="313"/>
        <v>0.68579595541369354</v>
      </c>
      <c r="P3594" s="4">
        <f t="shared" ca="1" si="314"/>
        <v>0.48396869096013628</v>
      </c>
      <c r="Q3594" s="4">
        <f t="shared" ca="1" si="315"/>
        <v>1908.6024741590038</v>
      </c>
      <c r="R3594" s="4">
        <f t="shared" ca="1" si="316"/>
        <v>-15.067569840996157</v>
      </c>
      <c r="S3594" s="4">
        <f t="shared" ca="1" si="317"/>
        <v>-7.5349338365097385</v>
      </c>
    </row>
    <row r="3595" spans="15:19" x14ac:dyDescent="0.2">
      <c r="O3595" s="4">
        <f t="shared" ca="1" si="313"/>
        <v>0.5313218871593266</v>
      </c>
      <c r="P3595" s="4">
        <f t="shared" ca="1" si="314"/>
        <v>7.8593163216696391E-2</v>
      </c>
      <c r="Q3595" s="4">
        <f t="shared" ca="1" si="315"/>
        <v>1920.8833077737249</v>
      </c>
      <c r="R3595" s="4">
        <f t="shared" ca="1" si="316"/>
        <v>-2.7867362262750248</v>
      </c>
      <c r="S3595" s="4">
        <f t="shared" ca="1" si="317"/>
        <v>-1.4075119151487505</v>
      </c>
    </row>
    <row r="3596" spans="15:19" x14ac:dyDescent="0.2">
      <c r="O3596" s="4">
        <f t="shared" ca="1" si="313"/>
        <v>0.18094756366190778</v>
      </c>
      <c r="P3596" s="4">
        <f t="shared" ca="1" si="314"/>
        <v>-0.91175989349459119</v>
      </c>
      <c r="Q3596" s="4">
        <f t="shared" ca="1" si="315"/>
        <v>1950.886009656112</v>
      </c>
      <c r="R3596" s="4">
        <f t="shared" ca="1" si="316"/>
        <v>27.215965656112076</v>
      </c>
      <c r="S3596" s="4">
        <f t="shared" ca="1" si="317"/>
        <v>14.078508145185843</v>
      </c>
    </row>
    <row r="3597" spans="15:19" x14ac:dyDescent="0.2">
      <c r="O3597" s="4">
        <f t="shared" ca="1" si="313"/>
        <v>0.78704547335980601</v>
      </c>
      <c r="P3597" s="4">
        <f t="shared" ca="1" si="314"/>
        <v>0.79621160526642332</v>
      </c>
      <c r="Q3597" s="4">
        <f t="shared" ca="1" si="315"/>
        <v>1899.1430889333667</v>
      </c>
      <c r="R3597" s="4">
        <f t="shared" ca="1" si="316"/>
        <v>-24.526955066633263</v>
      </c>
      <c r="S3597" s="4">
        <f t="shared" ca="1" si="317"/>
        <v>-12.170903639096702</v>
      </c>
    </row>
    <row r="3598" spans="15:19" x14ac:dyDescent="0.2">
      <c r="O3598" s="4">
        <f t="shared" ca="1" si="313"/>
        <v>0.55448839978854347</v>
      </c>
      <c r="P3598" s="4">
        <f t="shared" ca="1" si="314"/>
        <v>0.13700960828400804</v>
      </c>
      <c r="Q3598" s="4">
        <f t="shared" ca="1" si="315"/>
        <v>1919.1135841640421</v>
      </c>
      <c r="R3598" s="4">
        <f t="shared" ca="1" si="316"/>
        <v>-4.5564598359578667</v>
      </c>
      <c r="S3598" s="4">
        <f t="shared" ca="1" si="317"/>
        <v>-2.2980733020588291</v>
      </c>
    </row>
    <row r="3599" spans="15:19" x14ac:dyDescent="0.2">
      <c r="O3599" s="4">
        <f t="shared" ca="1" si="313"/>
        <v>0.34984099650934264</v>
      </c>
      <c r="P3599" s="4">
        <f t="shared" ca="1" si="314"/>
        <v>-0.38574977816435363</v>
      </c>
      <c r="Q3599" s="4">
        <f t="shared" ca="1" si="315"/>
        <v>1934.9505565665033</v>
      </c>
      <c r="R3599" s="4">
        <f t="shared" ca="1" si="316"/>
        <v>11.280512566503376</v>
      </c>
      <c r="S3599" s="4">
        <f t="shared" ca="1" si="317"/>
        <v>5.7621054969414107</v>
      </c>
    </row>
    <row r="3600" spans="15:19" x14ac:dyDescent="0.2">
      <c r="O3600" s="4">
        <f t="shared" ca="1" si="313"/>
        <v>9.8598950626985205E-2</v>
      </c>
      <c r="P3600" s="4">
        <f t="shared" ca="1" si="314"/>
        <v>-1.2895760340080316</v>
      </c>
      <c r="Q3600" s="4">
        <f t="shared" ca="1" si="315"/>
        <v>1962.3319328583091</v>
      </c>
      <c r="R3600" s="4">
        <f t="shared" ca="1" si="316"/>
        <v>38.661888858309112</v>
      </c>
      <c r="S3600" s="4">
        <f t="shared" ca="1" si="317"/>
        <v>20.179490155793545</v>
      </c>
    </row>
    <row r="3601" spans="15:19" x14ac:dyDescent="0.2">
      <c r="O3601" s="4">
        <f t="shared" ca="1" si="313"/>
        <v>0.23038130812458235</v>
      </c>
      <c r="P3601" s="4">
        <f t="shared" ca="1" si="314"/>
        <v>-0.73759167432022965</v>
      </c>
      <c r="Q3601" s="4">
        <f t="shared" ca="1" si="315"/>
        <v>1945.6095911891186</v>
      </c>
      <c r="R3601" s="4">
        <f t="shared" ca="1" si="316"/>
        <v>21.939547189118684</v>
      </c>
      <c r="S3601" s="4">
        <f t="shared" ca="1" si="317"/>
        <v>11.301953902755541</v>
      </c>
    </row>
    <row r="3602" spans="15:19" x14ac:dyDescent="0.2">
      <c r="O3602" s="4">
        <f t="shared" ca="1" si="313"/>
        <v>1.8251545847840944E-2</v>
      </c>
      <c r="P3602" s="4">
        <f t="shared" ca="1" si="314"/>
        <v>-2.0912786592688675</v>
      </c>
      <c r="Q3602" s="4">
        <f t="shared" ca="1" si="315"/>
        <v>1986.6194782957946</v>
      </c>
      <c r="R3602" s="4">
        <f t="shared" ca="1" si="316"/>
        <v>62.949434295794617</v>
      </c>
      <c r="S3602" s="4">
        <f t="shared" ca="1" si="317"/>
        <v>33.478685470548257</v>
      </c>
    </row>
    <row r="3603" spans="15:19" x14ac:dyDescent="0.2">
      <c r="O3603" s="4">
        <f t="shared" ca="1" si="313"/>
        <v>0.70793292162923604</v>
      </c>
      <c r="P3603" s="4">
        <f t="shared" ca="1" si="314"/>
        <v>0.54735603064732241</v>
      </c>
      <c r="Q3603" s="4">
        <f t="shared" ca="1" si="315"/>
        <v>1906.6821575175147</v>
      </c>
      <c r="R3603" s="4">
        <f t="shared" ca="1" si="316"/>
        <v>-16.987886482485237</v>
      </c>
      <c r="S3603" s="4">
        <f t="shared" ca="1" si="317"/>
        <v>-8.4819591215739738</v>
      </c>
    </row>
    <row r="3604" spans="15:19" x14ac:dyDescent="0.2">
      <c r="O3604" s="4">
        <f t="shared" ca="1" si="313"/>
        <v>0.16656200251757913</v>
      </c>
      <c r="P3604" s="4">
        <f t="shared" ca="1" si="314"/>
        <v>-0.9678405573837513</v>
      </c>
      <c r="Q3604" s="4">
        <f t="shared" ca="1" si="315"/>
        <v>1952.5849708787089</v>
      </c>
      <c r="R3604" s="4">
        <f t="shared" ca="1" si="316"/>
        <v>28.914926878708911</v>
      </c>
      <c r="S3604" s="4">
        <f t="shared" ca="1" si="317"/>
        <v>14.977358792277288</v>
      </c>
    </row>
    <row r="3605" spans="15:19" x14ac:dyDescent="0.2">
      <c r="O3605" s="4">
        <f t="shared" ca="1" si="313"/>
        <v>3.4280893209961416E-2</v>
      </c>
      <c r="P3605" s="4">
        <f t="shared" ca="1" si="314"/>
        <v>-1.8212965775196173</v>
      </c>
      <c r="Q3605" s="4">
        <f t="shared" ca="1" si="315"/>
        <v>1978.4403831161344</v>
      </c>
      <c r="R3605" s="4">
        <f t="shared" ca="1" si="316"/>
        <v>54.770339116134437</v>
      </c>
      <c r="S3605" s="4">
        <f t="shared" ca="1" si="317"/>
        <v>28.946404342627314</v>
      </c>
    </row>
    <row r="3606" spans="15:19" x14ac:dyDescent="0.2">
      <c r="O3606" s="4">
        <f t="shared" ca="1" si="313"/>
        <v>0.5708127574558759</v>
      </c>
      <c r="P3606" s="4">
        <f t="shared" ca="1" si="314"/>
        <v>0.17844376018211131</v>
      </c>
      <c r="Q3606" s="4">
        <f t="shared" ca="1" si="315"/>
        <v>1917.858338371924</v>
      </c>
      <c r="R3606" s="4">
        <f t="shared" ca="1" si="316"/>
        <v>-5.8117056280759698</v>
      </c>
      <c r="S3606" s="4">
        <f t="shared" ca="1" si="317"/>
        <v>-2.9281931754971526</v>
      </c>
    </row>
    <row r="3607" spans="15:19" x14ac:dyDescent="0.2">
      <c r="O3607" s="4">
        <f t="shared" ca="1" si="313"/>
        <v>0.23323850116220657</v>
      </c>
      <c r="P3607" s="4">
        <f t="shared" ca="1" si="314"/>
        <v>-0.72822314106718278</v>
      </c>
      <c r="Q3607" s="4">
        <f t="shared" ca="1" si="315"/>
        <v>1945.3257718901712</v>
      </c>
      <c r="R3607" s="4">
        <f t="shared" ca="1" si="316"/>
        <v>21.655727890171192</v>
      </c>
      <c r="S3607" s="4">
        <f t="shared" ca="1" si="317"/>
        <v>11.153245052675613</v>
      </c>
    </row>
    <row r="3608" spans="15:19" x14ac:dyDescent="0.2">
      <c r="O3608" s="4">
        <f t="shared" ca="1" si="313"/>
        <v>9.5400794751479334E-2</v>
      </c>
      <c r="P3608" s="4">
        <f t="shared" ca="1" si="314"/>
        <v>-1.3082114795459789</v>
      </c>
      <c r="Q3608" s="4">
        <f t="shared" ca="1" si="315"/>
        <v>1962.8964928534861</v>
      </c>
      <c r="R3608" s="4">
        <f t="shared" ca="1" si="316"/>
        <v>39.22644885348609</v>
      </c>
      <c r="S3608" s="4">
        <f t="shared" ca="1" si="317"/>
        <v>20.483175863504151</v>
      </c>
    </row>
    <row r="3609" spans="15:19" x14ac:dyDescent="0.2">
      <c r="O3609" s="4">
        <f t="shared" ca="1" si="313"/>
        <v>0.33380768955344819</v>
      </c>
      <c r="P3609" s="4">
        <f t="shared" ca="1" si="314"/>
        <v>-0.42942305446467333</v>
      </c>
      <c r="Q3609" s="4">
        <f t="shared" ca="1" si="315"/>
        <v>1936.273636532972</v>
      </c>
      <c r="R3609" s="4">
        <f t="shared" ca="1" si="316"/>
        <v>12.603592532972016</v>
      </c>
      <c r="S3609" s="4">
        <f t="shared" ca="1" si="317"/>
        <v>6.4447251594408215</v>
      </c>
    </row>
    <row r="3610" spans="15:19" x14ac:dyDescent="0.2">
      <c r="O3610" s="4">
        <f t="shared" ca="1" si="313"/>
        <v>0.10511577493374702</v>
      </c>
      <c r="P3610" s="4">
        <f t="shared" ca="1" si="314"/>
        <v>-1.2529289916308102</v>
      </c>
      <c r="Q3610" s="4">
        <f t="shared" ca="1" si="315"/>
        <v>1961.2217123365833</v>
      </c>
      <c r="R3610" s="4">
        <f t="shared" ca="1" si="316"/>
        <v>37.551668336583361</v>
      </c>
      <c r="S3610" s="4">
        <f t="shared" ca="1" si="317"/>
        <v>19.583041956655698</v>
      </c>
    </row>
    <row r="3611" spans="15:19" x14ac:dyDescent="0.2">
      <c r="O3611" s="4">
        <f t="shared" ca="1" si="313"/>
        <v>0.293443557629261</v>
      </c>
      <c r="P3611" s="4">
        <f t="shared" ca="1" si="314"/>
        <v>-0.54335251206411472</v>
      </c>
      <c r="Q3611" s="4">
        <f t="shared" ca="1" si="315"/>
        <v>1939.7251243925932</v>
      </c>
      <c r="R3611" s="4">
        <f t="shared" ca="1" si="316"/>
        <v>16.055080392593254</v>
      </c>
      <c r="S3611" s="4">
        <f t="shared" ca="1" si="317"/>
        <v>8.232167398547741</v>
      </c>
    </row>
    <row r="3612" spans="15:19" x14ac:dyDescent="0.2">
      <c r="O3612" s="4">
        <f t="shared" ca="1" si="313"/>
        <v>0.74904868906917332</v>
      </c>
      <c r="P3612" s="4">
        <f t="shared" ca="1" si="314"/>
        <v>0.67149911689174668</v>
      </c>
      <c r="Q3612" s="4">
        <f t="shared" ca="1" si="315"/>
        <v>1902.9212482315681</v>
      </c>
      <c r="R3612" s="4">
        <f t="shared" ca="1" si="316"/>
        <v>-20.748795768431819</v>
      </c>
      <c r="S3612" s="4">
        <f t="shared" ca="1" si="317"/>
        <v>-10.32799524991157</v>
      </c>
    </row>
    <row r="3613" spans="15:19" x14ac:dyDescent="0.2">
      <c r="O3613" s="4">
        <f t="shared" ca="1" si="313"/>
        <v>1.039556611216641E-2</v>
      </c>
      <c r="P3613" s="4">
        <f t="shared" ca="1" si="314"/>
        <v>-2.3117560216569744</v>
      </c>
      <c r="Q3613" s="4">
        <f t="shared" ca="1" si="315"/>
        <v>1993.2988302003689</v>
      </c>
      <c r="R3613" s="4">
        <f t="shared" ca="1" si="316"/>
        <v>69.62878620036895</v>
      </c>
      <c r="S3613" s="4">
        <f t="shared" ca="1" si="317"/>
        <v>37.220313522139747</v>
      </c>
    </row>
    <row r="3614" spans="15:19" x14ac:dyDescent="0.2">
      <c r="O3614" s="4">
        <f t="shared" ca="1" si="313"/>
        <v>0.37573763971296859</v>
      </c>
      <c r="P3614" s="4">
        <f t="shared" ca="1" si="314"/>
        <v>-0.31669468855740451</v>
      </c>
      <c r="Q3614" s="4">
        <f t="shared" ca="1" si="315"/>
        <v>1932.8585356928374</v>
      </c>
      <c r="R3614" s="4">
        <f t="shared" ca="1" si="316"/>
        <v>9.1884916928374878</v>
      </c>
      <c r="S3614" s="4">
        <f t="shared" ca="1" si="317"/>
        <v>4.6856726904309003</v>
      </c>
    </row>
    <row r="3615" spans="15:19" x14ac:dyDescent="0.2">
      <c r="O3615" s="4">
        <f t="shared" ca="1" si="313"/>
        <v>0.91575356742287728</v>
      </c>
      <c r="P3615" s="4">
        <f t="shared" ca="1" si="314"/>
        <v>1.3770626948426758</v>
      </c>
      <c r="Q3615" s="4">
        <f t="shared" ca="1" si="315"/>
        <v>1881.5462309638592</v>
      </c>
      <c r="R3615" s="4">
        <f t="shared" ca="1" si="316"/>
        <v>-42.123813036140746</v>
      </c>
      <c r="S3615" s="4">
        <f t="shared" ca="1" si="317"/>
        <v>-20.601176763186526</v>
      </c>
    </row>
    <row r="3616" spans="15:19" x14ac:dyDescent="0.2">
      <c r="O3616" s="4">
        <f t="shared" ca="1" si="313"/>
        <v>0.86568678030119728</v>
      </c>
      <c r="P3616" s="4">
        <f t="shared" ca="1" si="314"/>
        <v>1.106231251734165</v>
      </c>
      <c r="Q3616" s="4">
        <f t="shared" ca="1" si="315"/>
        <v>1889.7510575081874</v>
      </c>
      <c r="R3616" s="4">
        <f t="shared" ca="1" si="316"/>
        <v>-33.918986491812575</v>
      </c>
      <c r="S3616" s="4">
        <f t="shared" ca="1" si="317"/>
        <v>-16.70179101001516</v>
      </c>
    </row>
    <row r="3617" spans="15:19" x14ac:dyDescent="0.2">
      <c r="O3617" s="4">
        <f t="shared" ca="1" si="313"/>
        <v>6.7888729876771414E-2</v>
      </c>
      <c r="P3617" s="4">
        <f t="shared" ca="1" si="314"/>
        <v>-1.4917013321018882</v>
      </c>
      <c r="Q3617" s="4">
        <f t="shared" ca="1" si="315"/>
        <v>1968.4553097899025</v>
      </c>
      <c r="R3617" s="4">
        <f t="shared" ca="1" si="316"/>
        <v>44.785265789902496</v>
      </c>
      <c r="S3617" s="4">
        <f t="shared" ca="1" si="317"/>
        <v>23.487207110700862</v>
      </c>
    </row>
    <row r="3618" spans="15:19" x14ac:dyDescent="0.2">
      <c r="O3618" s="4">
        <f t="shared" ca="1" si="313"/>
        <v>9.2734487963102796E-2</v>
      </c>
      <c r="P3618" s="4">
        <f t="shared" ca="1" si="314"/>
        <v>-1.324102588814273</v>
      </c>
      <c r="Q3618" s="4">
        <f t="shared" ca="1" si="315"/>
        <v>1963.3779133032201</v>
      </c>
      <c r="R3618" s="4">
        <f t="shared" ca="1" si="316"/>
        <v>39.70786930322015</v>
      </c>
      <c r="S3618" s="4">
        <f t="shared" ca="1" si="317"/>
        <v>20.742344483389502</v>
      </c>
    </row>
    <row r="3619" spans="15:19" x14ac:dyDescent="0.2">
      <c r="O3619" s="4">
        <f t="shared" ca="1" si="313"/>
        <v>0.29642365684802119</v>
      </c>
      <c r="P3619" s="4">
        <f t="shared" ca="1" si="314"/>
        <v>-0.5347144705020439</v>
      </c>
      <c r="Q3619" s="4">
        <f t="shared" ca="1" si="315"/>
        <v>1939.463435306991</v>
      </c>
      <c r="R3619" s="4">
        <f t="shared" ca="1" si="316"/>
        <v>15.793391306990998</v>
      </c>
      <c r="S3619" s="4">
        <f t="shared" ca="1" si="317"/>
        <v>8.0963051434844537</v>
      </c>
    </row>
    <row r="3620" spans="15:19" x14ac:dyDescent="0.2">
      <c r="O3620" s="4">
        <f t="shared" ca="1" si="313"/>
        <v>0.78770492939004266</v>
      </c>
      <c r="P3620" s="4">
        <f t="shared" ca="1" si="314"/>
        <v>0.7984831953633621</v>
      </c>
      <c r="Q3620" s="4">
        <f t="shared" ca="1" si="315"/>
        <v>1899.0742712122362</v>
      </c>
      <c r="R3620" s="4">
        <f t="shared" ca="1" si="316"/>
        <v>-24.595772787763735</v>
      </c>
      <c r="S3620" s="4">
        <f t="shared" ca="1" si="317"/>
        <v>-12.204363740303485</v>
      </c>
    </row>
    <row r="3621" spans="15:19" x14ac:dyDescent="0.2">
      <c r="O3621" s="4">
        <f t="shared" ca="1" si="313"/>
        <v>0.54984893624692477</v>
      </c>
      <c r="P3621" s="4">
        <f t="shared" ca="1" si="314"/>
        <v>0.12527969381706011</v>
      </c>
      <c r="Q3621" s="4">
        <f t="shared" ca="1" si="315"/>
        <v>1919.468941402022</v>
      </c>
      <c r="R3621" s="4">
        <f t="shared" ca="1" si="316"/>
        <v>-4.2011025979779788</v>
      </c>
      <c r="S3621" s="4">
        <f t="shared" ca="1" si="317"/>
        <v>-2.1194548126592831</v>
      </c>
    </row>
    <row r="3622" spans="15:19" x14ac:dyDescent="0.2">
      <c r="O3622" s="4">
        <f t="shared" ca="1" si="313"/>
        <v>0.21312525639123425</v>
      </c>
      <c r="P3622" s="4">
        <f t="shared" ca="1" si="314"/>
        <v>-0.79562417174524691</v>
      </c>
      <c r="Q3622" s="4">
        <f t="shared" ca="1" si="315"/>
        <v>1947.3676831220248</v>
      </c>
      <c r="R3622" s="4">
        <f t="shared" ca="1" si="316"/>
        <v>23.697639122024839</v>
      </c>
      <c r="S3622" s="4">
        <f t="shared" ca="1" si="317"/>
        <v>12.2245782020411</v>
      </c>
    </row>
    <row r="3623" spans="15:19" x14ac:dyDescent="0.2">
      <c r="O3623" s="4">
        <f t="shared" ca="1" si="313"/>
        <v>0.30961162516142271</v>
      </c>
      <c r="P3623" s="4">
        <f t="shared" ca="1" si="314"/>
        <v>-0.4969515040596984</v>
      </c>
      <c r="Q3623" s="4">
        <f t="shared" ca="1" si="315"/>
        <v>1938.3194079152579</v>
      </c>
      <c r="R3623" s="4">
        <f t="shared" ca="1" si="316"/>
        <v>14.649363915257936</v>
      </c>
      <c r="S3623" s="4">
        <f t="shared" ca="1" si="317"/>
        <v>7.5030101314379438</v>
      </c>
    </row>
    <row r="3624" spans="15:19" x14ac:dyDescent="0.2">
      <c r="O3624" s="4">
        <f t="shared" ca="1" si="313"/>
        <v>0.79461105841329671</v>
      </c>
      <c r="P3624" s="4">
        <f t="shared" ca="1" si="314"/>
        <v>0.82252549404964981</v>
      </c>
      <c r="Q3624" s="4">
        <f t="shared" ca="1" si="315"/>
        <v>1898.3459108409891</v>
      </c>
      <c r="R3624" s="4">
        <f t="shared" ca="1" si="316"/>
        <v>-25.324133159010898</v>
      </c>
      <c r="S3624" s="4">
        <f t="shared" ca="1" si="317"/>
        <v>-12.55826598716444</v>
      </c>
    </row>
    <row r="3625" spans="15:19" x14ac:dyDescent="0.2">
      <c r="O3625" s="4">
        <f t="shared" ca="1" si="313"/>
        <v>0.99449063484771094</v>
      </c>
      <c r="P3625" s="4">
        <f t="shared" ca="1" si="314"/>
        <v>2.5421042503639861</v>
      </c>
      <c r="Q3625" s="4">
        <f t="shared" ca="1" si="315"/>
        <v>1846.2513487660165</v>
      </c>
      <c r="R3625" s="4">
        <f t="shared" ca="1" si="316"/>
        <v>-77.418695233983499</v>
      </c>
      <c r="S3625" s="4">
        <f t="shared" ca="1" si="317"/>
        <v>-36.750269591839661</v>
      </c>
    </row>
    <row r="3626" spans="15:19" x14ac:dyDescent="0.2">
      <c r="O3626" s="4">
        <f t="shared" ca="1" si="313"/>
        <v>0.23098205457942667</v>
      </c>
      <c r="P3626" s="4">
        <f t="shared" ca="1" si="314"/>
        <v>-0.73561651493185931</v>
      </c>
      <c r="Q3626" s="4">
        <f t="shared" ca="1" si="315"/>
        <v>1945.549753823143</v>
      </c>
      <c r="R3626" s="4">
        <f t="shared" ca="1" si="316"/>
        <v>21.879709823143003</v>
      </c>
      <c r="S3626" s="4">
        <f t="shared" ca="1" si="317"/>
        <v>11.270596294715556</v>
      </c>
    </row>
    <row r="3627" spans="15:19" x14ac:dyDescent="0.2">
      <c r="O3627" s="4">
        <f t="shared" ca="1" si="313"/>
        <v>0.83283723652474662</v>
      </c>
      <c r="P3627" s="4">
        <f t="shared" ca="1" si="314"/>
        <v>0.96543789828259186</v>
      </c>
      <c r="Q3627" s="4">
        <f t="shared" ca="1" si="315"/>
        <v>1894.0163858999194</v>
      </c>
      <c r="R3627" s="4">
        <f t="shared" ca="1" si="316"/>
        <v>-29.65365810008052</v>
      </c>
      <c r="S3627" s="4">
        <f t="shared" ca="1" si="317"/>
        <v>-14.653020160564733</v>
      </c>
    </row>
    <row r="3628" spans="15:19" x14ac:dyDescent="0.2">
      <c r="O3628" s="4">
        <f t="shared" ca="1" si="313"/>
        <v>0.37010804073331305</v>
      </c>
      <c r="P3628" s="4">
        <f t="shared" ca="1" si="314"/>
        <v>-0.33156721172874098</v>
      </c>
      <c r="Q3628" s="4">
        <f t="shared" ca="1" si="315"/>
        <v>1933.309098121988</v>
      </c>
      <c r="R3628" s="4">
        <f t="shared" ca="1" si="316"/>
        <v>9.6390541219880106</v>
      </c>
      <c r="S3628" s="4">
        <f t="shared" ca="1" si="317"/>
        <v>4.9172049673284626</v>
      </c>
    </row>
    <row r="3629" spans="15:19" x14ac:dyDescent="0.2">
      <c r="O3629" s="4">
        <f t="shared" ca="1" si="313"/>
        <v>0.16381729060109473</v>
      </c>
      <c r="P3629" s="4">
        <f t="shared" ca="1" si="314"/>
        <v>-0.97888949920643353</v>
      </c>
      <c r="Q3629" s="4">
        <f t="shared" ca="1" si="315"/>
        <v>1952.9196980806651</v>
      </c>
      <c r="R3629" s="4">
        <f t="shared" ca="1" si="316"/>
        <v>29.249654080665096</v>
      </c>
      <c r="S3629" s="4">
        <f t="shared" ca="1" si="317"/>
        <v>15.154726320150138</v>
      </c>
    </row>
    <row r="3630" spans="15:19" x14ac:dyDescent="0.2">
      <c r="O3630" s="4">
        <f t="shared" ca="1" si="313"/>
        <v>0.9419064361241124</v>
      </c>
      <c r="P3630" s="4">
        <f t="shared" ca="1" si="314"/>
        <v>1.5709807176960264</v>
      </c>
      <c r="Q3630" s="4">
        <f t="shared" ca="1" si="315"/>
        <v>1875.6714930712824</v>
      </c>
      <c r="R3630" s="4">
        <f t="shared" ca="1" si="316"/>
        <v>-47.998550928717577</v>
      </c>
      <c r="S3630" s="4">
        <f t="shared" ca="1" si="317"/>
        <v>-23.359505752188255</v>
      </c>
    </row>
    <row r="3631" spans="15:19" x14ac:dyDescent="0.2">
      <c r="O3631" s="4">
        <f t="shared" ca="1" si="313"/>
        <v>0.45201625872258799</v>
      </c>
      <c r="P3631" s="4">
        <f t="shared" ca="1" si="314"/>
        <v>-0.12056888214313477</v>
      </c>
      <c r="Q3631" s="4">
        <f t="shared" ca="1" si="315"/>
        <v>1926.916913095306</v>
      </c>
      <c r="R3631" s="4">
        <f t="shared" ca="1" si="316"/>
        <v>3.2468690953060104</v>
      </c>
      <c r="S3631" s="4">
        <f t="shared" ca="1" si="317"/>
        <v>1.6478883272896416</v>
      </c>
    </row>
    <row r="3632" spans="15:19" x14ac:dyDescent="0.2">
      <c r="O3632" s="4">
        <f t="shared" ca="1" si="313"/>
        <v>0.32748645192107106</v>
      </c>
      <c r="P3632" s="4">
        <f t="shared" ca="1" si="314"/>
        <v>-0.44686449081659907</v>
      </c>
      <c r="Q3632" s="4">
        <f t="shared" ca="1" si="315"/>
        <v>1936.8020240728711</v>
      </c>
      <c r="R3632" s="4">
        <f t="shared" ca="1" si="316"/>
        <v>13.131980072871102</v>
      </c>
      <c r="S3632" s="4">
        <f t="shared" ca="1" si="317"/>
        <v>6.7177355798499843</v>
      </c>
    </row>
    <row r="3633" spans="15:19" x14ac:dyDescent="0.2">
      <c r="O3633" s="4">
        <f t="shared" ca="1" si="313"/>
        <v>0.84166583909263559</v>
      </c>
      <c r="P3633" s="4">
        <f t="shared" ca="1" si="314"/>
        <v>1.0013278728311275</v>
      </c>
      <c r="Q3633" s="4">
        <f t="shared" ca="1" si="315"/>
        <v>1892.9291007144504</v>
      </c>
      <c r="R3633" s="4">
        <f t="shared" ca="1" si="316"/>
        <v>-30.74094328554952</v>
      </c>
      <c r="S3633" s="4">
        <f t="shared" ca="1" si="317"/>
        <v>-15.176683900281954</v>
      </c>
    </row>
    <row r="3634" spans="15:19" x14ac:dyDescent="0.2">
      <c r="O3634" s="4">
        <f t="shared" ca="1" si="313"/>
        <v>0.74254309024939258</v>
      </c>
      <c r="P3634" s="4">
        <f t="shared" ca="1" si="314"/>
        <v>0.65120553244269808</v>
      </c>
      <c r="Q3634" s="4">
        <f t="shared" ca="1" si="315"/>
        <v>1903.5360414714373</v>
      </c>
      <c r="R3634" s="4">
        <f t="shared" ca="1" si="316"/>
        <v>-20.134002528562633</v>
      </c>
      <c r="S3634" s="4">
        <f t="shared" ca="1" si="317"/>
        <v>-10.027012358484173</v>
      </c>
    </row>
    <row r="3635" spans="15:19" x14ac:dyDescent="0.2">
      <c r="O3635" s="4">
        <f t="shared" ca="1" si="313"/>
        <v>0.16573937569587305</v>
      </c>
      <c r="P3635" s="4">
        <f t="shared" ca="1" si="314"/>
        <v>-0.97113963019837735</v>
      </c>
      <c r="Q3635" s="4">
        <f t="shared" ca="1" si="315"/>
        <v>1952.6849161431526</v>
      </c>
      <c r="R3635" s="4">
        <f t="shared" ca="1" si="316"/>
        <v>29.014872143152616</v>
      </c>
      <c r="S3635" s="4">
        <f t="shared" ca="1" si="317"/>
        <v>15.030308917193416</v>
      </c>
    </row>
    <row r="3636" spans="15:19" x14ac:dyDescent="0.2">
      <c r="O3636" s="4">
        <f t="shared" ca="1" si="313"/>
        <v>0.87233927837194791</v>
      </c>
      <c r="P3636" s="4">
        <f t="shared" ca="1" si="314"/>
        <v>1.1375188639500902</v>
      </c>
      <c r="Q3636" s="4">
        <f t="shared" ca="1" si="315"/>
        <v>1888.8032006852447</v>
      </c>
      <c r="R3636" s="4">
        <f t="shared" ca="1" si="316"/>
        <v>-34.866843314755215</v>
      </c>
      <c r="S3636" s="4">
        <f t="shared" ca="1" si="317"/>
        <v>-17.15506486343175</v>
      </c>
    </row>
    <row r="3637" spans="15:19" x14ac:dyDescent="0.2">
      <c r="O3637" s="4">
        <f t="shared" ca="1" si="313"/>
        <v>0.17401096515064562</v>
      </c>
      <c r="P3637" s="4">
        <f t="shared" ca="1" si="314"/>
        <v>-0.93843300652297079</v>
      </c>
      <c r="Q3637" s="4">
        <f t="shared" ca="1" si="315"/>
        <v>1951.6940704310473</v>
      </c>
      <c r="R3637" s="4">
        <f t="shared" ca="1" si="316"/>
        <v>28.024026431047332</v>
      </c>
      <c r="S3637" s="4">
        <f t="shared" ca="1" si="317"/>
        <v>14.505726883605721</v>
      </c>
    </row>
    <row r="3638" spans="15:19" x14ac:dyDescent="0.2">
      <c r="O3638" s="4">
        <f t="shared" ca="1" si="313"/>
        <v>0.76667785049851156</v>
      </c>
      <c r="P3638" s="4">
        <f t="shared" ca="1" si="314"/>
        <v>0.7279498287737205</v>
      </c>
      <c r="Q3638" s="4">
        <f t="shared" ca="1" si="315"/>
        <v>1901.2110764214588</v>
      </c>
      <c r="R3638" s="4">
        <f t="shared" ca="1" si="316"/>
        <v>-22.458967578541206</v>
      </c>
      <c r="S3638" s="4">
        <f t="shared" ca="1" si="317"/>
        <v>-11.163621527450477</v>
      </c>
    </row>
    <row r="3639" spans="15:19" x14ac:dyDescent="0.2">
      <c r="O3639" s="4">
        <f t="shared" ca="1" si="313"/>
        <v>0.24656040012500069</v>
      </c>
      <c r="P3639" s="4">
        <f t="shared" ca="1" si="314"/>
        <v>-0.68535362533254729</v>
      </c>
      <c r="Q3639" s="4">
        <f t="shared" ca="1" si="315"/>
        <v>1944.0270418143539</v>
      </c>
      <c r="R3639" s="4">
        <f t="shared" ca="1" si="316"/>
        <v>20.356997814353917</v>
      </c>
      <c r="S3639" s="4">
        <f t="shared" ca="1" si="317"/>
        <v>10.473604171672955</v>
      </c>
    </row>
    <row r="3640" spans="15:19" x14ac:dyDescent="0.2">
      <c r="O3640" s="4">
        <f t="shared" ca="1" si="313"/>
        <v>0.69003885713864699</v>
      </c>
      <c r="P3640" s="4">
        <f t="shared" ca="1" si="314"/>
        <v>0.49596049165964984</v>
      </c>
      <c r="Q3640" s="4">
        <f t="shared" ca="1" si="315"/>
        <v>1908.2391830892359</v>
      </c>
      <c r="R3640" s="4">
        <f t="shared" ca="1" si="316"/>
        <v>-15.430860910764068</v>
      </c>
      <c r="S3640" s="4">
        <f t="shared" ca="1" si="317"/>
        <v>-7.7143250857537957</v>
      </c>
    </row>
    <row r="3641" spans="15:19" x14ac:dyDescent="0.2">
      <c r="O3641" s="4">
        <f t="shared" ca="1" si="313"/>
        <v>0.1504091211762888</v>
      </c>
      <c r="P3641" s="4">
        <f t="shared" ca="1" si="314"/>
        <v>-1.0346802930560133</v>
      </c>
      <c r="Q3641" s="4">
        <f t="shared" ca="1" si="315"/>
        <v>1954.6098777032828</v>
      </c>
      <c r="R3641" s="4">
        <f t="shared" ca="1" si="316"/>
        <v>30.939833703282829</v>
      </c>
      <c r="S3641" s="4">
        <f t="shared" ca="1" si="317"/>
        <v>16.051723378294412</v>
      </c>
    </row>
    <row r="3642" spans="15:19" x14ac:dyDescent="0.2">
      <c r="O3642" s="4">
        <f t="shared" ca="1" si="313"/>
        <v>0.11843026261499279</v>
      </c>
      <c r="P3642" s="4">
        <f t="shared" ca="1" si="314"/>
        <v>-1.1828703724118066</v>
      </c>
      <c r="Q3642" s="4">
        <f t="shared" ca="1" si="315"/>
        <v>1959.0992895778757</v>
      </c>
      <c r="R3642" s="4">
        <f t="shared" ca="1" si="316"/>
        <v>35.42924557787569</v>
      </c>
      <c r="S3642" s="4">
        <f t="shared" ca="1" si="317"/>
        <v>18.445597228928488</v>
      </c>
    </row>
    <row r="3643" spans="15:19" x14ac:dyDescent="0.2">
      <c r="O3643" s="4">
        <f t="shared" ca="1" si="313"/>
        <v>0.43314585694825714</v>
      </c>
      <c r="P3643" s="4">
        <f t="shared" ca="1" si="314"/>
        <v>-0.16837062771637706</v>
      </c>
      <c r="Q3643" s="4">
        <f t="shared" ca="1" si="315"/>
        <v>1928.3650648550979</v>
      </c>
      <c r="R3643" s="4">
        <f t="shared" ca="1" si="316"/>
        <v>4.6950208550979369</v>
      </c>
      <c r="S3643" s="4">
        <f t="shared" ca="1" si="317"/>
        <v>2.3856386609717584</v>
      </c>
    </row>
    <row r="3644" spans="15:19" x14ac:dyDescent="0.2">
      <c r="O3644" s="4">
        <f t="shared" ca="1" si="313"/>
        <v>0.84981517074804303</v>
      </c>
      <c r="P3644" s="4">
        <f t="shared" ca="1" si="314"/>
        <v>1.0356409964783062</v>
      </c>
      <c r="Q3644" s="4">
        <f t="shared" ca="1" si="315"/>
        <v>1891.8895861570272</v>
      </c>
      <c r="R3644" s="4">
        <f t="shared" ca="1" si="316"/>
        <v>-31.780457842972737</v>
      </c>
      <c r="S3644" s="4">
        <f t="shared" ca="1" si="317"/>
        <v>-15.676440146088316</v>
      </c>
    </row>
    <row r="3645" spans="15:19" x14ac:dyDescent="0.2">
      <c r="O3645" s="4">
        <f t="shared" ca="1" si="313"/>
        <v>0.86279883918207645</v>
      </c>
      <c r="P3645" s="4">
        <f t="shared" ca="1" si="314"/>
        <v>1.0929805908788683</v>
      </c>
      <c r="Q3645" s="4">
        <f t="shared" ca="1" si="315"/>
        <v>1890.1524856904828</v>
      </c>
      <c r="R3645" s="4">
        <f t="shared" ca="1" si="316"/>
        <v>-33.517558309517199</v>
      </c>
      <c r="S3645" s="4">
        <f t="shared" ca="1" si="317"/>
        <v>-16.5096038745382</v>
      </c>
    </row>
    <row r="3646" spans="15:19" x14ac:dyDescent="0.2">
      <c r="O3646" s="4">
        <f t="shared" ca="1" si="313"/>
        <v>0.10578975394311452</v>
      </c>
      <c r="P3646" s="4">
        <f t="shared" ca="1" si="314"/>
        <v>-1.2492339776417183</v>
      </c>
      <c r="Q3646" s="4">
        <f t="shared" ca="1" si="315"/>
        <v>1961.1097720518387</v>
      </c>
      <c r="R3646" s="4">
        <f t="shared" ca="1" si="316"/>
        <v>37.439728051838756</v>
      </c>
      <c r="S3646" s="4">
        <f t="shared" ca="1" si="317"/>
        <v>19.522959521740137</v>
      </c>
    </row>
    <row r="3647" spans="15:19" x14ac:dyDescent="0.2">
      <c r="O3647" s="4">
        <f t="shared" ca="1" si="313"/>
        <v>0.29025746919993811</v>
      </c>
      <c r="P3647" s="4">
        <f t="shared" ca="1" si="314"/>
        <v>-0.55263271079767839</v>
      </c>
      <c r="Q3647" s="4">
        <f t="shared" ca="1" si="315"/>
        <v>1940.0062676011953</v>
      </c>
      <c r="R3647" s="4">
        <f t="shared" ca="1" si="316"/>
        <v>16.336223601195343</v>
      </c>
      <c r="S3647" s="4">
        <f t="shared" ca="1" si="317"/>
        <v>8.378191859144172</v>
      </c>
    </row>
    <row r="3648" spans="15:19" x14ac:dyDescent="0.2">
      <c r="O3648" s="4">
        <f t="shared" ca="1" si="313"/>
        <v>0.7349745262014199</v>
      </c>
      <c r="P3648" s="4">
        <f t="shared" ca="1" si="314"/>
        <v>0.62792824408327819</v>
      </c>
      <c r="Q3648" s="4">
        <f t="shared" ca="1" si="315"/>
        <v>1904.2412258887978</v>
      </c>
      <c r="R3648" s="4">
        <f t="shared" ca="1" si="316"/>
        <v>-19.42881811120219</v>
      </c>
      <c r="S3648" s="4">
        <f t="shared" ca="1" si="317"/>
        <v>-9.6813979579773122</v>
      </c>
    </row>
    <row r="3649" spans="15:19" x14ac:dyDescent="0.2">
      <c r="O3649" s="4">
        <f t="shared" ca="1" si="313"/>
        <v>4.1709879281175199E-2</v>
      </c>
      <c r="P3649" s="4">
        <f t="shared" ca="1" si="314"/>
        <v>-1.7311794770915159</v>
      </c>
      <c r="Q3649" s="4">
        <f t="shared" ca="1" si="315"/>
        <v>1975.7102895597739</v>
      </c>
      <c r="R3649" s="4">
        <f t="shared" ca="1" si="316"/>
        <v>52.040245559773894</v>
      </c>
      <c r="S3649" s="4">
        <f t="shared" ca="1" si="317"/>
        <v>27.445701681153341</v>
      </c>
    </row>
    <row r="3650" spans="15:19" x14ac:dyDescent="0.2">
      <c r="O3650" s="4">
        <f t="shared" ca="1" si="313"/>
        <v>0.77143379079642749</v>
      </c>
      <c r="P3650" s="4">
        <f t="shared" ca="1" si="314"/>
        <v>0.74357700601096455</v>
      </c>
      <c r="Q3650" s="4">
        <f t="shared" ca="1" si="315"/>
        <v>1900.7376517808875</v>
      </c>
      <c r="R3650" s="4">
        <f t="shared" ca="1" si="316"/>
        <v>-22.932392219112444</v>
      </c>
      <c r="S3650" s="4">
        <f t="shared" ca="1" si="317"/>
        <v>-11.394526049042335</v>
      </c>
    </row>
    <row r="3651" spans="15:19" x14ac:dyDescent="0.2">
      <c r="O3651" s="4">
        <f t="shared" ref="O3651:O3714" ca="1" si="318">RAND()</f>
        <v>0.21969396988230583</v>
      </c>
      <c r="P3651" s="4">
        <f t="shared" ref="P3651:P3714" ca="1" si="319">NORMSINV(O3651)</f>
        <v>-0.77322718579917571</v>
      </c>
      <c r="Q3651" s="4">
        <f t="shared" ref="Q3651:Q3714" ca="1" si="320">$B$4*(1+$B$17-$B$6/SQRT(252)*P3651)</f>
        <v>1946.6891674271922</v>
      </c>
      <c r="R3651" s="4">
        <f t="shared" ref="R3651:R3714" ca="1" si="321">Q3651-$B$4</f>
        <v>23.019123427192199</v>
      </c>
      <c r="S3651" s="4">
        <f t="shared" ref="S3651:S3714" ca="1" si="322">R3651*$B$12+0.5*$B$13*R3651^2</f>
        <v>11.86820360796181</v>
      </c>
    </row>
    <row r="3652" spans="15:19" x14ac:dyDescent="0.2">
      <c r="O3652" s="4">
        <f t="shared" ca="1" si="318"/>
        <v>0.97973221005201805</v>
      </c>
      <c r="P3652" s="4">
        <f t="shared" ca="1" si="319"/>
        <v>2.0482492809707105</v>
      </c>
      <c r="Q3652" s="4">
        <f t="shared" ca="1" si="320"/>
        <v>1861.2126631371209</v>
      </c>
      <c r="R3652" s="4">
        <f t="shared" ca="1" si="321"/>
        <v>-62.457380862879063</v>
      </c>
      <c r="S3652" s="4">
        <f t="shared" ca="1" si="322"/>
        <v>-30.028591671913198</v>
      </c>
    </row>
    <row r="3653" spans="15:19" x14ac:dyDescent="0.2">
      <c r="O3653" s="4">
        <f t="shared" ca="1" si="318"/>
        <v>0.74677332521380824</v>
      </c>
      <c r="P3653" s="4">
        <f t="shared" ca="1" si="319"/>
        <v>0.6643702802103848</v>
      </c>
      <c r="Q3653" s="4">
        <f t="shared" ca="1" si="320"/>
        <v>1903.137216022317</v>
      </c>
      <c r="R3653" s="4">
        <f t="shared" ca="1" si="321"/>
        <v>-20.532827977682928</v>
      </c>
      <c r="S3653" s="4">
        <f t="shared" ca="1" si="322"/>
        <v>-10.222299464971616</v>
      </c>
    </row>
    <row r="3654" spans="15:19" x14ac:dyDescent="0.2">
      <c r="O3654" s="4">
        <f t="shared" ca="1" si="318"/>
        <v>0.99508524456269387</v>
      </c>
      <c r="P3654" s="4">
        <f t="shared" ca="1" si="319"/>
        <v>2.5817698606783268</v>
      </c>
      <c r="Q3654" s="4">
        <f t="shared" ca="1" si="320"/>
        <v>1845.0496808626567</v>
      </c>
      <c r="R3654" s="4">
        <f t="shared" ca="1" si="321"/>
        <v>-78.620363137343247</v>
      </c>
      <c r="S3654" s="4">
        <f t="shared" ca="1" si="322"/>
        <v>-37.282237273282846</v>
      </c>
    </row>
    <row r="3655" spans="15:19" x14ac:dyDescent="0.2">
      <c r="O3655" s="4">
        <f t="shared" ca="1" si="318"/>
        <v>0.38233598567209137</v>
      </c>
      <c r="P3655" s="4">
        <f t="shared" ca="1" si="319"/>
        <v>-0.29935135891261133</v>
      </c>
      <c r="Q3655" s="4">
        <f t="shared" ca="1" si="320"/>
        <v>1932.333120291275</v>
      </c>
      <c r="R3655" s="4">
        <f t="shared" ca="1" si="321"/>
        <v>8.663076291275047</v>
      </c>
      <c r="S3655" s="4">
        <f t="shared" ca="1" si="322"/>
        <v>4.4158841665381585</v>
      </c>
    </row>
    <row r="3656" spans="15:19" x14ac:dyDescent="0.2">
      <c r="O3656" s="4">
        <f t="shared" ca="1" si="318"/>
        <v>0.17243816850884985</v>
      </c>
      <c r="P3656" s="4">
        <f t="shared" ca="1" si="319"/>
        <v>-0.94457413510755617</v>
      </c>
      <c r="Q3656" s="4">
        <f t="shared" ca="1" si="320"/>
        <v>1951.8801156488576</v>
      </c>
      <c r="R3656" s="4">
        <f t="shared" ca="1" si="321"/>
        <v>28.210071648857593</v>
      </c>
      <c r="S3656" s="4">
        <f t="shared" ca="1" si="322"/>
        <v>14.604163588007516</v>
      </c>
    </row>
    <row r="3657" spans="15:19" x14ac:dyDescent="0.2">
      <c r="O3657" s="4">
        <f t="shared" ca="1" si="318"/>
        <v>0.46236548690225709</v>
      </c>
      <c r="P3657" s="4">
        <f t="shared" ca="1" si="319"/>
        <v>-9.447609137238408E-2</v>
      </c>
      <c r="Q3657" s="4">
        <f t="shared" ca="1" si="320"/>
        <v>1926.1264331573998</v>
      </c>
      <c r="R3657" s="4">
        <f t="shared" ca="1" si="321"/>
        <v>2.4563891573998262</v>
      </c>
      <c r="S3657" s="4">
        <f t="shared" ca="1" si="322"/>
        <v>1.2459044452837449</v>
      </c>
    </row>
    <row r="3658" spans="15:19" x14ac:dyDescent="0.2">
      <c r="O3658" s="4">
        <f t="shared" ca="1" si="318"/>
        <v>8.1282216863248768E-3</v>
      </c>
      <c r="P3658" s="4">
        <f t="shared" ca="1" si="319"/>
        <v>-2.4031066995553529</v>
      </c>
      <c r="Q3658" s="4">
        <f t="shared" ca="1" si="320"/>
        <v>1996.0662949314219</v>
      </c>
      <c r="R3658" s="4">
        <f t="shared" ca="1" si="321"/>
        <v>72.396250931421946</v>
      </c>
      <c r="S3658" s="4">
        <f t="shared" ca="1" si="322"/>
        <v>38.781229542621929</v>
      </c>
    </row>
    <row r="3659" spans="15:19" x14ac:dyDescent="0.2">
      <c r="O3659" s="4">
        <f t="shared" ca="1" si="318"/>
        <v>0.35412997708011207</v>
      </c>
      <c r="P3659" s="4">
        <f t="shared" ca="1" si="319"/>
        <v>-0.37419404494853575</v>
      </c>
      <c r="Q3659" s="4">
        <f t="shared" ca="1" si="320"/>
        <v>1934.600476141793</v>
      </c>
      <c r="R3659" s="4">
        <f t="shared" ca="1" si="321"/>
        <v>10.930432141793062</v>
      </c>
      <c r="S3659" s="4">
        <f t="shared" ca="1" si="322"/>
        <v>5.5817261425742428</v>
      </c>
    </row>
    <row r="3660" spans="15:19" x14ac:dyDescent="0.2">
      <c r="O3660" s="4">
        <f t="shared" ca="1" si="318"/>
        <v>0.78219505339099071</v>
      </c>
      <c r="P3660" s="4">
        <f t="shared" ca="1" si="319"/>
        <v>0.77962796036008164</v>
      </c>
      <c r="Q3660" s="4">
        <f t="shared" ca="1" si="320"/>
        <v>1899.6454897195072</v>
      </c>
      <c r="R3660" s="4">
        <f t="shared" ca="1" si="321"/>
        <v>-24.024554280492794</v>
      </c>
      <c r="S3660" s="4">
        <f t="shared" ca="1" si="322"/>
        <v>-11.926512801561117</v>
      </c>
    </row>
    <row r="3661" spans="15:19" x14ac:dyDescent="0.2">
      <c r="O3661" s="4">
        <f t="shared" ca="1" si="318"/>
        <v>0.39301073516259921</v>
      </c>
      <c r="P3661" s="4">
        <f t="shared" ca="1" si="319"/>
        <v>-0.27148053273082562</v>
      </c>
      <c r="Q3661" s="4">
        <f t="shared" ca="1" si="320"/>
        <v>1931.4887748495344</v>
      </c>
      <c r="R3661" s="4">
        <f t="shared" ca="1" si="321"/>
        <v>7.8187308495344041</v>
      </c>
      <c r="S3661" s="4">
        <f t="shared" ca="1" si="322"/>
        <v>3.9828033204130349</v>
      </c>
    </row>
    <row r="3662" spans="15:19" x14ac:dyDescent="0.2">
      <c r="O3662" s="4">
        <f t="shared" ca="1" si="318"/>
        <v>0.94231614361651517</v>
      </c>
      <c r="P3662" s="4">
        <f t="shared" ca="1" si="319"/>
        <v>1.5745181330531388</v>
      </c>
      <c r="Q3662" s="4">
        <f t="shared" ca="1" si="320"/>
        <v>1875.5643272300965</v>
      </c>
      <c r="R3662" s="4">
        <f t="shared" ca="1" si="321"/>
        <v>-48.105716769903438</v>
      </c>
      <c r="S3662" s="4">
        <f t="shared" ca="1" si="322"/>
        <v>-23.409561706174841</v>
      </c>
    </row>
    <row r="3663" spans="15:19" x14ac:dyDescent="0.2">
      <c r="O3663" s="4">
        <f t="shared" ca="1" si="318"/>
        <v>0.69212498005902312</v>
      </c>
      <c r="P3663" s="4">
        <f t="shared" ca="1" si="319"/>
        <v>0.50188269336669578</v>
      </c>
      <c r="Q3663" s="4">
        <f t="shared" ca="1" si="320"/>
        <v>1908.0597702514606</v>
      </c>
      <c r="R3663" s="4">
        <f t="shared" ca="1" si="321"/>
        <v>-15.610273748539385</v>
      </c>
      <c r="S3663" s="4">
        <f t="shared" ca="1" si="322"/>
        <v>-7.8028785805678238</v>
      </c>
    </row>
    <row r="3664" spans="15:19" x14ac:dyDescent="0.2">
      <c r="O3664" s="4">
        <f t="shared" ca="1" si="318"/>
        <v>0.27936456026525869</v>
      </c>
      <c r="P3664" s="4">
        <f t="shared" ca="1" si="319"/>
        <v>-0.58473023525650147</v>
      </c>
      <c r="Q3664" s="4">
        <f t="shared" ca="1" si="320"/>
        <v>1940.9786606795774</v>
      </c>
      <c r="R3664" s="4">
        <f t="shared" ca="1" si="321"/>
        <v>17.308616679577426</v>
      </c>
      <c r="S3664" s="4">
        <f t="shared" ca="1" si="322"/>
        <v>8.8837444407027579</v>
      </c>
    </row>
    <row r="3665" spans="15:19" x14ac:dyDescent="0.2">
      <c r="O3665" s="4">
        <f t="shared" ca="1" si="318"/>
        <v>0.80108043073148316</v>
      </c>
      <c r="P3665" s="4">
        <f t="shared" ca="1" si="319"/>
        <v>0.84548673017216835</v>
      </c>
      <c r="Q3665" s="4">
        <f t="shared" ca="1" si="320"/>
        <v>1897.6503012121132</v>
      </c>
      <c r="R3665" s="4">
        <f t="shared" ca="1" si="321"/>
        <v>-26.019742787886798</v>
      </c>
      <c r="S3665" s="4">
        <f t="shared" ca="1" si="322"/>
        <v>-12.895851797456148</v>
      </c>
    </row>
    <row r="3666" spans="15:19" x14ac:dyDescent="0.2">
      <c r="O3666" s="4">
        <f t="shared" ca="1" si="318"/>
        <v>0.65657466884715132</v>
      </c>
      <c r="P3666" s="4">
        <f t="shared" ca="1" si="319"/>
        <v>0.40313262327034111</v>
      </c>
      <c r="Q3666" s="4">
        <f t="shared" ca="1" si="320"/>
        <v>1911.0513992406259</v>
      </c>
      <c r="R3666" s="4">
        <f t="shared" ca="1" si="321"/>
        <v>-12.618644759374092</v>
      </c>
      <c r="S3666" s="4">
        <f t="shared" ca="1" si="322"/>
        <v>-6.3228638632065035</v>
      </c>
    </row>
    <row r="3667" spans="15:19" x14ac:dyDescent="0.2">
      <c r="O3667" s="4">
        <f t="shared" ca="1" si="318"/>
        <v>0.93524602271175783</v>
      </c>
      <c r="P3667" s="4">
        <f t="shared" ca="1" si="319"/>
        <v>1.5160450771962546</v>
      </c>
      <c r="Q3667" s="4">
        <f t="shared" ca="1" si="320"/>
        <v>1877.3357658611358</v>
      </c>
      <c r="R3667" s="4">
        <f t="shared" ca="1" si="321"/>
        <v>-46.334278138864192</v>
      </c>
      <c r="S3667" s="4">
        <f t="shared" ca="1" si="322"/>
        <v>-22.580942625869437</v>
      </c>
    </row>
    <row r="3668" spans="15:19" x14ac:dyDescent="0.2">
      <c r="O3668" s="4">
        <f t="shared" ca="1" si="318"/>
        <v>9.3088620938722832E-2</v>
      </c>
      <c r="P3668" s="4">
        <f t="shared" ca="1" si="319"/>
        <v>-1.3219726997488235</v>
      </c>
      <c r="Q3668" s="4">
        <f t="shared" ca="1" si="320"/>
        <v>1963.3133884085471</v>
      </c>
      <c r="R3668" s="4">
        <f t="shared" ca="1" si="321"/>
        <v>39.643344408547136</v>
      </c>
      <c r="S3668" s="4">
        <f t="shared" ca="1" si="322"/>
        <v>20.707597102862408</v>
      </c>
    </row>
    <row r="3669" spans="15:19" x14ac:dyDescent="0.2">
      <c r="O3669" s="4">
        <f t="shared" ca="1" si="318"/>
        <v>0.5133830379370462</v>
      </c>
      <c r="P3669" s="4">
        <f t="shared" ca="1" si="319"/>
        <v>3.355259568545757E-2</v>
      </c>
      <c r="Q3669" s="4">
        <f t="shared" ca="1" si="320"/>
        <v>1922.2478097673277</v>
      </c>
      <c r="R3669" s="4">
        <f t="shared" ca="1" si="321"/>
        <v>-1.422234232672281</v>
      </c>
      <c r="S3669" s="4">
        <f t="shared" ca="1" si="322"/>
        <v>-0.71912549986566232</v>
      </c>
    </row>
    <row r="3670" spans="15:19" x14ac:dyDescent="0.2">
      <c r="O3670" s="4">
        <f t="shared" ca="1" si="318"/>
        <v>6.6483876530933905E-3</v>
      </c>
      <c r="P3670" s="4">
        <f t="shared" ca="1" si="319"/>
        <v>-2.4757201598332825</v>
      </c>
      <c r="Q3670" s="4">
        <f t="shared" ca="1" si="320"/>
        <v>1998.2661164865769</v>
      </c>
      <c r="R3670" s="4">
        <f t="shared" ca="1" si="321"/>
        <v>74.596072486576986</v>
      </c>
      <c r="S3670" s="4">
        <f t="shared" ca="1" si="322"/>
        <v>40.02642939627156</v>
      </c>
    </row>
    <row r="3671" spans="15:19" x14ac:dyDescent="0.2">
      <c r="O3671" s="4">
        <f t="shared" ca="1" si="318"/>
        <v>0.40753638221814958</v>
      </c>
      <c r="P3671" s="4">
        <f t="shared" ca="1" si="319"/>
        <v>-0.2338869245183105</v>
      </c>
      <c r="Q3671" s="4">
        <f t="shared" ca="1" si="320"/>
        <v>1930.3498781578548</v>
      </c>
      <c r="R3671" s="4">
        <f t="shared" ca="1" si="321"/>
        <v>6.6798341578548843</v>
      </c>
      <c r="S3671" s="4">
        <f t="shared" ca="1" si="322"/>
        <v>3.3995609829562614</v>
      </c>
    </row>
    <row r="3672" spans="15:19" x14ac:dyDescent="0.2">
      <c r="O3672" s="4">
        <f t="shared" ca="1" si="318"/>
        <v>0.76957558451381636</v>
      </c>
      <c r="P3672" s="4">
        <f t="shared" ca="1" si="319"/>
        <v>0.73744984834838334</v>
      </c>
      <c r="Q3672" s="4">
        <f t="shared" ca="1" si="320"/>
        <v>1900.9232737502357</v>
      </c>
      <c r="R3672" s="4">
        <f t="shared" ca="1" si="321"/>
        <v>-22.746770249764268</v>
      </c>
      <c r="S3672" s="4">
        <f t="shared" ca="1" si="322"/>
        <v>-11.30401395280844</v>
      </c>
    </row>
    <row r="3673" spans="15:19" x14ac:dyDescent="0.2">
      <c r="O3673" s="4">
        <f t="shared" ca="1" si="318"/>
        <v>0.77766348580536515</v>
      </c>
      <c r="P3673" s="4">
        <f t="shared" ca="1" si="319"/>
        <v>0.76432594400463039</v>
      </c>
      <c r="Q3673" s="4">
        <f t="shared" ca="1" si="320"/>
        <v>1900.1090636256013</v>
      </c>
      <c r="R3673" s="4">
        <f t="shared" ca="1" si="321"/>
        <v>-23.560980374398696</v>
      </c>
      <c r="S3673" s="4">
        <f t="shared" ca="1" si="322"/>
        <v>-11.700826857467279</v>
      </c>
    </row>
    <row r="3674" spans="15:19" x14ac:dyDescent="0.2">
      <c r="O3674" s="4">
        <f t="shared" ca="1" si="318"/>
        <v>0.87051759393522454</v>
      </c>
      <c r="P3674" s="4">
        <f t="shared" ca="1" si="319"/>
        <v>1.1288412400694259</v>
      </c>
      <c r="Q3674" s="4">
        <f t="shared" ca="1" si="320"/>
        <v>1889.0660889154315</v>
      </c>
      <c r="R3674" s="4">
        <f t="shared" ca="1" si="321"/>
        <v>-34.603955084568497</v>
      </c>
      <c r="S3674" s="4">
        <f t="shared" ca="1" si="322"/>
        <v>-17.029422594102261</v>
      </c>
    </row>
    <row r="3675" spans="15:19" x14ac:dyDescent="0.2">
      <c r="O3675" s="4">
        <f t="shared" ca="1" si="318"/>
        <v>1.1333473957368168E-2</v>
      </c>
      <c r="P3675" s="4">
        <f t="shared" ca="1" si="319"/>
        <v>-2.2790019747202295</v>
      </c>
      <c r="Q3675" s="4">
        <f t="shared" ca="1" si="320"/>
        <v>1992.306547802667</v>
      </c>
      <c r="R3675" s="4">
        <f t="shared" ca="1" si="321"/>
        <v>68.636503802666994</v>
      </c>
      <c r="S3675" s="4">
        <f t="shared" ca="1" si="322"/>
        <v>36.66216128257642</v>
      </c>
    </row>
    <row r="3676" spans="15:19" x14ac:dyDescent="0.2">
      <c r="O3676" s="4">
        <f t="shared" ca="1" si="318"/>
        <v>0.72269411461927602</v>
      </c>
      <c r="P3676" s="4">
        <f t="shared" ca="1" si="319"/>
        <v>0.59086366873218843</v>
      </c>
      <c r="Q3676" s="4">
        <f t="shared" ca="1" si="320"/>
        <v>1905.3640955534293</v>
      </c>
      <c r="R3676" s="4">
        <f t="shared" ca="1" si="321"/>
        <v>-18.30594844657071</v>
      </c>
      <c r="S3676" s="4">
        <f t="shared" ca="1" si="322"/>
        <v>-9.1302383569582322</v>
      </c>
    </row>
    <row r="3677" spans="15:19" x14ac:dyDescent="0.2">
      <c r="O3677" s="4">
        <f t="shared" ca="1" si="318"/>
        <v>0.46795577532391119</v>
      </c>
      <c r="P3677" s="4">
        <f t="shared" ca="1" si="319"/>
        <v>-8.0409526175015109E-2</v>
      </c>
      <c r="Q3677" s="4">
        <f t="shared" ca="1" si="320"/>
        <v>1925.7002871892871</v>
      </c>
      <c r="R3677" s="4">
        <f t="shared" ca="1" si="321"/>
        <v>2.0302431892871482</v>
      </c>
      <c r="S3677" s="4">
        <f t="shared" ca="1" si="322"/>
        <v>1.0294068819728195</v>
      </c>
    </row>
    <row r="3678" spans="15:19" x14ac:dyDescent="0.2">
      <c r="O3678" s="4">
        <f t="shared" ca="1" si="318"/>
        <v>0.29221224194324691</v>
      </c>
      <c r="P3678" s="4">
        <f t="shared" ca="1" si="319"/>
        <v>-0.5469334064327267</v>
      </c>
      <c r="Q3678" s="4">
        <f t="shared" ca="1" si="320"/>
        <v>1939.8336074285028</v>
      </c>
      <c r="R3678" s="4">
        <f t="shared" ca="1" si="321"/>
        <v>16.163563428502812</v>
      </c>
      <c r="S3678" s="4">
        <f t="shared" ca="1" si="322"/>
        <v>8.288505352614278</v>
      </c>
    </row>
    <row r="3679" spans="15:19" x14ac:dyDescent="0.2">
      <c r="O3679" s="4">
        <f t="shared" ca="1" si="318"/>
        <v>0.73733290274397623</v>
      </c>
      <c r="P3679" s="4">
        <f t="shared" ca="1" si="319"/>
        <v>0.63514447223716441</v>
      </c>
      <c r="Q3679" s="4">
        <f t="shared" ca="1" si="320"/>
        <v>1904.022610577269</v>
      </c>
      <c r="R3679" s="4">
        <f t="shared" ca="1" si="321"/>
        <v>-19.647433422730955</v>
      </c>
      <c r="S3679" s="4">
        <f t="shared" ca="1" si="322"/>
        <v>-9.7885857131878105</v>
      </c>
    </row>
    <row r="3680" spans="15:19" x14ac:dyDescent="0.2">
      <c r="O3680" s="4">
        <f t="shared" ca="1" si="318"/>
        <v>0.94089436710767516</v>
      </c>
      <c r="P3680" s="4">
        <f t="shared" ca="1" si="319"/>
        <v>1.5623257630520515</v>
      </c>
      <c r="Q3680" s="4">
        <f t="shared" ca="1" si="320"/>
        <v>1875.9336945379505</v>
      </c>
      <c r="R3680" s="4">
        <f t="shared" ca="1" si="321"/>
        <v>-47.736349462049475</v>
      </c>
      <c r="S3680" s="4">
        <f t="shared" ca="1" si="322"/>
        <v>-23.23699498455149</v>
      </c>
    </row>
    <row r="3681" spans="15:19" x14ac:dyDescent="0.2">
      <c r="O3681" s="4">
        <f t="shared" ca="1" si="318"/>
        <v>0.1598806025472318</v>
      </c>
      <c r="P3681" s="4">
        <f t="shared" ca="1" si="319"/>
        <v>-0.99494872101126053</v>
      </c>
      <c r="Q3681" s="4">
        <f t="shared" ca="1" si="320"/>
        <v>1953.4062114922292</v>
      </c>
      <c r="R3681" s="4">
        <f t="shared" ca="1" si="321"/>
        <v>29.736167492229242</v>
      </c>
      <c r="S3681" s="4">
        <f t="shared" ca="1" si="322"/>
        <v>15.412686000102763</v>
      </c>
    </row>
    <row r="3682" spans="15:19" x14ac:dyDescent="0.2">
      <c r="O3682" s="4">
        <f t="shared" ca="1" si="318"/>
        <v>0.30579284356822867</v>
      </c>
      <c r="P3682" s="4">
        <f t="shared" ca="1" si="319"/>
        <v>-0.50781129603919384</v>
      </c>
      <c r="Q3682" s="4">
        <f t="shared" ca="1" si="320"/>
        <v>1938.6484048311127</v>
      </c>
      <c r="R3682" s="4">
        <f t="shared" ca="1" si="321"/>
        <v>14.978360831112695</v>
      </c>
      <c r="S3682" s="4">
        <f t="shared" ca="1" si="322"/>
        <v>7.6735194715468804</v>
      </c>
    </row>
    <row r="3683" spans="15:19" x14ac:dyDescent="0.2">
      <c r="O3683" s="4">
        <f t="shared" ca="1" si="318"/>
        <v>6.1103245407331808E-2</v>
      </c>
      <c r="P3683" s="4">
        <f t="shared" ca="1" si="319"/>
        <v>-1.5455781116072111</v>
      </c>
      <c r="Q3683" s="4">
        <f t="shared" ca="1" si="320"/>
        <v>1970.0875044329414</v>
      </c>
      <c r="R3683" s="4">
        <f t="shared" ca="1" si="321"/>
        <v>46.417460432941425</v>
      </c>
      <c r="S3683" s="4">
        <f t="shared" ca="1" si="322"/>
        <v>24.374036595860158</v>
      </c>
    </row>
    <row r="3684" spans="15:19" x14ac:dyDescent="0.2">
      <c r="O3684" s="4">
        <f t="shared" ca="1" si="318"/>
        <v>0.96115776376686979</v>
      </c>
      <c r="P3684" s="4">
        <f t="shared" ca="1" si="319"/>
        <v>1.7642822405211074</v>
      </c>
      <c r="Q3684" s="4">
        <f t="shared" ca="1" si="320"/>
        <v>1869.8154320196902</v>
      </c>
      <c r="R3684" s="4">
        <f t="shared" ca="1" si="321"/>
        <v>-53.854611980309755</v>
      </c>
      <c r="S3684" s="4">
        <f t="shared" ca="1" si="322"/>
        <v>-26.081101381304414</v>
      </c>
    </row>
    <row r="3685" spans="15:19" x14ac:dyDescent="0.2">
      <c r="O3685" s="4">
        <f t="shared" ca="1" si="318"/>
        <v>0.74363845729285771</v>
      </c>
      <c r="P3685" s="4">
        <f t="shared" ca="1" si="319"/>
        <v>0.65460347616699788</v>
      </c>
      <c r="Q3685" s="4">
        <f t="shared" ca="1" si="320"/>
        <v>1903.4331009171751</v>
      </c>
      <c r="R3685" s="4">
        <f t="shared" ca="1" si="321"/>
        <v>-20.236943082824837</v>
      </c>
      <c r="S3685" s="4">
        <f t="shared" ca="1" si="322"/>
        <v>-10.07743017399633</v>
      </c>
    </row>
    <row r="3686" spans="15:19" x14ac:dyDescent="0.2">
      <c r="O3686" s="4">
        <f t="shared" ca="1" si="318"/>
        <v>0.53229575954930874</v>
      </c>
      <c r="P3686" s="4">
        <f t="shared" ca="1" si="319"/>
        <v>8.1042088351547942E-2</v>
      </c>
      <c r="Q3686" s="4">
        <f t="shared" ca="1" si="320"/>
        <v>1920.8091176954943</v>
      </c>
      <c r="R3686" s="4">
        <f t="shared" ca="1" si="321"/>
        <v>-2.8609263045057105</v>
      </c>
      <c r="S3686" s="4">
        <f t="shared" ca="1" si="322"/>
        <v>-1.4448970972146409</v>
      </c>
    </row>
    <row r="3687" spans="15:19" x14ac:dyDescent="0.2">
      <c r="O3687" s="4">
        <f t="shared" ca="1" si="318"/>
        <v>0.44512385608872873</v>
      </c>
      <c r="P3687" s="4">
        <f t="shared" ca="1" si="319"/>
        <v>-0.13799077007265625</v>
      </c>
      <c r="Q3687" s="4">
        <f t="shared" ca="1" si="320"/>
        <v>1927.4447084166165</v>
      </c>
      <c r="R3687" s="4">
        <f t="shared" ca="1" si="321"/>
        <v>3.7746644166165879</v>
      </c>
      <c r="S3687" s="4">
        <f t="shared" ca="1" si="322"/>
        <v>1.9165720597303757</v>
      </c>
    </row>
    <row r="3688" spans="15:19" x14ac:dyDescent="0.2">
      <c r="O3688" s="4">
        <f t="shared" ca="1" si="318"/>
        <v>0.25500466440027503</v>
      </c>
      <c r="P3688" s="4">
        <f t="shared" ca="1" si="319"/>
        <v>-0.65882316693343101</v>
      </c>
      <c r="Q3688" s="4">
        <f t="shared" ca="1" si="320"/>
        <v>1943.2233027550783</v>
      </c>
      <c r="R3688" s="4">
        <f t="shared" ca="1" si="321"/>
        <v>19.553258755078332</v>
      </c>
      <c r="S3688" s="4">
        <f t="shared" ca="1" si="322"/>
        <v>10.053685851883143</v>
      </c>
    </row>
    <row r="3689" spans="15:19" x14ac:dyDescent="0.2">
      <c r="O3689" s="4">
        <f t="shared" ca="1" si="318"/>
        <v>0.75937191849645402</v>
      </c>
      <c r="P3689" s="4">
        <f t="shared" ca="1" si="319"/>
        <v>0.7042836231779438</v>
      </c>
      <c r="Q3689" s="4">
        <f t="shared" ca="1" si="320"/>
        <v>1901.9280430692272</v>
      </c>
      <c r="R3689" s="4">
        <f t="shared" ca="1" si="321"/>
        <v>-21.742000930772747</v>
      </c>
      <c r="S3689" s="4">
        <f t="shared" ca="1" si="322"/>
        <v>-10.813586263965558</v>
      </c>
    </row>
    <row r="3690" spans="15:19" x14ac:dyDescent="0.2">
      <c r="O3690" s="4">
        <f t="shared" ca="1" si="318"/>
        <v>0.70915348142768242</v>
      </c>
      <c r="P3690" s="4">
        <f t="shared" ca="1" si="319"/>
        <v>0.55091340586876347</v>
      </c>
      <c r="Q3690" s="4">
        <f t="shared" ca="1" si="320"/>
        <v>1906.574386993125</v>
      </c>
      <c r="R3690" s="4">
        <f t="shared" ca="1" si="321"/>
        <v>-17.095657006874944</v>
      </c>
      <c r="S3690" s="4">
        <f t="shared" ca="1" si="322"/>
        <v>-8.5350183693906434</v>
      </c>
    </row>
    <row r="3691" spans="15:19" x14ac:dyDescent="0.2">
      <c r="O3691" s="4">
        <f t="shared" ca="1" si="318"/>
        <v>0.68583045358280592</v>
      </c>
      <c r="P3691" s="4">
        <f t="shared" ca="1" si="319"/>
        <v>0.48406591141796951</v>
      </c>
      <c r="Q3691" s="4">
        <f t="shared" ca="1" si="320"/>
        <v>1908.5995288695501</v>
      </c>
      <c r="R3691" s="4">
        <f t="shared" ca="1" si="321"/>
        <v>-15.070515130449849</v>
      </c>
      <c r="S3691" s="4">
        <f t="shared" ca="1" si="322"/>
        <v>-7.5363886372239648</v>
      </c>
    </row>
    <row r="3692" spans="15:19" x14ac:dyDescent="0.2">
      <c r="O3692" s="4">
        <f t="shared" ca="1" si="318"/>
        <v>0.67841022150801233</v>
      </c>
      <c r="P3692" s="4">
        <f t="shared" ca="1" si="319"/>
        <v>0.46325784650677299</v>
      </c>
      <c r="Q3692" s="4">
        <f t="shared" ca="1" si="320"/>
        <v>1909.2299082721777</v>
      </c>
      <c r="R3692" s="4">
        <f t="shared" ca="1" si="321"/>
        <v>-14.44013572782228</v>
      </c>
      <c r="S3692" s="4">
        <f t="shared" ca="1" si="322"/>
        <v>-7.2248570798359379</v>
      </c>
    </row>
    <row r="3693" spans="15:19" x14ac:dyDescent="0.2">
      <c r="O3693" s="4">
        <f t="shared" ca="1" si="318"/>
        <v>0.23838874134981103</v>
      </c>
      <c r="P3693" s="4">
        <f t="shared" ca="1" si="319"/>
        <v>-0.71149510561486362</v>
      </c>
      <c r="Q3693" s="4">
        <f t="shared" ca="1" si="320"/>
        <v>1944.818996798851</v>
      </c>
      <c r="R3693" s="4">
        <f t="shared" ca="1" si="321"/>
        <v>21.148952798851042</v>
      </c>
      <c r="S3693" s="4">
        <f t="shared" ca="1" si="322"/>
        <v>10.887880251158933</v>
      </c>
    </row>
    <row r="3694" spans="15:19" x14ac:dyDescent="0.2">
      <c r="O3694" s="4">
        <f t="shared" ca="1" si="318"/>
        <v>0.89215748739468959</v>
      </c>
      <c r="P3694" s="4">
        <f t="shared" ca="1" si="319"/>
        <v>1.2380837051592208</v>
      </c>
      <c r="Q3694" s="4">
        <f t="shared" ca="1" si="320"/>
        <v>1885.756593285792</v>
      </c>
      <c r="R3694" s="4">
        <f t="shared" ca="1" si="321"/>
        <v>-37.913450714208011</v>
      </c>
      <c r="S3694" s="4">
        <f t="shared" ca="1" si="322"/>
        <v>-18.607026696832847</v>
      </c>
    </row>
    <row r="3695" spans="15:19" x14ac:dyDescent="0.2">
      <c r="O3695" s="4">
        <f t="shared" ca="1" si="318"/>
        <v>0.37301265104582815</v>
      </c>
      <c r="P3695" s="4">
        <f t="shared" ca="1" si="319"/>
        <v>-0.32388473395057621</v>
      </c>
      <c r="Q3695" s="4">
        <f t="shared" ca="1" si="320"/>
        <v>1933.0763577987927</v>
      </c>
      <c r="R3695" s="4">
        <f t="shared" ca="1" si="321"/>
        <v>9.4063137987927803</v>
      </c>
      <c r="S3695" s="4">
        <f t="shared" ca="1" si="322"/>
        <v>4.7975851507961638</v>
      </c>
    </row>
    <row r="3696" spans="15:19" x14ac:dyDescent="0.2">
      <c r="O3696" s="4">
        <f t="shared" ca="1" si="318"/>
        <v>0.9245079728017731</v>
      </c>
      <c r="P3696" s="4">
        <f t="shared" ca="1" si="319"/>
        <v>1.4360642684393305</v>
      </c>
      <c r="Q3696" s="4">
        <f t="shared" ca="1" si="320"/>
        <v>1879.7587809113593</v>
      </c>
      <c r="R3696" s="4">
        <f t="shared" ca="1" si="321"/>
        <v>-43.911263088640681</v>
      </c>
      <c r="S3696" s="4">
        <f t="shared" ca="1" si="322"/>
        <v>-21.443400997554036</v>
      </c>
    </row>
    <row r="3697" spans="15:19" x14ac:dyDescent="0.2">
      <c r="O3697" s="4">
        <f t="shared" ca="1" si="318"/>
        <v>0.69856540849619064</v>
      </c>
      <c r="P3697" s="4">
        <f t="shared" ca="1" si="319"/>
        <v>0.52027892448107593</v>
      </c>
      <c r="Q3697" s="4">
        <f t="shared" ca="1" si="320"/>
        <v>1907.5024572466248</v>
      </c>
      <c r="R3697" s="4">
        <f t="shared" ca="1" si="321"/>
        <v>-16.16758675337519</v>
      </c>
      <c r="S3697" s="4">
        <f t="shared" ca="1" si="322"/>
        <v>-8.0777865989674211</v>
      </c>
    </row>
    <row r="3698" spans="15:19" x14ac:dyDescent="0.2">
      <c r="O3698" s="4">
        <f t="shared" ca="1" si="318"/>
        <v>0.63364053380571173</v>
      </c>
      <c r="P3698" s="4">
        <f t="shared" ca="1" si="319"/>
        <v>0.34151099058074402</v>
      </c>
      <c r="Q3698" s="4">
        <f t="shared" ca="1" si="320"/>
        <v>1912.9182238670185</v>
      </c>
      <c r="R3698" s="4">
        <f t="shared" ca="1" si="321"/>
        <v>-10.751820132981493</v>
      </c>
      <c r="S3698" s="4">
        <f t="shared" ca="1" si="322"/>
        <v>-5.3956187958470503</v>
      </c>
    </row>
    <row r="3699" spans="15:19" x14ac:dyDescent="0.2">
      <c r="O3699" s="4">
        <f t="shared" ca="1" si="318"/>
        <v>0.86310116644937385</v>
      </c>
      <c r="P3699" s="4">
        <f t="shared" ca="1" si="319"/>
        <v>1.0943587518915132</v>
      </c>
      <c r="Q3699" s="4">
        <f t="shared" ca="1" si="320"/>
        <v>1890.1107343637937</v>
      </c>
      <c r="R3699" s="4">
        <f t="shared" ca="1" si="321"/>
        <v>-33.559309636206308</v>
      </c>
      <c r="S3699" s="4">
        <f t="shared" ca="1" si="322"/>
        <v>-16.529598788060184</v>
      </c>
    </row>
    <row r="3700" spans="15:19" x14ac:dyDescent="0.2">
      <c r="O3700" s="4">
        <f t="shared" ca="1" si="318"/>
        <v>2.8462384248196027E-2</v>
      </c>
      <c r="P3700" s="4">
        <f t="shared" ca="1" si="319"/>
        <v>-1.903888029067996</v>
      </c>
      <c r="Q3700" s="4">
        <f t="shared" ca="1" si="320"/>
        <v>1980.9424874738152</v>
      </c>
      <c r="R3700" s="4">
        <f t="shared" ca="1" si="321"/>
        <v>57.272443473815201</v>
      </c>
      <c r="S3700" s="4">
        <f t="shared" ca="1" si="322"/>
        <v>30.32711297625973</v>
      </c>
    </row>
    <row r="3701" spans="15:19" x14ac:dyDescent="0.2">
      <c r="O3701" s="4">
        <f t="shared" ca="1" si="318"/>
        <v>0.26618383542138591</v>
      </c>
      <c r="P3701" s="4">
        <f t="shared" ca="1" si="319"/>
        <v>-0.62439581801462951</v>
      </c>
      <c r="Q3701" s="4">
        <f t="shared" ca="1" si="320"/>
        <v>1942.1803277481231</v>
      </c>
      <c r="R3701" s="4">
        <f t="shared" ca="1" si="321"/>
        <v>18.510283748123129</v>
      </c>
      <c r="S3701" s="4">
        <f t="shared" ca="1" si="322"/>
        <v>9.5095613146387787</v>
      </c>
    </row>
    <row r="3702" spans="15:19" x14ac:dyDescent="0.2">
      <c r="O3702" s="4">
        <f t="shared" ca="1" si="318"/>
        <v>0.81951634772296444</v>
      </c>
      <c r="P3702" s="4">
        <f t="shared" ca="1" si="319"/>
        <v>0.91352345304932014</v>
      </c>
      <c r="Q3702" s="4">
        <f t="shared" ca="1" si="320"/>
        <v>1895.5891317133121</v>
      </c>
      <c r="R3702" s="4">
        <f t="shared" ca="1" si="321"/>
        <v>-28.080912286687862</v>
      </c>
      <c r="S3702" s="4">
        <f t="shared" ca="1" si="322"/>
        <v>-13.893843444922686</v>
      </c>
    </row>
    <row r="3703" spans="15:19" x14ac:dyDescent="0.2">
      <c r="O3703" s="4">
        <f t="shared" ca="1" si="318"/>
        <v>0.46268477638651639</v>
      </c>
      <c r="P3703" s="4">
        <f t="shared" ca="1" si="319"/>
        <v>-9.3672201972104463E-2</v>
      </c>
      <c r="Q3703" s="4">
        <f t="shared" ca="1" si="320"/>
        <v>1926.1020793637101</v>
      </c>
      <c r="R3703" s="4">
        <f t="shared" ca="1" si="321"/>
        <v>2.4320353637101562</v>
      </c>
      <c r="S3703" s="4">
        <f t="shared" ca="1" si="322"/>
        <v>1.2335278540988099</v>
      </c>
    </row>
    <row r="3704" spans="15:19" x14ac:dyDescent="0.2">
      <c r="O3704" s="4">
        <f t="shared" ca="1" si="318"/>
        <v>0.72935410374927545</v>
      </c>
      <c r="P3704" s="4">
        <f t="shared" ca="1" si="319"/>
        <v>0.61086071786956209</v>
      </c>
      <c r="Q3704" s="4">
        <f t="shared" ca="1" si="320"/>
        <v>1904.7582858376613</v>
      </c>
      <c r="R3704" s="4">
        <f t="shared" ca="1" si="321"/>
        <v>-18.911758162338629</v>
      </c>
      <c r="S3704" s="4">
        <f t="shared" ca="1" si="322"/>
        <v>-9.4277270408640312</v>
      </c>
    </row>
    <row r="3705" spans="15:19" x14ac:dyDescent="0.2">
      <c r="O3705" s="4">
        <f t="shared" ca="1" si="318"/>
        <v>8.2107910503726789E-2</v>
      </c>
      <c r="P3705" s="4">
        <f t="shared" ca="1" si="319"/>
        <v>-1.3910316777709846</v>
      </c>
      <c r="Q3705" s="4">
        <f t="shared" ca="1" si="320"/>
        <v>1965.4055270815793</v>
      </c>
      <c r="R3705" s="4">
        <f t="shared" ca="1" si="321"/>
        <v>41.735483081579332</v>
      </c>
      <c r="S3705" s="4">
        <f t="shared" ca="1" si="322"/>
        <v>21.835964084941885</v>
      </c>
    </row>
    <row r="3706" spans="15:19" x14ac:dyDescent="0.2">
      <c r="O3706" s="4">
        <f t="shared" ca="1" si="318"/>
        <v>0.78193976271471288</v>
      </c>
      <c r="P3706" s="4">
        <f t="shared" ca="1" si="319"/>
        <v>0.77876106923318567</v>
      </c>
      <c r="Q3706" s="4">
        <f t="shared" ca="1" si="320"/>
        <v>1899.6717521477074</v>
      </c>
      <c r="R3706" s="4">
        <f t="shared" ca="1" si="321"/>
        <v>-23.998291852292596</v>
      </c>
      <c r="S3706" s="4">
        <f t="shared" ca="1" si="322"/>
        <v>-11.913731897470681</v>
      </c>
    </row>
    <row r="3707" spans="15:19" x14ac:dyDescent="0.2">
      <c r="O3707" s="4">
        <f t="shared" ca="1" si="318"/>
        <v>0.95598259137203045</v>
      </c>
      <c r="P3707" s="4">
        <f t="shared" ca="1" si="319"/>
        <v>1.7058564102788085</v>
      </c>
      <c r="Q3707" s="4">
        <f t="shared" ca="1" si="320"/>
        <v>1871.5854399528325</v>
      </c>
      <c r="R3707" s="4">
        <f t="shared" ca="1" si="321"/>
        <v>-52.084604047167431</v>
      </c>
      <c r="S3707" s="4">
        <f t="shared" ca="1" si="322"/>
        <v>-25.261436903118891</v>
      </c>
    </row>
    <row r="3708" spans="15:19" x14ac:dyDescent="0.2">
      <c r="O3708" s="4">
        <f t="shared" ca="1" si="318"/>
        <v>0.33759129120776243</v>
      </c>
      <c r="P3708" s="4">
        <f t="shared" ca="1" si="319"/>
        <v>-0.41904590694593147</v>
      </c>
      <c r="Q3708" s="4">
        <f t="shared" ca="1" si="320"/>
        <v>1935.9592613096268</v>
      </c>
      <c r="R3708" s="4">
        <f t="shared" ca="1" si="321"/>
        <v>12.289217309626792</v>
      </c>
      <c r="S3708" s="4">
        <f t="shared" ca="1" si="322"/>
        <v>6.282399747529114</v>
      </c>
    </row>
    <row r="3709" spans="15:19" x14ac:dyDescent="0.2">
      <c r="O3709" s="4">
        <f t="shared" ca="1" si="318"/>
        <v>0.41075720517001446</v>
      </c>
      <c r="P3709" s="4">
        <f t="shared" ca="1" si="319"/>
        <v>-0.22559759655197972</v>
      </c>
      <c r="Q3709" s="4">
        <f t="shared" ca="1" si="320"/>
        <v>1930.0987533351527</v>
      </c>
      <c r="R3709" s="4">
        <f t="shared" ca="1" si="321"/>
        <v>6.4287093351526892</v>
      </c>
      <c r="S3709" s="4">
        <f t="shared" ca="1" si="322"/>
        <v>3.2710991146488189</v>
      </c>
    </row>
    <row r="3710" spans="15:19" x14ac:dyDescent="0.2">
      <c r="O3710" s="4">
        <f t="shared" ca="1" si="318"/>
        <v>0.9742256982248757</v>
      </c>
      <c r="P3710" s="4">
        <f t="shared" ca="1" si="319"/>
        <v>1.9468843312260573</v>
      </c>
      <c r="Q3710" s="4">
        <f t="shared" ca="1" si="320"/>
        <v>1864.2835097891334</v>
      </c>
      <c r="R3710" s="4">
        <f t="shared" ca="1" si="321"/>
        <v>-59.386534210866557</v>
      </c>
      <c r="S3710" s="4">
        <f t="shared" ca="1" si="322"/>
        <v>-28.626409659106571</v>
      </c>
    </row>
    <row r="3711" spans="15:19" x14ac:dyDescent="0.2">
      <c r="O3711" s="4">
        <f t="shared" ca="1" si="318"/>
        <v>0.91847908212017504</v>
      </c>
      <c r="P3711" s="4">
        <f t="shared" ca="1" si="319"/>
        <v>1.3949137979485828</v>
      </c>
      <c r="Q3711" s="4">
        <f t="shared" ca="1" si="320"/>
        <v>1881.0054325878368</v>
      </c>
      <c r="R3711" s="4">
        <f t="shared" ca="1" si="321"/>
        <v>-42.66461141216314</v>
      </c>
      <c r="S3711" s="4">
        <f t="shared" ca="1" si="322"/>
        <v>-20.85626867296536</v>
      </c>
    </row>
    <row r="3712" spans="15:19" x14ac:dyDescent="0.2">
      <c r="O3712" s="4">
        <f t="shared" ca="1" si="318"/>
        <v>0.81785389278599174</v>
      </c>
      <c r="P3712" s="4">
        <f t="shared" ca="1" si="319"/>
        <v>0.90721669955479245</v>
      </c>
      <c r="Q3712" s="4">
        <f t="shared" ca="1" si="320"/>
        <v>1895.7801945304152</v>
      </c>
      <c r="R3712" s="4">
        <f t="shared" ca="1" si="321"/>
        <v>-27.88984946958476</v>
      </c>
      <c r="S3712" s="4">
        <f t="shared" ca="1" si="322"/>
        <v>-13.801478745844632</v>
      </c>
    </row>
    <row r="3713" spans="15:19" x14ac:dyDescent="0.2">
      <c r="O3713" s="4">
        <f t="shared" ca="1" si="318"/>
        <v>8.7623832726050788E-2</v>
      </c>
      <c r="P3713" s="4">
        <f t="shared" ca="1" si="319"/>
        <v>-1.3555334288657592</v>
      </c>
      <c r="Q3713" s="4">
        <f t="shared" ca="1" si="320"/>
        <v>1964.3301092070819</v>
      </c>
      <c r="R3713" s="4">
        <f t="shared" ca="1" si="321"/>
        <v>40.660065207081971</v>
      </c>
      <c r="S3713" s="4">
        <f t="shared" ca="1" si="322"/>
        <v>21.255506763506091</v>
      </c>
    </row>
    <row r="3714" spans="15:19" x14ac:dyDescent="0.2">
      <c r="O3714" s="4">
        <f t="shared" ca="1" si="318"/>
        <v>0.44735705304131901</v>
      </c>
      <c r="P3714" s="4">
        <f t="shared" ca="1" si="319"/>
        <v>-0.13234159823418193</v>
      </c>
      <c r="Q3714" s="4">
        <f t="shared" ca="1" si="320"/>
        <v>1927.2735670065877</v>
      </c>
      <c r="R3714" s="4">
        <f t="shared" ca="1" si="321"/>
        <v>3.6035230065876931</v>
      </c>
      <c r="S3714" s="4">
        <f t="shared" ca="1" si="322"/>
        <v>1.829424589894141</v>
      </c>
    </row>
    <row r="3715" spans="15:19" x14ac:dyDescent="0.2">
      <c r="O3715" s="4">
        <f t="shared" ref="O3715:O3778" ca="1" si="323">RAND()</f>
        <v>0.88322342351287542</v>
      </c>
      <c r="P3715" s="4">
        <f t="shared" ref="P3715:P3778" ca="1" si="324">NORMSINV(O3715)</f>
        <v>1.1912558686376389</v>
      </c>
      <c r="Q3715" s="4">
        <f t="shared" ref="Q3715:Q3778" ca="1" si="325">$B$4*(1+$B$17-$B$6/SQRT(252)*P3715)</f>
        <v>1887.1752405141044</v>
      </c>
      <c r="R3715" s="4">
        <f t="shared" ref="R3715:R3778" ca="1" si="326">Q3715-$B$4</f>
        <v>-36.494803485895545</v>
      </c>
      <c r="S3715" s="4">
        <f t="shared" ref="S3715:S3778" ca="1" si="327">R3715*$B$12+0.5*$B$13*R3715^2</f>
        <v>-17.931863420627902</v>
      </c>
    </row>
    <row r="3716" spans="15:19" x14ac:dyDescent="0.2">
      <c r="O3716" s="4">
        <f t="shared" ca="1" si="323"/>
        <v>0.14158444746530408</v>
      </c>
      <c r="P3716" s="4">
        <f t="shared" ca="1" si="324"/>
        <v>-1.0732278567629336</v>
      </c>
      <c r="Q3716" s="4">
        <f t="shared" ca="1" si="325"/>
        <v>1955.7776744343109</v>
      </c>
      <c r="R3716" s="4">
        <f t="shared" ca="1" si="326"/>
        <v>32.107630434310977</v>
      </c>
      <c r="S3716" s="4">
        <f t="shared" ca="1" si="327"/>
        <v>16.672844654221656</v>
      </c>
    </row>
    <row r="3717" spans="15:19" x14ac:dyDescent="0.2">
      <c r="O3717" s="4">
        <f t="shared" ca="1" si="323"/>
        <v>0.53162969737665056</v>
      </c>
      <c r="P3717" s="4">
        <f t="shared" ca="1" si="324"/>
        <v>7.9367139247914553E-2</v>
      </c>
      <c r="Q3717" s="4">
        <f t="shared" ca="1" si="325"/>
        <v>1920.8598602042227</v>
      </c>
      <c r="R3717" s="4">
        <f t="shared" ca="1" si="326"/>
        <v>-2.8101837957772204</v>
      </c>
      <c r="S3717" s="4">
        <f t="shared" ca="1" si="327"/>
        <v>-1.4193278831050222</v>
      </c>
    </row>
    <row r="3718" spans="15:19" x14ac:dyDescent="0.2">
      <c r="O3718" s="4">
        <f t="shared" ca="1" si="323"/>
        <v>0.3159553445776363</v>
      </c>
      <c r="P3718" s="4">
        <f t="shared" ca="1" si="324"/>
        <v>-0.47903927399776419</v>
      </c>
      <c r="Q3718" s="4">
        <f t="shared" ca="1" si="325"/>
        <v>1937.7767577008167</v>
      </c>
      <c r="R3718" s="4">
        <f t="shared" ca="1" si="326"/>
        <v>14.106713700816726</v>
      </c>
      <c r="S3718" s="4">
        <f t="shared" ca="1" si="327"/>
        <v>7.2219631693321746</v>
      </c>
    </row>
    <row r="3719" spans="15:19" x14ac:dyDescent="0.2">
      <c r="O3719" s="4">
        <f t="shared" ca="1" si="323"/>
        <v>0.31877669584434576</v>
      </c>
      <c r="P3719" s="4">
        <f t="shared" ca="1" si="324"/>
        <v>-0.47112231332777016</v>
      </c>
      <c r="Q3719" s="4">
        <f t="shared" ca="1" si="325"/>
        <v>1937.5369137288244</v>
      </c>
      <c r="R3719" s="4">
        <f t="shared" ca="1" si="326"/>
        <v>13.86686972882444</v>
      </c>
      <c r="S3719" s="4">
        <f t="shared" ca="1" si="327"/>
        <v>7.0978206537929989</v>
      </c>
    </row>
    <row r="3720" spans="15:19" x14ac:dyDescent="0.2">
      <c r="O3720" s="4">
        <f t="shared" ca="1" si="323"/>
        <v>0.69884863435226674</v>
      </c>
      <c r="P3720" s="4">
        <f t="shared" ca="1" si="324"/>
        <v>0.52109193160182776</v>
      </c>
      <c r="Q3720" s="4">
        <f t="shared" ca="1" si="325"/>
        <v>1907.4778272319982</v>
      </c>
      <c r="R3720" s="4">
        <f t="shared" ca="1" si="326"/>
        <v>-16.192216768001799</v>
      </c>
      <c r="S3720" s="4">
        <f t="shared" ca="1" si="327"/>
        <v>-8.0899301103149579</v>
      </c>
    </row>
    <row r="3721" spans="15:19" x14ac:dyDescent="0.2">
      <c r="O3721" s="4">
        <f t="shared" ca="1" si="323"/>
        <v>0.81763783244261601</v>
      </c>
      <c r="P3721" s="4">
        <f t="shared" ca="1" si="324"/>
        <v>0.90639969323775593</v>
      </c>
      <c r="Q3721" s="4">
        <f t="shared" ca="1" si="325"/>
        <v>1895.8049457005156</v>
      </c>
      <c r="R3721" s="4">
        <f t="shared" ca="1" si="326"/>
        <v>-27.865098299484316</v>
      </c>
      <c r="S3721" s="4">
        <f t="shared" ca="1" si="327"/>
        <v>-13.789511216715782</v>
      </c>
    </row>
    <row r="3722" spans="15:19" x14ac:dyDescent="0.2">
      <c r="O3722" s="4">
        <f t="shared" ca="1" si="323"/>
        <v>1.2589091558312226E-2</v>
      </c>
      <c r="P3722" s="4">
        <f t="shared" ca="1" si="324"/>
        <v>-2.2386579103636342</v>
      </c>
      <c r="Q3722" s="4">
        <f t="shared" ca="1" si="325"/>
        <v>1991.0843261642199</v>
      </c>
      <c r="R3722" s="4">
        <f t="shared" ca="1" si="326"/>
        <v>67.414282164219912</v>
      </c>
      <c r="S3722" s="4">
        <f t="shared" ca="1" si="327"/>
        <v>35.97577153118641</v>
      </c>
    </row>
    <row r="3723" spans="15:19" x14ac:dyDescent="0.2">
      <c r="O3723" s="4">
        <f t="shared" ca="1" si="323"/>
        <v>0.31566516716302173</v>
      </c>
      <c r="P3723" s="4">
        <f t="shared" ca="1" si="324"/>
        <v>-0.47985523445932321</v>
      </c>
      <c r="Q3723" s="4">
        <f t="shared" ca="1" si="325"/>
        <v>1937.8014771867718</v>
      </c>
      <c r="R3723" s="4">
        <f t="shared" ca="1" si="326"/>
        <v>14.131433186771801</v>
      </c>
      <c r="S3723" s="4">
        <f t="shared" ca="1" si="327"/>
        <v>7.2347605627869518</v>
      </c>
    </row>
    <row r="3724" spans="15:19" x14ac:dyDescent="0.2">
      <c r="O3724" s="4">
        <f t="shared" ca="1" si="323"/>
        <v>0.41537417286267919</v>
      </c>
      <c r="P3724" s="4">
        <f t="shared" ca="1" si="324"/>
        <v>-0.21374188604521205</v>
      </c>
      <c r="Q3724" s="4">
        <f t="shared" ca="1" si="325"/>
        <v>1929.7395851117315</v>
      </c>
      <c r="R3724" s="4">
        <f t="shared" ca="1" si="326"/>
        <v>6.0695411117314961</v>
      </c>
      <c r="S3724" s="4">
        <f t="shared" ca="1" si="327"/>
        <v>3.0874573185972705</v>
      </c>
    </row>
    <row r="3725" spans="15:19" x14ac:dyDescent="0.2">
      <c r="O3725" s="4">
        <f t="shared" ca="1" si="323"/>
        <v>0.37076429236345654</v>
      </c>
      <c r="P3725" s="4">
        <f t="shared" ca="1" si="324"/>
        <v>-0.32982977929326657</v>
      </c>
      <c r="Q3725" s="4">
        <f t="shared" ca="1" si="325"/>
        <v>1933.2564626834956</v>
      </c>
      <c r="R3725" s="4">
        <f t="shared" ca="1" si="326"/>
        <v>9.5864186834955945</v>
      </c>
      <c r="S3725" s="4">
        <f t="shared" ca="1" si="327"/>
        <v>4.8901484626872138</v>
      </c>
    </row>
    <row r="3726" spans="15:19" x14ac:dyDescent="0.2">
      <c r="O3726" s="4">
        <f t="shared" ca="1" si="323"/>
        <v>0.55787404888135317</v>
      </c>
      <c r="P3726" s="4">
        <f t="shared" ca="1" si="324"/>
        <v>0.14558133659694547</v>
      </c>
      <c r="Q3726" s="4">
        <f t="shared" ca="1" si="325"/>
        <v>1918.8539040353778</v>
      </c>
      <c r="R3726" s="4">
        <f t="shared" ca="1" si="326"/>
        <v>-4.8161399646221525</v>
      </c>
      <c r="S3726" s="4">
        <f t="shared" ca="1" si="327"/>
        <v>-2.4285351699297109</v>
      </c>
    </row>
    <row r="3727" spans="15:19" x14ac:dyDescent="0.2">
      <c r="O3727" s="4">
        <f t="shared" ca="1" si="323"/>
        <v>0.84195124915563102</v>
      </c>
      <c r="P3727" s="4">
        <f t="shared" ca="1" si="324"/>
        <v>1.0025096635265824</v>
      </c>
      <c r="Q3727" s="4">
        <f t="shared" ca="1" si="325"/>
        <v>1892.8932984178018</v>
      </c>
      <c r="R3727" s="4">
        <f t="shared" ca="1" si="326"/>
        <v>-30.776745582198146</v>
      </c>
      <c r="S3727" s="4">
        <f t="shared" ca="1" si="327"/>
        <v>-15.193910813917475</v>
      </c>
    </row>
    <row r="3728" spans="15:19" x14ac:dyDescent="0.2">
      <c r="O3728" s="4">
        <f t="shared" ca="1" si="323"/>
        <v>4.8007173836647321E-2</v>
      </c>
      <c r="P3728" s="4">
        <f t="shared" ca="1" si="324"/>
        <v>-1.6644910023299677</v>
      </c>
      <c r="Q3728" s="4">
        <f t="shared" ca="1" si="325"/>
        <v>1973.6899651777742</v>
      </c>
      <c r="R3728" s="4">
        <f t="shared" ca="1" si="326"/>
        <v>50.019921177774222</v>
      </c>
      <c r="S3728" s="4">
        <f t="shared" ca="1" si="327"/>
        <v>26.339058196304443</v>
      </c>
    </row>
    <row r="3729" spans="15:19" x14ac:dyDescent="0.2">
      <c r="O3729" s="4">
        <f t="shared" ca="1" si="323"/>
        <v>0.27717777319909032</v>
      </c>
      <c r="P3729" s="4">
        <f t="shared" ca="1" si="324"/>
        <v>-0.59124608807819312</v>
      </c>
      <c r="Q3729" s="4">
        <f t="shared" ca="1" si="325"/>
        <v>1941.1760581515132</v>
      </c>
      <c r="R3729" s="4">
        <f t="shared" ca="1" si="326"/>
        <v>17.506014151513227</v>
      </c>
      <c r="S3729" s="4">
        <f t="shared" ca="1" si="327"/>
        <v>8.9864664845133806</v>
      </c>
    </row>
    <row r="3730" spans="15:19" x14ac:dyDescent="0.2">
      <c r="O3730" s="4">
        <f t="shared" ca="1" si="323"/>
        <v>0.88112421111662376</v>
      </c>
      <c r="P3730" s="4">
        <f t="shared" ca="1" si="324"/>
        <v>1.1806253771744728</v>
      </c>
      <c r="Q3730" s="4">
        <f t="shared" ca="1" si="325"/>
        <v>1887.4972907809979</v>
      </c>
      <c r="R3730" s="4">
        <f t="shared" ca="1" si="326"/>
        <v>-36.172753219002061</v>
      </c>
      <c r="S3730" s="4">
        <f t="shared" ca="1" si="327"/>
        <v>-17.778364901791768</v>
      </c>
    </row>
    <row r="3731" spans="15:19" x14ac:dyDescent="0.2">
      <c r="O3731" s="4">
        <f t="shared" ca="1" si="323"/>
        <v>0.21931935149628712</v>
      </c>
      <c r="P3731" s="4">
        <f t="shared" ca="1" si="324"/>
        <v>-0.77449402029762726</v>
      </c>
      <c r="Q3731" s="4">
        <f t="shared" ca="1" si="325"/>
        <v>1946.727546122077</v>
      </c>
      <c r="R3731" s="4">
        <f t="shared" ca="1" si="326"/>
        <v>23.05750212207704</v>
      </c>
      <c r="S3731" s="4">
        <f t="shared" ca="1" si="327"/>
        <v>11.888351124470855</v>
      </c>
    </row>
    <row r="3732" spans="15:19" x14ac:dyDescent="0.2">
      <c r="O3732" s="4">
        <f t="shared" ca="1" si="323"/>
        <v>0.50754266542885074</v>
      </c>
      <c r="P3732" s="4">
        <f t="shared" ca="1" si="324"/>
        <v>1.890778497213455E-2</v>
      </c>
      <c r="Q3732" s="4">
        <f t="shared" ca="1" si="325"/>
        <v>1922.691473657673</v>
      </c>
      <c r="R3732" s="4">
        <f t="shared" ca="1" si="326"/>
        <v>-0.97857034232697515</v>
      </c>
      <c r="S3732" s="4">
        <f t="shared" ca="1" si="327"/>
        <v>-0.49497208283398397</v>
      </c>
    </row>
    <row r="3733" spans="15:19" x14ac:dyDescent="0.2">
      <c r="O3733" s="4">
        <f t="shared" ca="1" si="323"/>
        <v>0.76691402871537218</v>
      </c>
      <c r="P3733" s="4">
        <f t="shared" ca="1" si="324"/>
        <v>0.72872165675126521</v>
      </c>
      <c r="Q3733" s="4">
        <f t="shared" ca="1" si="325"/>
        <v>1901.1876939271474</v>
      </c>
      <c r="R3733" s="4">
        <f t="shared" ca="1" si="326"/>
        <v>-22.482350072852569</v>
      </c>
      <c r="S3733" s="4">
        <f t="shared" ca="1" si="327"/>
        <v>-11.175030210432574</v>
      </c>
    </row>
    <row r="3734" spans="15:19" x14ac:dyDescent="0.2">
      <c r="O3734" s="4">
        <f t="shared" ca="1" si="323"/>
        <v>0.65384754234273534</v>
      </c>
      <c r="P3734" s="4">
        <f t="shared" ca="1" si="324"/>
        <v>0.39572905973121664</v>
      </c>
      <c r="Q3734" s="4">
        <f t="shared" ca="1" si="325"/>
        <v>1911.2756898693328</v>
      </c>
      <c r="R3734" s="4">
        <f t="shared" ca="1" si="326"/>
        <v>-12.394354130667125</v>
      </c>
      <c r="S3734" s="4">
        <f t="shared" ca="1" si="327"/>
        <v>-6.2116094821859216</v>
      </c>
    </row>
    <row r="3735" spans="15:19" x14ac:dyDescent="0.2">
      <c r="O3735" s="4">
        <f t="shared" ca="1" si="323"/>
        <v>0.26636720102110212</v>
      </c>
      <c r="P3735" s="4">
        <f t="shared" ca="1" si="324"/>
        <v>-0.6238373589773315</v>
      </c>
      <c r="Q3735" s="4">
        <f t="shared" ca="1" si="325"/>
        <v>1942.1634092563829</v>
      </c>
      <c r="R3735" s="4">
        <f t="shared" ca="1" si="326"/>
        <v>18.493365256382958</v>
      </c>
      <c r="S3735" s="4">
        <f t="shared" ca="1" si="327"/>
        <v>9.5007421643728627</v>
      </c>
    </row>
    <row r="3736" spans="15:19" x14ac:dyDescent="0.2">
      <c r="O3736" s="4">
        <f t="shared" ca="1" si="323"/>
        <v>0.18629611655009026</v>
      </c>
      <c r="P3736" s="4">
        <f t="shared" ca="1" si="324"/>
        <v>-0.89162823113577072</v>
      </c>
      <c r="Q3736" s="4">
        <f t="shared" ca="1" si="325"/>
        <v>1950.2761218387768</v>
      </c>
      <c r="R3736" s="4">
        <f t="shared" ca="1" si="326"/>
        <v>26.606077838776855</v>
      </c>
      <c r="S3736" s="4">
        <f t="shared" ca="1" si="327"/>
        <v>13.756414744581258</v>
      </c>
    </row>
    <row r="3737" spans="15:19" x14ac:dyDescent="0.2">
      <c r="O3737" s="4">
        <f t="shared" ca="1" si="323"/>
        <v>0.30107941356483936</v>
      </c>
      <c r="P3737" s="4">
        <f t="shared" ca="1" si="324"/>
        <v>-0.52129852676607602</v>
      </c>
      <c r="Q3737" s="4">
        <f t="shared" ca="1" si="325"/>
        <v>1939.0569998871642</v>
      </c>
      <c r="R3737" s="4">
        <f t="shared" ca="1" si="326"/>
        <v>15.386955887164277</v>
      </c>
      <c r="S3737" s="4">
        <f t="shared" ca="1" si="327"/>
        <v>7.8854048471045877</v>
      </c>
    </row>
    <row r="3738" spans="15:19" x14ac:dyDescent="0.2">
      <c r="O3738" s="4">
        <f t="shared" ca="1" si="323"/>
        <v>0.11909353857405369</v>
      </c>
      <c r="P3738" s="4">
        <f t="shared" ca="1" si="324"/>
        <v>-1.1795303038930995</v>
      </c>
      <c r="Q3738" s="4">
        <f t="shared" ca="1" si="325"/>
        <v>1958.9981023503972</v>
      </c>
      <c r="R3738" s="4">
        <f t="shared" ca="1" si="326"/>
        <v>35.328058350397214</v>
      </c>
      <c r="S3738" s="4">
        <f t="shared" ca="1" si="327"/>
        <v>18.391460755310433</v>
      </c>
    </row>
    <row r="3739" spans="15:19" x14ac:dyDescent="0.2">
      <c r="O3739" s="4">
        <f t="shared" ca="1" si="323"/>
        <v>1.2151053605645279E-2</v>
      </c>
      <c r="P3739" s="4">
        <f t="shared" ca="1" si="324"/>
        <v>-2.2523192075498253</v>
      </c>
      <c r="Q3739" s="4">
        <f t="shared" ca="1" si="325"/>
        <v>1991.4981945559275</v>
      </c>
      <c r="R3739" s="4">
        <f t="shared" ca="1" si="326"/>
        <v>67.82815055592755</v>
      </c>
      <c r="S3739" s="4">
        <f t="shared" ca="1" si="327"/>
        <v>36.208060474837595</v>
      </c>
    </row>
    <row r="3740" spans="15:19" x14ac:dyDescent="0.2">
      <c r="O3740" s="4">
        <f t="shared" ca="1" si="323"/>
        <v>0.41952556174296485</v>
      </c>
      <c r="P3740" s="4">
        <f t="shared" ca="1" si="324"/>
        <v>-0.20310735449144332</v>
      </c>
      <c r="Q3740" s="4">
        <f t="shared" ca="1" si="325"/>
        <v>1929.417412450473</v>
      </c>
      <c r="R3740" s="4">
        <f t="shared" ca="1" si="326"/>
        <v>5.7473684504730045</v>
      </c>
      <c r="S3740" s="4">
        <f t="shared" ca="1" si="327"/>
        <v>2.9228206145921951</v>
      </c>
    </row>
    <row r="3741" spans="15:19" x14ac:dyDescent="0.2">
      <c r="O3741" s="4">
        <f t="shared" ca="1" si="323"/>
        <v>0.74645378863294598</v>
      </c>
      <c r="P3741" s="4">
        <f t="shared" ca="1" si="324"/>
        <v>0.66337186152062066</v>
      </c>
      <c r="Q3741" s="4">
        <f t="shared" ca="1" si="325"/>
        <v>1903.1674630721943</v>
      </c>
      <c r="R3741" s="4">
        <f t="shared" ca="1" si="326"/>
        <v>-20.502580927805639</v>
      </c>
      <c r="S3741" s="4">
        <f t="shared" ca="1" si="327"/>
        <v>-10.207493366404098</v>
      </c>
    </row>
    <row r="3742" spans="15:19" x14ac:dyDescent="0.2">
      <c r="O3742" s="4">
        <f t="shared" ca="1" si="323"/>
        <v>0.13500901946908805</v>
      </c>
      <c r="P3742" s="4">
        <f t="shared" ca="1" si="324"/>
        <v>-1.1030210154610802</v>
      </c>
      <c r="Q3742" s="4">
        <f t="shared" ca="1" si="325"/>
        <v>1956.6802568542848</v>
      </c>
      <c r="R3742" s="4">
        <f t="shared" ca="1" si="326"/>
        <v>33.010212854284873</v>
      </c>
      <c r="S3742" s="4">
        <f t="shared" ca="1" si="327"/>
        <v>17.153665892385931</v>
      </c>
    </row>
    <row r="3743" spans="15:19" x14ac:dyDescent="0.2">
      <c r="O3743" s="4">
        <f t="shared" ca="1" si="323"/>
        <v>0.70534337498971167</v>
      </c>
      <c r="P3743" s="4">
        <f t="shared" ca="1" si="324"/>
        <v>0.53983148747801224</v>
      </c>
      <c r="Q3743" s="4">
        <f t="shared" ca="1" si="325"/>
        <v>1906.9101132187468</v>
      </c>
      <c r="R3743" s="4">
        <f t="shared" ca="1" si="326"/>
        <v>-16.759930781253161</v>
      </c>
      <c r="S3743" s="4">
        <f t="shared" ca="1" si="327"/>
        <v>-8.3696972993510261</v>
      </c>
    </row>
    <row r="3744" spans="15:19" x14ac:dyDescent="0.2">
      <c r="O3744" s="4">
        <f t="shared" ca="1" si="323"/>
        <v>0.6118365436925024</v>
      </c>
      <c r="P3744" s="4">
        <f t="shared" ca="1" si="324"/>
        <v>0.28410891834546542</v>
      </c>
      <c r="Q3744" s="4">
        <f t="shared" ca="1" si="325"/>
        <v>1914.657217096792</v>
      </c>
      <c r="R3744" s="4">
        <f t="shared" ca="1" si="326"/>
        <v>-9.0128269032079515</v>
      </c>
      <c r="S3744" s="4">
        <f t="shared" ca="1" si="327"/>
        <v>-4.5293145980560805</v>
      </c>
    </row>
    <row r="3745" spans="15:19" x14ac:dyDescent="0.2">
      <c r="O3745" s="4">
        <f t="shared" ca="1" si="323"/>
        <v>0.36236596783636577</v>
      </c>
      <c r="P3745" s="4">
        <f t="shared" ca="1" si="324"/>
        <v>-0.35214178129613427</v>
      </c>
      <c r="Q3745" s="4">
        <f t="shared" ca="1" si="325"/>
        <v>1933.9324037935421</v>
      </c>
      <c r="R3745" s="4">
        <f t="shared" ca="1" si="326"/>
        <v>10.262359793542146</v>
      </c>
      <c r="S3745" s="4">
        <f t="shared" ca="1" si="327"/>
        <v>5.2377779605265928</v>
      </c>
    </row>
    <row r="3746" spans="15:19" x14ac:dyDescent="0.2">
      <c r="O3746" s="4">
        <f t="shared" ca="1" si="323"/>
        <v>0.13772194272234062</v>
      </c>
      <c r="P3746" s="4">
        <f t="shared" ca="1" si="324"/>
        <v>-1.0906114584281386</v>
      </c>
      <c r="Q3746" s="4">
        <f t="shared" ca="1" si="325"/>
        <v>1956.3043098749436</v>
      </c>
      <c r="R3746" s="4">
        <f t="shared" ca="1" si="326"/>
        <v>32.634265874943594</v>
      </c>
      <c r="S3746" s="4">
        <f t="shared" ca="1" si="327"/>
        <v>16.953311851367371</v>
      </c>
    </row>
    <row r="3747" spans="15:19" x14ac:dyDescent="0.2">
      <c r="O3747" s="4">
        <f t="shared" ca="1" si="323"/>
        <v>0.91752112265774877</v>
      </c>
      <c r="P3747" s="4">
        <f t="shared" ca="1" si="324"/>
        <v>1.3885890312092626</v>
      </c>
      <c r="Q3747" s="4">
        <f t="shared" ca="1" si="325"/>
        <v>1881.1970411153914</v>
      </c>
      <c r="R3747" s="4">
        <f t="shared" ca="1" si="326"/>
        <v>-42.473002884608604</v>
      </c>
      <c r="S3747" s="4">
        <f t="shared" ca="1" si="327"/>
        <v>-20.765915117631998</v>
      </c>
    </row>
    <row r="3748" spans="15:19" x14ac:dyDescent="0.2">
      <c r="O3748" s="4">
        <f t="shared" ca="1" si="323"/>
        <v>0.68336325329193415</v>
      </c>
      <c r="P3748" s="4">
        <f t="shared" ca="1" si="324"/>
        <v>0.47712446641012879</v>
      </c>
      <c r="Q3748" s="4">
        <f t="shared" ca="1" si="325"/>
        <v>1908.8098196378696</v>
      </c>
      <c r="R3748" s="4">
        <f t="shared" ca="1" si="326"/>
        <v>-14.860224362130339</v>
      </c>
      <c r="S3748" s="4">
        <f t="shared" ca="1" si="327"/>
        <v>-7.432499548629278</v>
      </c>
    </row>
    <row r="3749" spans="15:19" x14ac:dyDescent="0.2">
      <c r="O3749" s="4">
        <f t="shared" ca="1" si="323"/>
        <v>0.83385103733699184</v>
      </c>
      <c r="P3749" s="4">
        <f t="shared" ca="1" si="324"/>
        <v>0.96949569858112683</v>
      </c>
      <c r="Q3749" s="4">
        <f t="shared" ca="1" si="325"/>
        <v>1893.8934550200374</v>
      </c>
      <c r="R3749" s="4">
        <f t="shared" ca="1" si="326"/>
        <v>-29.776588979962526</v>
      </c>
      <c r="S3749" s="4">
        <f t="shared" ca="1" si="327"/>
        <v>-14.712275004593113</v>
      </c>
    </row>
    <row r="3750" spans="15:19" x14ac:dyDescent="0.2">
      <c r="O3750" s="4">
        <f t="shared" ca="1" si="323"/>
        <v>0.4924554593042868</v>
      </c>
      <c r="P3750" s="4">
        <f t="shared" ca="1" si="324"/>
        <v>-1.891248640960044E-2</v>
      </c>
      <c r="Q3750" s="4">
        <f t="shared" ca="1" si="325"/>
        <v>1923.8372371000005</v>
      </c>
      <c r="R3750" s="4">
        <f t="shared" ca="1" si="326"/>
        <v>0.16719310000053156</v>
      </c>
      <c r="S3750" s="4">
        <f t="shared" ca="1" si="327"/>
        <v>8.4646163883783376E-2</v>
      </c>
    </row>
    <row r="3751" spans="15:19" x14ac:dyDescent="0.2">
      <c r="O3751" s="4">
        <f t="shared" ca="1" si="323"/>
        <v>0.43148517712912049</v>
      </c>
      <c r="P3751" s="4">
        <f t="shared" ca="1" si="324"/>
        <v>-0.17259427244866574</v>
      </c>
      <c r="Q3751" s="4">
        <f t="shared" ca="1" si="325"/>
        <v>1928.4930199847372</v>
      </c>
      <c r="R3751" s="4">
        <f t="shared" ca="1" si="326"/>
        <v>4.8229759847372407</v>
      </c>
      <c r="S3751" s="4">
        <f t="shared" ca="1" si="327"/>
        <v>2.4509065609554197</v>
      </c>
    </row>
    <row r="3752" spans="15:19" x14ac:dyDescent="0.2">
      <c r="O3752" s="4">
        <f t="shared" ca="1" si="323"/>
        <v>0.96329003652266243</v>
      </c>
      <c r="P3752" s="4">
        <f t="shared" ca="1" si="324"/>
        <v>1.7902114383456325</v>
      </c>
      <c r="Q3752" s="4">
        <f t="shared" ca="1" si="325"/>
        <v>1869.0299081228268</v>
      </c>
      <c r="R3752" s="4">
        <f t="shared" ca="1" si="326"/>
        <v>-54.640135877173179</v>
      </c>
      <c r="S3752" s="4">
        <f t="shared" ca="1" si="327"/>
        <v>-26.444048708880615</v>
      </c>
    </row>
    <row r="3753" spans="15:19" x14ac:dyDescent="0.2">
      <c r="O3753" s="4">
        <f t="shared" ca="1" si="323"/>
        <v>2.9524540509500041E-2</v>
      </c>
      <c r="P3753" s="4">
        <f t="shared" ca="1" si="324"/>
        <v>-1.887827731223358</v>
      </c>
      <c r="Q3753" s="4">
        <f t="shared" ca="1" si="325"/>
        <v>1980.4559414636728</v>
      </c>
      <c r="R3753" s="4">
        <f t="shared" ca="1" si="326"/>
        <v>56.785897463672882</v>
      </c>
      <c r="S3753" s="4">
        <f t="shared" ca="1" si="327"/>
        <v>30.058228463899539</v>
      </c>
    </row>
    <row r="3754" spans="15:19" x14ac:dyDescent="0.2">
      <c r="O3754" s="4">
        <f t="shared" ca="1" si="323"/>
        <v>0.81980303850274361</v>
      </c>
      <c r="P3754" s="4">
        <f t="shared" ca="1" si="324"/>
        <v>0.91461473011140504</v>
      </c>
      <c r="Q3754" s="4">
        <f t="shared" ca="1" si="325"/>
        <v>1895.5560715231677</v>
      </c>
      <c r="R3754" s="4">
        <f t="shared" ca="1" si="326"/>
        <v>-28.113972476832259</v>
      </c>
      <c r="S3754" s="4">
        <f t="shared" ca="1" si="327"/>
        <v>-13.909822578261517</v>
      </c>
    </row>
    <row r="3755" spans="15:19" x14ac:dyDescent="0.2">
      <c r="O3755" s="4">
        <f t="shared" ca="1" si="323"/>
        <v>0.24600811069944239</v>
      </c>
      <c r="P3755" s="4">
        <f t="shared" ca="1" si="324"/>
        <v>-0.68710554313245853</v>
      </c>
      <c r="Q3755" s="4">
        <f t="shared" ca="1" si="325"/>
        <v>1944.0801160863186</v>
      </c>
      <c r="R3755" s="4">
        <f t="shared" ca="1" si="326"/>
        <v>20.410072086318678</v>
      </c>
      <c r="S3755" s="4">
        <f t="shared" ca="1" si="327"/>
        <v>10.501351656581431</v>
      </c>
    </row>
    <row r="3756" spans="15:19" x14ac:dyDescent="0.2">
      <c r="O3756" s="4">
        <f t="shared" ca="1" si="323"/>
        <v>0.30086006367115437</v>
      </c>
      <c r="P3756" s="4">
        <f t="shared" ca="1" si="324"/>
        <v>-0.52192848089900534</v>
      </c>
      <c r="Q3756" s="4">
        <f t="shared" ca="1" si="325"/>
        <v>1939.0760843196517</v>
      </c>
      <c r="R3756" s="4">
        <f t="shared" ca="1" si="326"/>
        <v>15.406040319651765</v>
      </c>
      <c r="S3756" s="4">
        <f t="shared" ca="1" si="327"/>
        <v>7.895304794852513</v>
      </c>
    </row>
    <row r="3757" spans="15:19" x14ac:dyDescent="0.2">
      <c r="O3757" s="4">
        <f t="shared" ca="1" si="323"/>
        <v>0.63679316123532592</v>
      </c>
      <c r="P3757" s="4">
        <f t="shared" ca="1" si="324"/>
        <v>0.34990009260677601</v>
      </c>
      <c r="Q3757" s="4">
        <f t="shared" ca="1" si="325"/>
        <v>1912.6640763936075</v>
      </c>
      <c r="R3757" s="4">
        <f t="shared" ca="1" si="326"/>
        <v>-11.00596760639246</v>
      </c>
      <c r="S3757" s="4">
        <f t="shared" ca="1" si="327"/>
        <v>-5.5220197709216858</v>
      </c>
    </row>
    <row r="3758" spans="15:19" x14ac:dyDescent="0.2">
      <c r="O3758" s="4">
        <f t="shared" ca="1" si="323"/>
        <v>0.93958100773778175</v>
      </c>
      <c r="P3758" s="4">
        <f t="shared" ca="1" si="324"/>
        <v>1.5512658610338337</v>
      </c>
      <c r="Q3758" s="4">
        <f t="shared" ca="1" si="325"/>
        <v>1876.2687537785439</v>
      </c>
      <c r="R3758" s="4">
        <f t="shared" ca="1" si="326"/>
        <v>-47.401290221456065</v>
      </c>
      <c r="S3758" s="4">
        <f t="shared" ca="1" si="327"/>
        <v>-23.080360757119344</v>
      </c>
    </row>
    <row r="3759" spans="15:19" x14ac:dyDescent="0.2">
      <c r="O3759" s="4">
        <f t="shared" ca="1" si="323"/>
        <v>0.68312738635629167</v>
      </c>
      <c r="P3759" s="4">
        <f t="shared" ca="1" si="324"/>
        <v>0.47646206464332375</v>
      </c>
      <c r="Q3759" s="4">
        <f t="shared" ca="1" si="325"/>
        <v>1908.8298870699848</v>
      </c>
      <c r="R3759" s="4">
        <f t="shared" ca="1" si="326"/>
        <v>-14.840156930015155</v>
      </c>
      <c r="S3759" s="4">
        <f t="shared" ca="1" si="327"/>
        <v>-7.4225838354200739</v>
      </c>
    </row>
    <row r="3760" spans="15:19" x14ac:dyDescent="0.2">
      <c r="O3760" s="4">
        <f t="shared" ca="1" si="323"/>
        <v>0.11440335772685351</v>
      </c>
      <c r="P3760" s="4">
        <f t="shared" ca="1" si="324"/>
        <v>-1.2034384002699505</v>
      </c>
      <c r="Q3760" s="4">
        <f t="shared" ca="1" si="325"/>
        <v>1959.7223970686387</v>
      </c>
      <c r="R3760" s="4">
        <f t="shared" ca="1" si="326"/>
        <v>36.052353068638695</v>
      </c>
      <c r="S3760" s="4">
        <f t="shared" ca="1" si="327"/>
        <v>18.779151500259889</v>
      </c>
    </row>
    <row r="3761" spans="15:19" x14ac:dyDescent="0.2">
      <c r="O3761" s="4">
        <f t="shared" ca="1" si="323"/>
        <v>0.21219010975039232</v>
      </c>
      <c r="P3761" s="4">
        <f t="shared" ca="1" si="324"/>
        <v>-0.79884512805918451</v>
      </c>
      <c r="Q3761" s="4">
        <f t="shared" ca="1" si="325"/>
        <v>1947.4652618505484</v>
      </c>
      <c r="R3761" s="4">
        <f t="shared" ca="1" si="326"/>
        <v>23.795217850548397</v>
      </c>
      <c r="S3761" s="4">
        <f t="shared" ca="1" si="327"/>
        <v>12.275859988093554</v>
      </c>
    </row>
    <row r="3762" spans="15:19" x14ac:dyDescent="0.2">
      <c r="O3762" s="4">
        <f t="shared" ca="1" si="323"/>
        <v>0.72472304827841783</v>
      </c>
      <c r="P3762" s="4">
        <f t="shared" ca="1" si="324"/>
        <v>0.59693031965127774</v>
      </c>
      <c r="Q3762" s="4">
        <f t="shared" ca="1" si="325"/>
        <v>1905.1803066331884</v>
      </c>
      <c r="R3762" s="4">
        <f t="shared" ca="1" si="326"/>
        <v>-18.489737366811596</v>
      </c>
      <c r="S3762" s="4">
        <f t="shared" ca="1" si="327"/>
        <v>-9.2205212462089872</v>
      </c>
    </row>
    <row r="3763" spans="15:19" x14ac:dyDescent="0.2">
      <c r="O3763" s="4">
        <f t="shared" ca="1" si="323"/>
        <v>0.21454294061795887</v>
      </c>
      <c r="P3763" s="4">
        <f t="shared" ca="1" si="324"/>
        <v>-0.79075687248987436</v>
      </c>
      <c r="Q3763" s="4">
        <f t="shared" ca="1" si="325"/>
        <v>1947.2202285071867</v>
      </c>
      <c r="R3763" s="4">
        <f t="shared" ca="1" si="326"/>
        <v>23.550184507186714</v>
      </c>
      <c r="S3763" s="4">
        <f t="shared" ca="1" si="327"/>
        <v>12.147099217195095</v>
      </c>
    </row>
    <row r="3764" spans="15:19" x14ac:dyDescent="0.2">
      <c r="O3764" s="4">
        <f t="shared" ca="1" si="323"/>
        <v>0.85351123246854765</v>
      </c>
      <c r="P3764" s="4">
        <f t="shared" ca="1" si="324"/>
        <v>1.051612141313562</v>
      </c>
      <c r="Q3764" s="4">
        <f t="shared" ca="1" si="325"/>
        <v>1891.405741033346</v>
      </c>
      <c r="R3764" s="4">
        <f t="shared" ca="1" si="326"/>
        <v>-32.264302966653986</v>
      </c>
      <c r="S3764" s="4">
        <f t="shared" ca="1" si="327"/>
        <v>-15.908753129461145</v>
      </c>
    </row>
    <row r="3765" spans="15:19" x14ac:dyDescent="0.2">
      <c r="O3765" s="4">
        <f t="shared" ca="1" si="323"/>
        <v>0.83491912948752578</v>
      </c>
      <c r="P3765" s="4">
        <f t="shared" ca="1" si="324"/>
        <v>0.97378814404119096</v>
      </c>
      <c r="Q3765" s="4">
        <f t="shared" ca="1" si="325"/>
        <v>1893.7634155754049</v>
      </c>
      <c r="R3765" s="4">
        <f t="shared" ca="1" si="326"/>
        <v>-29.906628424595056</v>
      </c>
      <c r="S3765" s="4">
        <f t="shared" ca="1" si="327"/>
        <v>-14.774942910732141</v>
      </c>
    </row>
    <row r="3766" spans="15:19" x14ac:dyDescent="0.2">
      <c r="O3766" s="4">
        <f t="shared" ca="1" si="323"/>
        <v>7.3471763459674877E-2</v>
      </c>
      <c r="P3766" s="4">
        <f t="shared" ca="1" si="324"/>
        <v>-1.4504124873705979</v>
      </c>
      <c r="Q3766" s="4">
        <f t="shared" ca="1" si="325"/>
        <v>1967.2044660719512</v>
      </c>
      <c r="R3766" s="4">
        <f t="shared" ca="1" si="326"/>
        <v>43.534422071951212</v>
      </c>
      <c r="S3766" s="4">
        <f t="shared" ca="1" si="327"/>
        <v>22.809047151545244</v>
      </c>
    </row>
    <row r="3767" spans="15:19" x14ac:dyDescent="0.2">
      <c r="O3767" s="4">
        <f t="shared" ca="1" si="323"/>
        <v>0.82136251236369939</v>
      </c>
      <c r="P3767" s="4">
        <f t="shared" ca="1" si="324"/>
        <v>0.92056999172074416</v>
      </c>
      <c r="Q3767" s="4">
        <f t="shared" ca="1" si="325"/>
        <v>1895.3756571371205</v>
      </c>
      <c r="R3767" s="4">
        <f t="shared" ca="1" si="326"/>
        <v>-28.294386862879492</v>
      </c>
      <c r="S3767" s="4">
        <f t="shared" ca="1" si="327"/>
        <v>-13.997007413154639</v>
      </c>
    </row>
    <row r="3768" spans="15:19" x14ac:dyDescent="0.2">
      <c r="O3768" s="4">
        <f t="shared" ca="1" si="323"/>
        <v>0.63221510935611036</v>
      </c>
      <c r="P3768" s="4">
        <f t="shared" ca="1" si="324"/>
        <v>0.33772586513833036</v>
      </c>
      <c r="Q3768" s="4">
        <f t="shared" ca="1" si="325"/>
        <v>1913.0328940742409</v>
      </c>
      <c r="R3768" s="4">
        <f t="shared" ca="1" si="326"/>
        <v>-10.637149925759104</v>
      </c>
      <c r="S3768" s="4">
        <f t="shared" ca="1" si="327"/>
        <v>-5.3385700233506084</v>
      </c>
    </row>
    <row r="3769" spans="15:19" x14ac:dyDescent="0.2">
      <c r="O3769" s="4">
        <f t="shared" ca="1" si="323"/>
        <v>0.65436254819665129</v>
      </c>
      <c r="P3769" s="4">
        <f t="shared" ca="1" si="324"/>
        <v>0.39712551753146202</v>
      </c>
      <c r="Q3769" s="4">
        <f t="shared" ca="1" si="325"/>
        <v>1911.2333842422756</v>
      </c>
      <c r="R3769" s="4">
        <f t="shared" ca="1" si="326"/>
        <v>-12.436659757724328</v>
      </c>
      <c r="S3769" s="4">
        <f t="shared" ca="1" si="327"/>
        <v>-6.2325973821743466</v>
      </c>
    </row>
    <row r="3770" spans="15:19" x14ac:dyDescent="0.2">
      <c r="O3770" s="4">
        <f t="shared" ca="1" si="323"/>
        <v>0.1219635223660418</v>
      </c>
      <c r="P3770" s="4">
        <f t="shared" ca="1" si="324"/>
        <v>-1.165227184065029</v>
      </c>
      <c r="Q3770" s="4">
        <f t="shared" ca="1" si="325"/>
        <v>1958.5647899702501</v>
      </c>
      <c r="R3770" s="4">
        <f t="shared" ca="1" si="326"/>
        <v>34.894745970250142</v>
      </c>
      <c r="S3770" s="4">
        <f t="shared" ca="1" si="327"/>
        <v>18.159727314731544</v>
      </c>
    </row>
    <row r="3771" spans="15:19" x14ac:dyDescent="0.2">
      <c r="O3771" s="4">
        <f t="shared" ca="1" si="323"/>
        <v>0.62792367630439005</v>
      </c>
      <c r="P3771" s="4">
        <f t="shared" ca="1" si="324"/>
        <v>0.32635914094214735</v>
      </c>
      <c r="Q3771" s="4">
        <f t="shared" ca="1" si="325"/>
        <v>1913.3772484790929</v>
      </c>
      <c r="R3771" s="4">
        <f t="shared" ca="1" si="326"/>
        <v>-10.292795520907021</v>
      </c>
      <c r="S3771" s="4">
        <f t="shared" ca="1" si="327"/>
        <v>-5.167188328423074</v>
      </c>
    </row>
    <row r="3772" spans="15:19" x14ac:dyDescent="0.2">
      <c r="O3772" s="4">
        <f t="shared" ca="1" si="323"/>
        <v>0.26709790833101132</v>
      </c>
      <c r="P3772" s="4">
        <f t="shared" ca="1" si="324"/>
        <v>-0.62161384248112206</v>
      </c>
      <c r="Q3772" s="4">
        <f t="shared" ca="1" si="325"/>
        <v>1942.0960479228522</v>
      </c>
      <c r="R3772" s="4">
        <f t="shared" ca="1" si="326"/>
        <v>18.42600392285226</v>
      </c>
      <c r="S3772" s="4">
        <f t="shared" ca="1" si="327"/>
        <v>9.4656308416396353</v>
      </c>
    </row>
    <row r="3773" spans="15:19" x14ac:dyDescent="0.2">
      <c r="O3773" s="4">
        <f t="shared" ca="1" si="323"/>
        <v>0.42834696897885582</v>
      </c>
      <c r="P3773" s="4">
        <f t="shared" ca="1" si="324"/>
        <v>-0.18058422623619627</v>
      </c>
      <c r="Q3773" s="4">
        <f t="shared" ca="1" si="325"/>
        <v>1928.7350752799841</v>
      </c>
      <c r="R3773" s="4">
        <f t="shared" ca="1" si="326"/>
        <v>5.0650312799841686</v>
      </c>
      <c r="S3773" s="4">
        <f t="shared" ca="1" si="327"/>
        <v>2.5744116199248643</v>
      </c>
    </row>
    <row r="3774" spans="15:19" x14ac:dyDescent="0.2">
      <c r="O3774" s="4">
        <f t="shared" ca="1" si="323"/>
        <v>0.9868018659813429</v>
      </c>
      <c r="P3774" s="4">
        <f t="shared" ca="1" si="324"/>
        <v>2.2203315756256163</v>
      </c>
      <c r="Q3774" s="4">
        <f t="shared" ca="1" si="325"/>
        <v>1855.9994376608317</v>
      </c>
      <c r="R3774" s="4">
        <f t="shared" ca="1" si="326"/>
        <v>-67.670606339168216</v>
      </c>
      <c r="S3774" s="4">
        <f t="shared" ca="1" si="327"/>
        <v>-32.391427188266732</v>
      </c>
    </row>
    <row r="3775" spans="15:19" x14ac:dyDescent="0.2">
      <c r="O3775" s="4">
        <f t="shared" ca="1" si="323"/>
        <v>1.5968759851899605E-2</v>
      </c>
      <c r="P3775" s="4">
        <f t="shared" ca="1" si="324"/>
        <v>-2.1451917407343641</v>
      </c>
      <c r="Q3775" s="4">
        <f t="shared" ca="1" si="325"/>
        <v>1988.2527727051051</v>
      </c>
      <c r="R3775" s="4">
        <f t="shared" ca="1" si="326"/>
        <v>64.582728705105183</v>
      </c>
      <c r="S3775" s="4">
        <f t="shared" ca="1" si="327"/>
        <v>34.390266628573649</v>
      </c>
    </row>
    <row r="3776" spans="15:19" x14ac:dyDescent="0.2">
      <c r="O3776" s="4">
        <f t="shared" ca="1" si="323"/>
        <v>0.44232431621216206</v>
      </c>
      <c r="P3776" s="4">
        <f t="shared" ca="1" si="324"/>
        <v>-0.14507883028571925</v>
      </c>
      <c r="Q3776" s="4">
        <f t="shared" ca="1" si="325"/>
        <v>1927.6594408860685</v>
      </c>
      <c r="R3776" s="4">
        <f t="shared" ca="1" si="326"/>
        <v>3.9893968860685618</v>
      </c>
      <c r="S3776" s="4">
        <f t="shared" ca="1" si="327"/>
        <v>2.0259504032590629</v>
      </c>
    </row>
    <row r="3777" spans="15:19" x14ac:dyDescent="0.2">
      <c r="O3777" s="4">
        <f t="shared" ca="1" si="323"/>
        <v>0.36700551712938145</v>
      </c>
      <c r="P3777" s="4">
        <f t="shared" ca="1" si="324"/>
        <v>-0.33979483971454821</v>
      </c>
      <c r="Q3777" s="4">
        <f t="shared" ca="1" si="325"/>
        <v>1933.5583537465197</v>
      </c>
      <c r="R3777" s="4">
        <f t="shared" ca="1" si="326"/>
        <v>9.8883097465197807</v>
      </c>
      <c r="S3777" s="4">
        <f t="shared" ca="1" si="327"/>
        <v>5.045361936092025</v>
      </c>
    </row>
    <row r="3778" spans="15:19" x14ac:dyDescent="0.2">
      <c r="O3778" s="4">
        <f t="shared" ca="1" si="323"/>
        <v>0.70688798829933941</v>
      </c>
      <c r="P3778" s="4">
        <f t="shared" ca="1" si="324"/>
        <v>0.54431602196453654</v>
      </c>
      <c r="Q3778" s="4">
        <f t="shared" ca="1" si="325"/>
        <v>1906.7742544455864</v>
      </c>
      <c r="R3778" s="4">
        <f t="shared" ca="1" si="326"/>
        <v>-16.895789554413568</v>
      </c>
      <c r="S3778" s="4">
        <f t="shared" ca="1" si="327"/>
        <v>-8.4366090475952298</v>
      </c>
    </row>
    <row r="3779" spans="15:19" x14ac:dyDescent="0.2">
      <c r="O3779" s="4">
        <f t="shared" ref="O3779:O3842" ca="1" si="328">RAND()</f>
        <v>5.9698761252717891E-2</v>
      </c>
      <c r="P3779" s="4">
        <f t="shared" ref="P3779:P3842" ca="1" si="329">NORMSINV(O3779)</f>
        <v>-1.5573073866324896</v>
      </c>
      <c r="Q3779" s="4">
        <f t="shared" ref="Q3779:Q3842" ca="1" si="330">$B$4*(1+$B$17-$B$6/SQRT(252)*P3779)</f>
        <v>1970.4428422990641</v>
      </c>
      <c r="R3779" s="4">
        <f t="shared" ref="R3779:R3842" ca="1" si="331">Q3779-$B$4</f>
        <v>46.772798299064107</v>
      </c>
      <c r="S3779" s="4">
        <f t="shared" ref="S3779:S3842" ca="1" si="332">R3779*$B$12+0.5*$B$13*R3779^2</f>
        <v>24.567391805801314</v>
      </c>
    </row>
    <row r="3780" spans="15:19" x14ac:dyDescent="0.2">
      <c r="O3780" s="4">
        <f t="shared" ca="1" si="328"/>
        <v>0.47710143309909026</v>
      </c>
      <c r="P3780" s="4">
        <f t="shared" ca="1" si="329"/>
        <v>-5.742974853371962E-2</v>
      </c>
      <c r="Q3780" s="4">
        <f t="shared" ca="1" si="330"/>
        <v>1925.004115845923</v>
      </c>
      <c r="R3780" s="4">
        <f t="shared" ca="1" si="331"/>
        <v>1.3340718459230629</v>
      </c>
      <c r="S3780" s="4">
        <f t="shared" ca="1" si="332"/>
        <v>0.6760447160280505</v>
      </c>
    </row>
    <row r="3781" spans="15:19" x14ac:dyDescent="0.2">
      <c r="O3781" s="4">
        <f t="shared" ca="1" si="328"/>
        <v>0.37828321751164762</v>
      </c>
      <c r="P3781" s="4">
        <f t="shared" ca="1" si="329"/>
        <v>-0.30999279552673381</v>
      </c>
      <c r="Q3781" s="4">
        <f t="shared" ca="1" si="330"/>
        <v>1932.6555021410306</v>
      </c>
      <c r="R3781" s="4">
        <f t="shared" ca="1" si="331"/>
        <v>8.9854581410306764</v>
      </c>
      <c r="S3781" s="4">
        <f t="shared" ca="1" si="332"/>
        <v>4.5813930642891805</v>
      </c>
    </row>
    <row r="3782" spans="15:19" x14ac:dyDescent="0.2">
      <c r="O3782" s="4">
        <f t="shared" ca="1" si="328"/>
        <v>0.31279656912942566</v>
      </c>
      <c r="P3782" s="4">
        <f t="shared" ca="1" si="329"/>
        <v>-0.48793887407282943</v>
      </c>
      <c r="Q3782" s="4">
        <f t="shared" ca="1" si="330"/>
        <v>1938.0463706899575</v>
      </c>
      <c r="R3782" s="4">
        <f t="shared" ca="1" si="331"/>
        <v>14.376326689957523</v>
      </c>
      <c r="S3782" s="4">
        <f t="shared" ca="1" si="332"/>
        <v>7.3615699517283497</v>
      </c>
    </row>
    <row r="3783" spans="15:19" x14ac:dyDescent="0.2">
      <c r="O3783" s="4">
        <f t="shared" ca="1" si="328"/>
        <v>0.91074627564840027</v>
      </c>
      <c r="P3783" s="4">
        <f t="shared" ca="1" si="329"/>
        <v>1.3453648248903756</v>
      </c>
      <c r="Q3783" s="4">
        <f t="shared" ca="1" si="330"/>
        <v>1882.5065165267106</v>
      </c>
      <c r="R3783" s="4">
        <f t="shared" ca="1" si="331"/>
        <v>-41.163527473289378</v>
      </c>
      <c r="S3783" s="4">
        <f t="shared" ca="1" si="332"/>
        <v>-20.147628051691711</v>
      </c>
    </row>
    <row r="3784" spans="15:19" x14ac:dyDescent="0.2">
      <c r="O3784" s="4">
        <f t="shared" ca="1" si="328"/>
        <v>0.37639972349458861</v>
      </c>
      <c r="P3784" s="4">
        <f t="shared" ca="1" si="329"/>
        <v>-0.31495022448498111</v>
      </c>
      <c r="Q3784" s="4">
        <f t="shared" ca="1" si="330"/>
        <v>1932.8056872312159</v>
      </c>
      <c r="R3784" s="4">
        <f t="shared" ca="1" si="331"/>
        <v>9.1356432312159086</v>
      </c>
      <c r="S3784" s="4">
        <f t="shared" ca="1" si="332"/>
        <v>4.6585260747211095</v>
      </c>
    </row>
    <row r="3785" spans="15:19" x14ac:dyDescent="0.2">
      <c r="O3785" s="4">
        <f t="shared" ca="1" si="328"/>
        <v>0.57640404465830508</v>
      </c>
      <c r="P3785" s="4">
        <f t="shared" ca="1" si="329"/>
        <v>0.19270256990800119</v>
      </c>
      <c r="Q3785" s="4">
        <f t="shared" ca="1" si="330"/>
        <v>1917.4263683643549</v>
      </c>
      <c r="R3785" s="4">
        <f t="shared" ca="1" si="331"/>
        <v>-6.2436756356451042</v>
      </c>
      <c r="S3785" s="4">
        <f t="shared" ca="1" si="332"/>
        <v>-3.1447407857404182</v>
      </c>
    </row>
    <row r="3786" spans="15:19" x14ac:dyDescent="0.2">
      <c r="O3786" s="4">
        <f t="shared" ca="1" si="328"/>
        <v>0.90034669000776757</v>
      </c>
      <c r="P3786" s="4">
        <f t="shared" ca="1" si="329"/>
        <v>1.2835295320709128</v>
      </c>
      <c r="Q3786" s="4">
        <f t="shared" ca="1" si="330"/>
        <v>1884.3798139772512</v>
      </c>
      <c r="R3786" s="4">
        <f t="shared" ca="1" si="331"/>
        <v>-39.290230022748801</v>
      </c>
      <c r="S3786" s="4">
        <f t="shared" ca="1" si="332"/>
        <v>-19.260697490984121</v>
      </c>
    </row>
    <row r="3787" spans="15:19" x14ac:dyDescent="0.2">
      <c r="O3787" s="4">
        <f t="shared" ca="1" si="328"/>
        <v>0.56999632688145463</v>
      </c>
      <c r="P3787" s="4">
        <f t="shared" ca="1" si="329"/>
        <v>0.17636481331906753</v>
      </c>
      <c r="Q3787" s="4">
        <f t="shared" ca="1" si="330"/>
        <v>1917.9213199748365</v>
      </c>
      <c r="R3787" s="4">
        <f t="shared" ca="1" si="331"/>
        <v>-5.748724025163483</v>
      </c>
      <c r="S3787" s="4">
        <f t="shared" ca="1" si="332"/>
        <v>-2.8966076560235692</v>
      </c>
    </row>
    <row r="3788" spans="15:19" x14ac:dyDescent="0.2">
      <c r="O3788" s="4">
        <f t="shared" ca="1" si="328"/>
        <v>7.7860960252953304E-2</v>
      </c>
      <c r="P3788" s="4">
        <f t="shared" ca="1" si="329"/>
        <v>-1.4196077067895709</v>
      </c>
      <c r="Q3788" s="4">
        <f t="shared" ca="1" si="330"/>
        <v>1966.2712366119504</v>
      </c>
      <c r="R3788" s="4">
        <f t="shared" ca="1" si="331"/>
        <v>42.60119261195041</v>
      </c>
      <c r="S3788" s="4">
        <f t="shared" ca="1" si="332"/>
        <v>22.30391528601346</v>
      </c>
    </row>
    <row r="3789" spans="15:19" x14ac:dyDescent="0.2">
      <c r="O3789" s="4">
        <f t="shared" ca="1" si="328"/>
        <v>0.62502439529184239</v>
      </c>
      <c r="P3789" s="4">
        <f t="shared" ca="1" si="329"/>
        <v>0.3187036990065541</v>
      </c>
      <c r="Q3789" s="4">
        <f t="shared" ca="1" si="330"/>
        <v>1913.6091697526379</v>
      </c>
      <c r="R3789" s="4">
        <f t="shared" ca="1" si="331"/>
        <v>-10.060874247362108</v>
      </c>
      <c r="S3789" s="4">
        <f t="shared" ca="1" si="332"/>
        <v>-5.0517090576329133</v>
      </c>
    </row>
    <row r="3790" spans="15:19" x14ac:dyDescent="0.2">
      <c r="O3790" s="4">
        <f t="shared" ca="1" si="328"/>
        <v>0.55430123301392686</v>
      </c>
      <c r="P3790" s="4">
        <f t="shared" ca="1" si="329"/>
        <v>0.1365360419444443</v>
      </c>
      <c r="Q3790" s="4">
        <f t="shared" ca="1" si="330"/>
        <v>1919.1279308352732</v>
      </c>
      <c r="R3790" s="4">
        <f t="shared" ca="1" si="331"/>
        <v>-4.542113164726743</v>
      </c>
      <c r="S3790" s="4">
        <f t="shared" ca="1" si="332"/>
        <v>-2.2908640130275275</v>
      </c>
    </row>
    <row r="3791" spans="15:19" x14ac:dyDescent="0.2">
      <c r="O3791" s="4">
        <f t="shared" ca="1" si="328"/>
        <v>0.82605491732857239</v>
      </c>
      <c r="P3791" s="4">
        <f t="shared" ca="1" si="329"/>
        <v>0.93868954013635664</v>
      </c>
      <c r="Q3791" s="4">
        <f t="shared" ca="1" si="330"/>
        <v>1894.8267262223592</v>
      </c>
      <c r="R3791" s="4">
        <f t="shared" ca="1" si="331"/>
        <v>-28.843317777640777</v>
      </c>
      <c r="S3791" s="4">
        <f t="shared" ca="1" si="332"/>
        <v>-14.262114034134603</v>
      </c>
    </row>
    <row r="3792" spans="15:19" x14ac:dyDescent="0.2">
      <c r="O3792" s="4">
        <f t="shared" ca="1" si="328"/>
        <v>0.81153324129162363</v>
      </c>
      <c r="P3792" s="4">
        <f t="shared" ca="1" si="329"/>
        <v>0.88356048599604631</v>
      </c>
      <c r="Q3792" s="4">
        <f t="shared" ca="1" si="330"/>
        <v>1896.4968584698654</v>
      </c>
      <c r="R3792" s="4">
        <f t="shared" ca="1" si="331"/>
        <v>-27.17318553013456</v>
      </c>
      <c r="S3792" s="4">
        <f t="shared" ca="1" si="332"/>
        <v>-13.454760080277335</v>
      </c>
    </row>
    <row r="3793" spans="15:19" x14ac:dyDescent="0.2">
      <c r="O3793" s="4">
        <f t="shared" ca="1" si="328"/>
        <v>0.9862443834736444</v>
      </c>
      <c r="P3793" s="4">
        <f t="shared" ca="1" si="329"/>
        <v>2.2041864678834941</v>
      </c>
      <c r="Q3793" s="4">
        <f t="shared" ca="1" si="330"/>
        <v>1856.4885529830526</v>
      </c>
      <c r="R3793" s="4">
        <f t="shared" ca="1" si="331"/>
        <v>-67.181491016947348</v>
      </c>
      <c r="S3793" s="4">
        <f t="shared" ca="1" si="332"/>
        <v>-32.170681785736257</v>
      </c>
    </row>
    <row r="3794" spans="15:19" x14ac:dyDescent="0.2">
      <c r="O3794" s="4">
        <f t="shared" ca="1" si="328"/>
        <v>0.30811037497081106</v>
      </c>
      <c r="P3794" s="4">
        <f t="shared" ca="1" si="329"/>
        <v>-0.50121367669679617</v>
      </c>
      <c r="Q3794" s="4">
        <f t="shared" ca="1" si="330"/>
        <v>1938.4485302460625</v>
      </c>
      <c r="R3794" s="4">
        <f t="shared" ca="1" si="331"/>
        <v>14.778486246062585</v>
      </c>
      <c r="S3794" s="4">
        <f t="shared" ca="1" si="332"/>
        <v>7.569919898665284</v>
      </c>
    </row>
    <row r="3795" spans="15:19" x14ac:dyDescent="0.2">
      <c r="O3795" s="4">
        <f t="shared" ca="1" si="328"/>
        <v>0.95507518546623638</v>
      </c>
      <c r="P3795" s="4">
        <f t="shared" ca="1" si="329"/>
        <v>1.6961914503560489</v>
      </c>
      <c r="Q3795" s="4">
        <f t="shared" ca="1" si="330"/>
        <v>1871.878239484578</v>
      </c>
      <c r="R3795" s="4">
        <f t="shared" ca="1" si="331"/>
        <v>-51.791804515421973</v>
      </c>
      <c r="S3795" s="4">
        <f t="shared" ca="1" si="332"/>
        <v>-25.12559990796484</v>
      </c>
    </row>
    <row r="3796" spans="15:19" x14ac:dyDescent="0.2">
      <c r="O3796" s="4">
        <f t="shared" ca="1" si="328"/>
        <v>0.67572111638019272</v>
      </c>
      <c r="P3796" s="4">
        <f t="shared" ca="1" si="329"/>
        <v>0.45576667938311533</v>
      </c>
      <c r="Q3796" s="4">
        <f t="shared" ca="1" si="330"/>
        <v>1909.4568528475886</v>
      </c>
      <c r="R3796" s="4">
        <f t="shared" ca="1" si="331"/>
        <v>-14.213191152411355</v>
      </c>
      <c r="S3796" s="4">
        <f t="shared" ca="1" si="332"/>
        <v>-7.112622568878515</v>
      </c>
    </row>
    <row r="3797" spans="15:19" x14ac:dyDescent="0.2">
      <c r="O3797" s="4">
        <f t="shared" ca="1" si="328"/>
        <v>0.1327888705355702</v>
      </c>
      <c r="P3797" s="4">
        <f t="shared" ca="1" si="329"/>
        <v>-1.1133043447885429</v>
      </c>
      <c r="Q3797" s="4">
        <f t="shared" ca="1" si="330"/>
        <v>1956.9917898596909</v>
      </c>
      <c r="R3797" s="4">
        <f t="shared" ca="1" si="331"/>
        <v>33.321745859690964</v>
      </c>
      <c r="S3797" s="4">
        <f t="shared" ca="1" si="332"/>
        <v>17.319778871622713</v>
      </c>
    </row>
    <row r="3798" spans="15:19" x14ac:dyDescent="0.2">
      <c r="O3798" s="4">
        <f t="shared" ca="1" si="328"/>
        <v>0.26536665082306754</v>
      </c>
      <c r="P3798" s="4">
        <f t="shared" ca="1" si="329"/>
        <v>-0.62688701177513018</v>
      </c>
      <c r="Q3798" s="4">
        <f t="shared" ca="1" si="330"/>
        <v>1942.2557983524905</v>
      </c>
      <c r="R3798" s="4">
        <f t="shared" ca="1" si="331"/>
        <v>18.58575435249054</v>
      </c>
      <c r="S3798" s="4">
        <f t="shared" ca="1" si="332"/>
        <v>9.5489049293944763</v>
      </c>
    </row>
    <row r="3799" spans="15:19" x14ac:dyDescent="0.2">
      <c r="O3799" s="4">
        <f t="shared" ca="1" si="328"/>
        <v>0.599381718228992</v>
      </c>
      <c r="P3799" s="4">
        <f t="shared" ca="1" si="329"/>
        <v>0.25174708067908308</v>
      </c>
      <c r="Q3799" s="4">
        <f t="shared" ca="1" si="330"/>
        <v>1915.637617532062</v>
      </c>
      <c r="R3799" s="4">
        <f t="shared" ca="1" si="331"/>
        <v>-8.0324264679379667</v>
      </c>
      <c r="S3799" s="4">
        <f t="shared" ca="1" si="332"/>
        <v>-4.0398288993825906</v>
      </c>
    </row>
    <row r="3800" spans="15:19" x14ac:dyDescent="0.2">
      <c r="O3800" s="4">
        <f t="shared" ca="1" si="328"/>
        <v>0.54117932078971842</v>
      </c>
      <c r="P3800" s="4">
        <f t="shared" ca="1" si="329"/>
        <v>0.10340523383037332</v>
      </c>
      <c r="Q3800" s="4">
        <f t="shared" ca="1" si="330"/>
        <v>1920.1316271961146</v>
      </c>
      <c r="R3800" s="4">
        <f t="shared" ca="1" si="331"/>
        <v>-3.5384168038854114</v>
      </c>
      <c r="S3800" s="4">
        <f t="shared" ca="1" si="332"/>
        <v>-1.7860845777058871</v>
      </c>
    </row>
    <row r="3801" spans="15:19" x14ac:dyDescent="0.2">
      <c r="O3801" s="4">
        <f t="shared" ca="1" si="328"/>
        <v>0.52376461264321772</v>
      </c>
      <c r="P3801" s="4">
        <f t="shared" ca="1" si="329"/>
        <v>5.9604323656742224E-2</v>
      </c>
      <c r="Q3801" s="4">
        <f t="shared" ca="1" si="330"/>
        <v>1921.4585738251083</v>
      </c>
      <c r="R3801" s="4">
        <f t="shared" ca="1" si="331"/>
        <v>-2.2114701748917014</v>
      </c>
      <c r="S3801" s="4">
        <f t="shared" ca="1" si="332"/>
        <v>-1.1174770507799503</v>
      </c>
    </row>
    <row r="3802" spans="15:19" x14ac:dyDescent="0.2">
      <c r="O3802" s="4">
        <f t="shared" ca="1" si="328"/>
        <v>0.59108569569931335</v>
      </c>
      <c r="P3802" s="4">
        <f t="shared" ca="1" si="329"/>
        <v>0.23033867697163796</v>
      </c>
      <c r="Q3802" s="4">
        <f t="shared" ca="1" si="330"/>
        <v>1916.2861841718673</v>
      </c>
      <c r="R3802" s="4">
        <f t="shared" ca="1" si="331"/>
        <v>-7.3838598281326995</v>
      </c>
      <c r="S3802" s="4">
        <f t="shared" ca="1" si="332"/>
        <v>-3.7155881908404997</v>
      </c>
    </row>
    <row r="3803" spans="15:19" x14ac:dyDescent="0.2">
      <c r="O3803" s="4">
        <f t="shared" ca="1" si="328"/>
        <v>0.45305917516358185</v>
      </c>
      <c r="P3803" s="4">
        <f t="shared" ca="1" si="329"/>
        <v>-0.11793602282100067</v>
      </c>
      <c r="Q3803" s="4">
        <f t="shared" ca="1" si="330"/>
        <v>1926.8371507390384</v>
      </c>
      <c r="R3803" s="4">
        <f t="shared" ca="1" si="331"/>
        <v>3.1671067390384451</v>
      </c>
      <c r="S3803" s="4">
        <f t="shared" ca="1" si="332"/>
        <v>1.6073035871797898</v>
      </c>
    </row>
    <row r="3804" spans="15:19" x14ac:dyDescent="0.2">
      <c r="O3804" s="4">
        <f t="shared" ca="1" si="328"/>
        <v>0.42646193588059067</v>
      </c>
      <c r="P3804" s="4">
        <f t="shared" ca="1" si="329"/>
        <v>-0.18538908140491922</v>
      </c>
      <c r="Q3804" s="4">
        <f t="shared" ca="1" si="330"/>
        <v>1928.8806381539898</v>
      </c>
      <c r="R3804" s="4">
        <f t="shared" ca="1" si="331"/>
        <v>5.2105941539898595</v>
      </c>
      <c r="S3804" s="4">
        <f t="shared" ca="1" si="332"/>
        <v>2.6487058461406336</v>
      </c>
    </row>
    <row r="3805" spans="15:19" x14ac:dyDescent="0.2">
      <c r="O3805" s="4">
        <f t="shared" ca="1" si="328"/>
        <v>0.43309709599921209</v>
      </c>
      <c r="P3805" s="4">
        <f t="shared" ca="1" si="329"/>
        <v>-0.16849459938671704</v>
      </c>
      <c r="Q3805" s="4">
        <f t="shared" ca="1" si="330"/>
        <v>1928.3688205713465</v>
      </c>
      <c r="R3805" s="4">
        <f t="shared" ca="1" si="331"/>
        <v>4.6987765713465706</v>
      </c>
      <c r="S3805" s="4">
        <f t="shared" ca="1" si="332"/>
        <v>2.3875542029041323</v>
      </c>
    </row>
    <row r="3806" spans="15:19" x14ac:dyDescent="0.2">
      <c r="O3806" s="4">
        <f t="shared" ca="1" si="328"/>
        <v>0.1984431116171792</v>
      </c>
      <c r="P3806" s="4">
        <f t="shared" ca="1" si="329"/>
        <v>-0.84719538895974078</v>
      </c>
      <c r="Q3806" s="4">
        <f t="shared" ca="1" si="330"/>
        <v>1948.9300308578279</v>
      </c>
      <c r="R3806" s="4">
        <f t="shared" ca="1" si="331"/>
        <v>25.259986857827926</v>
      </c>
      <c r="S3806" s="4">
        <f t="shared" ca="1" si="332"/>
        <v>13.046590180241266</v>
      </c>
    </row>
    <row r="3807" spans="15:19" x14ac:dyDescent="0.2">
      <c r="O3807" s="4">
        <f t="shared" ca="1" si="328"/>
        <v>0.21511403082639879</v>
      </c>
      <c r="P3807" s="4">
        <f t="shared" ca="1" si="329"/>
        <v>-0.78880145043195549</v>
      </c>
      <c r="Q3807" s="4">
        <f t="shared" ca="1" si="330"/>
        <v>1947.1609890827608</v>
      </c>
      <c r="R3807" s="4">
        <f t="shared" ca="1" si="331"/>
        <v>23.490945082760845</v>
      </c>
      <c r="S3807" s="4">
        <f t="shared" ca="1" si="332"/>
        <v>12.115977264792953</v>
      </c>
    </row>
    <row r="3808" spans="15:19" x14ac:dyDescent="0.2">
      <c r="O3808" s="4">
        <f t="shared" ca="1" si="328"/>
        <v>4.704037267992045E-2</v>
      </c>
      <c r="P3808" s="4">
        <f t="shared" ca="1" si="329"/>
        <v>-1.6742537222865408</v>
      </c>
      <c r="Q3808" s="4">
        <f t="shared" ca="1" si="330"/>
        <v>1973.9857263454037</v>
      </c>
      <c r="R3808" s="4">
        <f t="shared" ca="1" si="331"/>
        <v>50.315682345403729</v>
      </c>
      <c r="S3808" s="4">
        <f t="shared" ca="1" si="332"/>
        <v>26.500855328338631</v>
      </c>
    </row>
    <row r="3809" spans="15:19" x14ac:dyDescent="0.2">
      <c r="O3809" s="4">
        <f t="shared" ca="1" si="328"/>
        <v>0.75784278002465655</v>
      </c>
      <c r="P3809" s="4">
        <f t="shared" ca="1" si="329"/>
        <v>0.69938022949156786</v>
      </c>
      <c r="Q3809" s="4">
        <f t="shared" ca="1" si="330"/>
        <v>1902.0765911632502</v>
      </c>
      <c r="R3809" s="4">
        <f t="shared" ca="1" si="331"/>
        <v>-21.593452836749748</v>
      </c>
      <c r="S3809" s="4">
        <f t="shared" ca="1" si="332"/>
        <v>-10.741010230807978</v>
      </c>
    </row>
    <row r="3810" spans="15:19" x14ac:dyDescent="0.2">
      <c r="O3810" s="4">
        <f t="shared" ca="1" si="328"/>
        <v>0.87570274567091388</v>
      </c>
      <c r="P3810" s="4">
        <f t="shared" ca="1" si="329"/>
        <v>1.1537699218494564</v>
      </c>
      <c r="Q3810" s="4">
        <f t="shared" ca="1" si="330"/>
        <v>1888.3108756077138</v>
      </c>
      <c r="R3810" s="4">
        <f t="shared" ca="1" si="331"/>
        <v>-35.359168392286165</v>
      </c>
      <c r="S3810" s="4">
        <f t="shared" ca="1" si="332"/>
        <v>-17.39021061769327</v>
      </c>
    </row>
    <row r="3811" spans="15:19" x14ac:dyDescent="0.2">
      <c r="O3811" s="4">
        <f t="shared" ca="1" si="328"/>
        <v>0.53519998273498481</v>
      </c>
      <c r="P3811" s="4">
        <f t="shared" ca="1" si="329"/>
        <v>8.8348069280730759E-2</v>
      </c>
      <c r="Q3811" s="4">
        <f t="shared" ca="1" si="330"/>
        <v>1920.5877833276229</v>
      </c>
      <c r="R3811" s="4">
        <f t="shared" ca="1" si="331"/>
        <v>-3.0822606723770605</v>
      </c>
      <c r="S3811" s="4">
        <f t="shared" ca="1" si="332"/>
        <v>-1.5564032504848182</v>
      </c>
    </row>
    <row r="3812" spans="15:19" x14ac:dyDescent="0.2">
      <c r="O3812" s="4">
        <f t="shared" ca="1" si="328"/>
        <v>0.62539484097281695</v>
      </c>
      <c r="P3812" s="4">
        <f t="shared" ca="1" si="329"/>
        <v>0.31968079728446797</v>
      </c>
      <c r="Q3812" s="4">
        <f t="shared" ca="1" si="330"/>
        <v>1913.5795686036904</v>
      </c>
      <c r="R3812" s="4">
        <f t="shared" ca="1" si="331"/>
        <v>-10.090475396309557</v>
      </c>
      <c r="S3812" s="4">
        <f t="shared" ca="1" si="332"/>
        <v>-5.0664506311145692</v>
      </c>
    </row>
    <row r="3813" spans="15:19" x14ac:dyDescent="0.2">
      <c r="O3813" s="4">
        <f t="shared" ca="1" si="328"/>
        <v>0.38928373719966958</v>
      </c>
      <c r="P3813" s="4">
        <f t="shared" ca="1" si="329"/>
        <v>-0.28118634896697242</v>
      </c>
      <c r="Q3813" s="4">
        <f t="shared" ca="1" si="330"/>
        <v>1931.78281212148</v>
      </c>
      <c r="R3813" s="4">
        <f t="shared" ca="1" si="331"/>
        <v>8.1127681214800305</v>
      </c>
      <c r="S3813" s="4">
        <f t="shared" ca="1" si="332"/>
        <v>4.1335547648036224</v>
      </c>
    </row>
    <row r="3814" spans="15:19" x14ac:dyDescent="0.2">
      <c r="O3814" s="4">
        <f t="shared" ca="1" si="328"/>
        <v>0.60450721203827007</v>
      </c>
      <c r="P3814" s="4">
        <f t="shared" ca="1" si="329"/>
        <v>0.26503100647113981</v>
      </c>
      <c r="Q3814" s="4">
        <f t="shared" ca="1" si="330"/>
        <v>1915.2351815899844</v>
      </c>
      <c r="R3814" s="4">
        <f t="shared" ca="1" si="331"/>
        <v>-8.4348624100155121</v>
      </c>
      <c r="S3814" s="4">
        <f t="shared" ca="1" si="332"/>
        <v>-4.240848255555707</v>
      </c>
    </row>
    <row r="3815" spans="15:19" x14ac:dyDescent="0.2">
      <c r="O3815" s="4">
        <f t="shared" ca="1" si="328"/>
        <v>8.005134776042544E-2</v>
      </c>
      <c r="P3815" s="4">
        <f t="shared" ca="1" si="329"/>
        <v>-1.404726254537715</v>
      </c>
      <c r="Q3815" s="4">
        <f t="shared" ca="1" si="330"/>
        <v>1965.820403676702</v>
      </c>
      <c r="R3815" s="4">
        <f t="shared" ca="1" si="331"/>
        <v>42.15035967670201</v>
      </c>
      <c r="S3815" s="4">
        <f t="shared" ca="1" si="332"/>
        <v>22.060145615321581</v>
      </c>
    </row>
    <row r="3816" spans="15:19" x14ac:dyDescent="0.2">
      <c r="O3816" s="4">
        <f t="shared" ca="1" si="328"/>
        <v>0.15822982445793543</v>
      </c>
      <c r="P3816" s="4">
        <f t="shared" ca="1" si="329"/>
        <v>-1.0017597340553626</v>
      </c>
      <c r="Q3816" s="4">
        <f t="shared" ca="1" si="330"/>
        <v>1953.6125508299981</v>
      </c>
      <c r="R3816" s="4">
        <f t="shared" ca="1" si="331"/>
        <v>29.942506829998138</v>
      </c>
      <c r="S3816" s="4">
        <f t="shared" ca="1" si="332"/>
        <v>15.522149668067764</v>
      </c>
    </row>
    <row r="3817" spans="15:19" x14ac:dyDescent="0.2">
      <c r="O3817" s="4">
        <f t="shared" ca="1" si="328"/>
        <v>0.11168029214938802</v>
      </c>
      <c r="P3817" s="4">
        <f t="shared" ca="1" si="329"/>
        <v>-1.2176405856119175</v>
      </c>
      <c r="Q3817" s="4">
        <f t="shared" ca="1" si="330"/>
        <v>1960.1526516430108</v>
      </c>
      <c r="R3817" s="4">
        <f t="shared" ca="1" si="331"/>
        <v>36.482607643010851</v>
      </c>
      <c r="S3817" s="4">
        <f t="shared" ca="1" si="332"/>
        <v>19.009654599490869</v>
      </c>
    </row>
    <row r="3818" spans="15:19" x14ac:dyDescent="0.2">
      <c r="O3818" s="4">
        <f t="shared" ca="1" si="328"/>
        <v>0.32938177315933559</v>
      </c>
      <c r="P3818" s="4">
        <f t="shared" ca="1" si="329"/>
        <v>-0.44162091546100757</v>
      </c>
      <c r="Q3818" s="4">
        <f t="shared" ca="1" si="330"/>
        <v>1936.6431701902829</v>
      </c>
      <c r="R3818" s="4">
        <f t="shared" ca="1" si="331"/>
        <v>12.973126190282983</v>
      </c>
      <c r="S3818" s="4">
        <f t="shared" ca="1" si="332"/>
        <v>6.6356341141765993</v>
      </c>
    </row>
    <row r="3819" spans="15:19" x14ac:dyDescent="0.2">
      <c r="O3819" s="4">
        <f t="shared" ca="1" si="328"/>
        <v>2.0779681172377718E-2</v>
      </c>
      <c r="P3819" s="4">
        <f t="shared" ca="1" si="329"/>
        <v>-2.0379057210929217</v>
      </c>
      <c r="Q3819" s="4">
        <f t="shared" ca="1" si="330"/>
        <v>1985.0025475034593</v>
      </c>
      <c r="R3819" s="4">
        <f t="shared" ca="1" si="331"/>
        <v>61.332503503459293</v>
      </c>
      <c r="S3819" s="4">
        <f t="shared" ca="1" si="332"/>
        <v>32.5783765505982</v>
      </c>
    </row>
    <row r="3820" spans="15:19" x14ac:dyDescent="0.2">
      <c r="O3820" s="4">
        <f t="shared" ca="1" si="328"/>
        <v>0.31391297587346345</v>
      </c>
      <c r="P3820" s="4">
        <f t="shared" ca="1" si="329"/>
        <v>-0.48478910519652141</v>
      </c>
      <c r="Q3820" s="4">
        <f t="shared" ca="1" si="330"/>
        <v>1937.9509485816964</v>
      </c>
      <c r="R3820" s="4">
        <f t="shared" ca="1" si="331"/>
        <v>14.280904581696404</v>
      </c>
      <c r="S3820" s="4">
        <f t="shared" ca="1" si="332"/>
        <v>7.3121532014720456</v>
      </c>
    </row>
    <row r="3821" spans="15:19" x14ac:dyDescent="0.2">
      <c r="O3821" s="4">
        <f t="shared" ca="1" si="328"/>
        <v>0.64464128471931226</v>
      </c>
      <c r="P3821" s="4">
        <f t="shared" ca="1" si="329"/>
        <v>0.37089272952703178</v>
      </c>
      <c r="Q3821" s="4">
        <f t="shared" ca="1" si="330"/>
        <v>1912.0281053901604</v>
      </c>
      <c r="R3821" s="4">
        <f t="shared" ca="1" si="331"/>
        <v>-11.641938609839599</v>
      </c>
      <c r="S3821" s="4">
        <f t="shared" ca="1" si="332"/>
        <v>-5.8380913365173486</v>
      </c>
    </row>
    <row r="3822" spans="15:19" x14ac:dyDescent="0.2">
      <c r="O3822" s="4">
        <f t="shared" ca="1" si="328"/>
        <v>0.84209608250717938</v>
      </c>
      <c r="P3822" s="4">
        <f t="shared" ca="1" si="329"/>
        <v>1.0031099074117105</v>
      </c>
      <c r="Q3822" s="4">
        <f t="shared" ca="1" si="330"/>
        <v>1892.8751140559521</v>
      </c>
      <c r="R3822" s="4">
        <f t="shared" ca="1" si="331"/>
        <v>-30.794929944047908</v>
      </c>
      <c r="S3822" s="4">
        <f t="shared" ca="1" si="332"/>
        <v>-15.20266014434954</v>
      </c>
    </row>
    <row r="3823" spans="15:19" x14ac:dyDescent="0.2">
      <c r="O3823" s="4">
        <f t="shared" ca="1" si="328"/>
        <v>0.14411891744179595</v>
      </c>
      <c r="P3823" s="4">
        <f t="shared" ca="1" si="329"/>
        <v>-1.0619952647503259</v>
      </c>
      <c r="Q3823" s="4">
        <f t="shared" ca="1" si="330"/>
        <v>1955.4373835580047</v>
      </c>
      <c r="R3823" s="4">
        <f t="shared" ca="1" si="331"/>
        <v>31.767339558004778</v>
      </c>
      <c r="S3823" s="4">
        <f t="shared" ca="1" si="332"/>
        <v>16.491737994531512</v>
      </c>
    </row>
    <row r="3824" spans="15:19" x14ac:dyDescent="0.2">
      <c r="O3824" s="4">
        <f t="shared" ca="1" si="328"/>
        <v>0.12848573259368667</v>
      </c>
      <c r="P3824" s="4">
        <f t="shared" ca="1" si="329"/>
        <v>-1.1335783346455273</v>
      </c>
      <c r="Q3824" s="4">
        <f t="shared" ca="1" si="330"/>
        <v>1957.6059894822633</v>
      </c>
      <c r="R3824" s="4">
        <f t="shared" ca="1" si="331"/>
        <v>33.935945482263378</v>
      </c>
      <c r="S3824" s="4">
        <f t="shared" ca="1" si="332"/>
        <v>17.647508623282132</v>
      </c>
    </row>
    <row r="3825" spans="15:19" x14ac:dyDescent="0.2">
      <c r="O3825" s="4">
        <f t="shared" ca="1" si="328"/>
        <v>0.17879450664020602</v>
      </c>
      <c r="P3825" s="4">
        <f t="shared" ca="1" si="329"/>
        <v>-0.91996889653411107</v>
      </c>
      <c r="Q3825" s="4">
        <f t="shared" ca="1" si="330"/>
        <v>1951.1347010387226</v>
      </c>
      <c r="R3825" s="4">
        <f t="shared" ca="1" si="331"/>
        <v>27.464657038722635</v>
      </c>
      <c r="S3825" s="4">
        <f t="shared" ca="1" si="332"/>
        <v>14.20993373040651</v>
      </c>
    </row>
    <row r="3826" spans="15:19" x14ac:dyDescent="0.2">
      <c r="O3826" s="4">
        <f t="shared" ca="1" si="328"/>
        <v>0.77026436383965102</v>
      </c>
      <c r="P3826" s="4">
        <f t="shared" ca="1" si="329"/>
        <v>0.73971775518035399</v>
      </c>
      <c r="Q3826" s="4">
        <f t="shared" ca="1" si="330"/>
        <v>1900.8545676134538</v>
      </c>
      <c r="R3826" s="4">
        <f t="shared" ca="1" si="331"/>
        <v>-22.815476386546152</v>
      </c>
      <c r="S3826" s="4">
        <f t="shared" ca="1" si="332"/>
        <v>-11.337519380291461</v>
      </c>
    </row>
    <row r="3827" spans="15:19" x14ac:dyDescent="0.2">
      <c r="O3827" s="4">
        <f t="shared" ca="1" si="328"/>
        <v>0.89080310404397955</v>
      </c>
      <c r="P3827" s="4">
        <f t="shared" ca="1" si="329"/>
        <v>1.2308103813025761</v>
      </c>
      <c r="Q3827" s="4">
        <f t="shared" ca="1" si="330"/>
        <v>1885.9769383091009</v>
      </c>
      <c r="R3827" s="4">
        <f t="shared" ca="1" si="331"/>
        <v>-37.693105690899074</v>
      </c>
      <c r="S3827" s="4">
        <f t="shared" ca="1" si="332"/>
        <v>-18.502267469115623</v>
      </c>
    </row>
    <row r="3828" spans="15:19" x14ac:dyDescent="0.2">
      <c r="O3828" s="4">
        <f t="shared" ca="1" si="328"/>
        <v>0.38413613560712445</v>
      </c>
      <c r="P3828" s="4">
        <f t="shared" ca="1" si="329"/>
        <v>-0.29463559038675796</v>
      </c>
      <c r="Q3828" s="4">
        <f t="shared" ca="1" si="330"/>
        <v>1932.1902562931593</v>
      </c>
      <c r="R3828" s="4">
        <f t="shared" ca="1" si="331"/>
        <v>8.5202122931593749</v>
      </c>
      <c r="S3828" s="4">
        <f t="shared" ca="1" si="332"/>
        <v>4.3425657079759157</v>
      </c>
    </row>
    <row r="3829" spans="15:19" x14ac:dyDescent="0.2">
      <c r="O3829" s="4">
        <f t="shared" ca="1" si="328"/>
        <v>9.239625558405129E-2</v>
      </c>
      <c r="P3829" s="4">
        <f t="shared" ca="1" si="329"/>
        <v>-1.3261424691614945</v>
      </c>
      <c r="Q3829" s="4">
        <f t="shared" ca="1" si="330"/>
        <v>1963.4397113877703</v>
      </c>
      <c r="R3829" s="4">
        <f t="shared" ca="1" si="331"/>
        <v>39.769667387770369</v>
      </c>
      <c r="S3829" s="4">
        <f t="shared" ca="1" si="332"/>
        <v>20.775626623831155</v>
      </c>
    </row>
    <row r="3830" spans="15:19" x14ac:dyDescent="0.2">
      <c r="O3830" s="4">
        <f t="shared" ca="1" si="328"/>
        <v>0.2113113403549165</v>
      </c>
      <c r="P3830" s="4">
        <f t="shared" ca="1" si="329"/>
        <v>-0.80187947374881785</v>
      </c>
      <c r="Q3830" s="4">
        <f t="shared" ca="1" si="330"/>
        <v>1947.5571872184939</v>
      </c>
      <c r="R3830" s="4">
        <f t="shared" ca="1" si="331"/>
        <v>23.887143218493975</v>
      </c>
      <c r="S3830" s="4">
        <f t="shared" ca="1" si="332"/>
        <v>12.324177783143821</v>
      </c>
    </row>
    <row r="3831" spans="15:19" x14ac:dyDescent="0.2">
      <c r="O3831" s="4">
        <f t="shared" ca="1" si="328"/>
        <v>0.35954532724200139</v>
      </c>
      <c r="P3831" s="4">
        <f t="shared" ca="1" si="329"/>
        <v>-0.35967437851741513</v>
      </c>
      <c r="Q3831" s="4">
        <f t="shared" ca="1" si="330"/>
        <v>1934.1606034919209</v>
      </c>
      <c r="R3831" s="4">
        <f t="shared" ca="1" si="331"/>
        <v>10.490559491920976</v>
      </c>
      <c r="S3831" s="4">
        <f t="shared" ca="1" si="332"/>
        <v>5.3552226855183509</v>
      </c>
    </row>
    <row r="3832" spans="15:19" x14ac:dyDescent="0.2">
      <c r="O3832" s="4">
        <f t="shared" ca="1" si="328"/>
        <v>0.31473582130304945</v>
      </c>
      <c r="P3832" s="4">
        <f t="shared" ca="1" si="329"/>
        <v>-0.4824706508703499</v>
      </c>
      <c r="Q3832" s="4">
        <f t="shared" ca="1" si="330"/>
        <v>1937.8807111108219</v>
      </c>
      <c r="R3832" s="4">
        <f t="shared" ca="1" si="331"/>
        <v>14.210667110821987</v>
      </c>
      <c r="S3832" s="4">
        <f t="shared" ca="1" si="332"/>
        <v>7.2757836886068352</v>
      </c>
    </row>
    <row r="3833" spans="15:19" x14ac:dyDescent="0.2">
      <c r="O3833" s="4">
        <f t="shared" ca="1" si="328"/>
        <v>0.85403758610100555</v>
      </c>
      <c r="P3833" s="4">
        <f t="shared" ca="1" si="329"/>
        <v>1.0539084631683966</v>
      </c>
      <c r="Q3833" s="4">
        <f t="shared" ca="1" si="330"/>
        <v>1891.3361740647081</v>
      </c>
      <c r="R3833" s="4">
        <f t="shared" ca="1" si="331"/>
        <v>-32.333869935291887</v>
      </c>
      <c r="S3833" s="4">
        <f t="shared" ca="1" si="332"/>
        <v>-15.942139282373269</v>
      </c>
    </row>
    <row r="3834" spans="15:19" x14ac:dyDescent="0.2">
      <c r="O3834" s="4">
        <f t="shared" ca="1" si="328"/>
        <v>0.71946438620525788</v>
      </c>
      <c r="P3834" s="4">
        <f t="shared" ca="1" si="329"/>
        <v>0.58125110713123329</v>
      </c>
      <c r="Q3834" s="4">
        <f t="shared" ca="1" si="330"/>
        <v>1905.655307680342</v>
      </c>
      <c r="R3834" s="4">
        <f t="shared" ca="1" si="331"/>
        <v>-18.014736319657914</v>
      </c>
      <c r="S3834" s="4">
        <f t="shared" ca="1" si="332"/>
        <v>-8.9871295068336519</v>
      </c>
    </row>
    <row r="3835" spans="15:19" x14ac:dyDescent="0.2">
      <c r="O3835" s="4">
        <f t="shared" ca="1" si="328"/>
        <v>0.99236737602972591</v>
      </c>
      <c r="P3835" s="4">
        <f t="shared" ca="1" si="329"/>
        <v>2.4260243042622167</v>
      </c>
      <c r="Q3835" s="4">
        <f t="shared" ca="1" si="330"/>
        <v>1849.7679855793365</v>
      </c>
      <c r="R3835" s="4">
        <f t="shared" ca="1" si="331"/>
        <v>-73.902058420663479</v>
      </c>
      <c r="S3835" s="4">
        <f t="shared" ca="1" si="332"/>
        <v>-35.186731463700838</v>
      </c>
    </row>
    <row r="3836" spans="15:19" x14ac:dyDescent="0.2">
      <c r="O3836" s="4">
        <f t="shared" ca="1" si="328"/>
        <v>0.69849530621512146</v>
      </c>
      <c r="P3836" s="4">
        <f t="shared" ca="1" si="329"/>
        <v>0.52007774717908484</v>
      </c>
      <c r="Q3836" s="4">
        <f t="shared" ca="1" si="330"/>
        <v>1907.5085519040565</v>
      </c>
      <c r="R3836" s="4">
        <f t="shared" ca="1" si="331"/>
        <v>-16.161492095943458</v>
      </c>
      <c r="S3836" s="4">
        <f t="shared" ca="1" si="332"/>
        <v>-8.0747816304256457</v>
      </c>
    </row>
    <row r="3837" spans="15:19" x14ac:dyDescent="0.2">
      <c r="O3837" s="4">
        <f t="shared" ca="1" si="328"/>
        <v>0.2752070372754073</v>
      </c>
      <c r="P3837" s="4">
        <f t="shared" ca="1" si="329"/>
        <v>-0.59713975943105047</v>
      </c>
      <c r="Q3837" s="4">
        <f t="shared" ca="1" si="330"/>
        <v>1941.3546066634751</v>
      </c>
      <c r="R3837" s="4">
        <f t="shared" ca="1" si="331"/>
        <v>17.684562663475162</v>
      </c>
      <c r="S3837" s="4">
        <f t="shared" ca="1" si="332"/>
        <v>9.0794071977211992</v>
      </c>
    </row>
    <row r="3838" spans="15:19" x14ac:dyDescent="0.2">
      <c r="O3838" s="4">
        <f t="shared" ca="1" si="328"/>
        <v>0.74101270827985444</v>
      </c>
      <c r="P3838" s="4">
        <f t="shared" ca="1" si="329"/>
        <v>0.64647067379454715</v>
      </c>
      <c r="Q3838" s="4">
        <f t="shared" ca="1" si="330"/>
        <v>1903.6794838039602</v>
      </c>
      <c r="R3838" s="4">
        <f t="shared" ca="1" si="331"/>
        <v>-19.990560196039723</v>
      </c>
      <c r="S3838" s="4">
        <f t="shared" ca="1" si="332"/>
        <v>-9.9567433564634538</v>
      </c>
    </row>
    <row r="3839" spans="15:19" x14ac:dyDescent="0.2">
      <c r="O3839" s="4">
        <f t="shared" ca="1" si="328"/>
        <v>0.27396267437027511</v>
      </c>
      <c r="P3839" s="4">
        <f t="shared" ca="1" si="329"/>
        <v>-0.60087184255595061</v>
      </c>
      <c r="Q3839" s="4">
        <f t="shared" ca="1" si="330"/>
        <v>1941.4676699560432</v>
      </c>
      <c r="R3839" s="4">
        <f t="shared" ca="1" si="331"/>
        <v>17.797625956043248</v>
      </c>
      <c r="S3839" s="4">
        <f t="shared" ca="1" si="332"/>
        <v>9.1382739969392279</v>
      </c>
    </row>
    <row r="3840" spans="15:19" x14ac:dyDescent="0.2">
      <c r="O3840" s="4">
        <f t="shared" ca="1" si="328"/>
        <v>0.13711459905621526</v>
      </c>
      <c r="P3840" s="4">
        <f t="shared" ca="1" si="329"/>
        <v>-1.0933749711226812</v>
      </c>
      <c r="Q3840" s="4">
        <f t="shared" ca="1" si="330"/>
        <v>1956.3880303693279</v>
      </c>
      <c r="R3840" s="4">
        <f t="shared" ca="1" si="331"/>
        <v>32.717986369327946</v>
      </c>
      <c r="S3840" s="4">
        <f t="shared" ca="1" si="332"/>
        <v>16.997919192822263</v>
      </c>
    </row>
    <row r="3841" spans="15:19" x14ac:dyDescent="0.2">
      <c r="O3841" s="4">
        <f t="shared" ca="1" si="328"/>
        <v>0.42825400186334772</v>
      </c>
      <c r="P3841" s="4">
        <f t="shared" ca="1" si="329"/>
        <v>-0.18082109614804481</v>
      </c>
      <c r="Q3841" s="4">
        <f t="shared" ca="1" si="330"/>
        <v>1928.7422512434468</v>
      </c>
      <c r="R3841" s="4">
        <f t="shared" ca="1" si="331"/>
        <v>5.0722072434468828</v>
      </c>
      <c r="S3841" s="4">
        <f t="shared" ca="1" si="332"/>
        <v>2.5780737749458376</v>
      </c>
    </row>
    <row r="3842" spans="15:19" x14ac:dyDescent="0.2">
      <c r="O3842" s="4">
        <f t="shared" ca="1" si="328"/>
        <v>0.95628366466374315</v>
      </c>
      <c r="P3842" s="4">
        <f t="shared" ca="1" si="329"/>
        <v>1.7090986875175433</v>
      </c>
      <c r="Q3842" s="4">
        <f t="shared" ca="1" si="330"/>
        <v>1871.4872153078388</v>
      </c>
      <c r="R3842" s="4">
        <f t="shared" ca="1" si="331"/>
        <v>-52.182828692161138</v>
      </c>
      <c r="S3842" s="4">
        <f t="shared" ca="1" si="332"/>
        <v>-25.306990127484333</v>
      </c>
    </row>
    <row r="3843" spans="15:19" x14ac:dyDescent="0.2">
      <c r="O3843" s="4">
        <f t="shared" ref="O3843:O3906" ca="1" si="333">RAND()</f>
        <v>0.79783989942585964</v>
      </c>
      <c r="P3843" s="4">
        <f t="shared" ref="P3843:P3906" ca="1" si="334">NORMSINV(O3843)</f>
        <v>0.83393040739298108</v>
      </c>
      <c r="Q3843" s="4">
        <f t="shared" ref="Q3843:Q3906" ca="1" si="335">$B$4*(1+$B$17-$B$6/SQRT(252)*P3843)</f>
        <v>1898.0003994976196</v>
      </c>
      <c r="R3843" s="4">
        <f t="shared" ref="R3843:R3906" ca="1" si="336">Q3843-$B$4</f>
        <v>-25.669644502380379</v>
      </c>
      <c r="S3843" s="4">
        <f t="shared" ref="S3843:S3906" ca="1" si="337">R3843*$B$12+0.5*$B$13*R3843^2</f>
        <v>-12.725995089796118</v>
      </c>
    </row>
    <row r="3844" spans="15:19" x14ac:dyDescent="0.2">
      <c r="O3844" s="4">
        <f t="shared" ca="1" si="333"/>
        <v>0.68229722770398438</v>
      </c>
      <c r="P3844" s="4">
        <f t="shared" ca="1" si="334"/>
        <v>0.47413233093614576</v>
      </c>
      <c r="Q3844" s="4">
        <f t="shared" ca="1" si="335"/>
        <v>1908.9004662492061</v>
      </c>
      <c r="R3844" s="4">
        <f t="shared" ca="1" si="336"/>
        <v>-14.769577750793815</v>
      </c>
      <c r="S3844" s="4">
        <f t="shared" ca="1" si="337"/>
        <v>-7.3877066693755964</v>
      </c>
    </row>
    <row r="3845" spans="15:19" x14ac:dyDescent="0.2">
      <c r="O3845" s="4">
        <f t="shared" ca="1" si="333"/>
        <v>0.86552147842221983</v>
      </c>
      <c r="P3845" s="4">
        <f t="shared" ca="1" si="334"/>
        <v>1.1054675606599913</v>
      </c>
      <c r="Q3845" s="4">
        <f t="shared" ca="1" si="335"/>
        <v>1889.7741934953724</v>
      </c>
      <c r="R3845" s="4">
        <f t="shared" ca="1" si="336"/>
        <v>-33.89585050462756</v>
      </c>
      <c r="S3845" s="4">
        <f t="shared" ca="1" si="337"/>
        <v>-16.690718023322201</v>
      </c>
    </row>
    <row r="3846" spans="15:19" x14ac:dyDescent="0.2">
      <c r="O3846" s="4">
        <f t="shared" ca="1" si="333"/>
        <v>8.2140824533754486E-2</v>
      </c>
      <c r="P3846" s="4">
        <f t="shared" ca="1" si="334"/>
        <v>-1.3908146183501573</v>
      </c>
      <c r="Q3846" s="4">
        <f t="shared" ca="1" si="335"/>
        <v>1965.3989512760625</v>
      </c>
      <c r="R3846" s="4">
        <f t="shared" ca="1" si="336"/>
        <v>41.7289072760625</v>
      </c>
      <c r="S3846" s="4">
        <f t="shared" ca="1" si="337"/>
        <v>21.832411929627018</v>
      </c>
    </row>
    <row r="3847" spans="15:19" x14ac:dyDescent="0.2">
      <c r="O3847" s="4">
        <f t="shared" ca="1" si="333"/>
        <v>0.64768710709901056</v>
      </c>
      <c r="P3847" s="4">
        <f t="shared" ca="1" si="334"/>
        <v>0.3790835980349932</v>
      </c>
      <c r="Q3847" s="4">
        <f t="shared" ca="1" si="335"/>
        <v>1911.779963392378</v>
      </c>
      <c r="R3847" s="4">
        <f t="shared" ca="1" si="336"/>
        <v>-11.89008060762194</v>
      </c>
      <c r="S3847" s="4">
        <f t="shared" ca="1" si="337"/>
        <v>-5.9613262542135788</v>
      </c>
    </row>
    <row r="3848" spans="15:19" x14ac:dyDescent="0.2">
      <c r="O3848" s="4">
        <f t="shared" ca="1" si="333"/>
        <v>0.63627590693384528</v>
      </c>
      <c r="P3848" s="4">
        <f t="shared" ca="1" si="334"/>
        <v>0.34852201135312999</v>
      </c>
      <c r="Q3848" s="4">
        <f t="shared" ca="1" si="335"/>
        <v>1912.7058253040016</v>
      </c>
      <c r="R3848" s="4">
        <f t="shared" ca="1" si="336"/>
        <v>-10.964218695998397</v>
      </c>
      <c r="S3848" s="4">
        <f t="shared" ca="1" si="337"/>
        <v>-5.5012594402046791</v>
      </c>
    </row>
    <row r="3849" spans="15:19" x14ac:dyDescent="0.2">
      <c r="O3849" s="4">
        <f t="shared" ca="1" si="333"/>
        <v>0.7982350245946439</v>
      </c>
      <c r="P3849" s="4">
        <f t="shared" ca="1" si="334"/>
        <v>0.83533351729704686</v>
      </c>
      <c r="Q3849" s="4">
        <f t="shared" ca="1" si="335"/>
        <v>1897.9578923453726</v>
      </c>
      <c r="R3849" s="4">
        <f t="shared" ca="1" si="336"/>
        <v>-25.712151654627405</v>
      </c>
      <c r="S3849" s="4">
        <f t="shared" ca="1" si="337"/>
        <v>-12.746623549231996</v>
      </c>
    </row>
    <row r="3850" spans="15:19" x14ac:dyDescent="0.2">
      <c r="O3850" s="4">
        <f t="shared" ca="1" si="333"/>
        <v>0.52904099259580317</v>
      </c>
      <c r="P3850" s="4">
        <f t="shared" ca="1" si="334"/>
        <v>7.2859384083660578E-2</v>
      </c>
      <c r="Q3850" s="4">
        <f t="shared" ca="1" si="335"/>
        <v>1921.0570123579862</v>
      </c>
      <c r="R3850" s="4">
        <f t="shared" ca="1" si="336"/>
        <v>-2.613031642013766</v>
      </c>
      <c r="S3850" s="4">
        <f t="shared" ca="1" si="337"/>
        <v>-1.319962769631092</v>
      </c>
    </row>
    <row r="3851" spans="15:19" x14ac:dyDescent="0.2">
      <c r="O3851" s="4">
        <f t="shared" ca="1" si="333"/>
        <v>0.83849576258871916</v>
      </c>
      <c r="P3851" s="4">
        <f t="shared" ca="1" si="334"/>
        <v>0.98829442531669354</v>
      </c>
      <c r="Q3851" s="4">
        <f t="shared" ca="1" si="335"/>
        <v>1893.3239484282281</v>
      </c>
      <c r="R3851" s="4">
        <f t="shared" ca="1" si="336"/>
        <v>-30.346095571771912</v>
      </c>
      <c r="S3851" s="4">
        <f t="shared" ca="1" si="337"/>
        <v>-14.986626661398864</v>
      </c>
    </row>
    <row r="3852" spans="15:19" x14ac:dyDescent="0.2">
      <c r="O3852" s="4">
        <f t="shared" ca="1" si="333"/>
        <v>0.36259608610659244</v>
      </c>
      <c r="P3852" s="4">
        <f t="shared" ca="1" si="334"/>
        <v>-0.35152813060445298</v>
      </c>
      <c r="Q3852" s="4">
        <f t="shared" ca="1" si="335"/>
        <v>1933.913813273083</v>
      </c>
      <c r="R3852" s="4">
        <f t="shared" ca="1" si="336"/>
        <v>10.243769273082989</v>
      </c>
      <c r="S3852" s="4">
        <f t="shared" ca="1" si="337"/>
        <v>5.2282120742055076</v>
      </c>
    </row>
    <row r="3853" spans="15:19" x14ac:dyDescent="0.2">
      <c r="O3853" s="4">
        <f t="shared" ca="1" si="333"/>
        <v>0.60936411057587214</v>
      </c>
      <c r="P3853" s="4">
        <f t="shared" ca="1" si="334"/>
        <v>0.27766207122896108</v>
      </c>
      <c r="Q3853" s="4">
        <f t="shared" ca="1" si="335"/>
        <v>1914.8525240439528</v>
      </c>
      <c r="R3853" s="4">
        <f t="shared" ca="1" si="336"/>
        <v>-8.8175199560471356</v>
      </c>
      <c r="S3853" s="4">
        <f t="shared" ca="1" si="337"/>
        <v>-4.4318658824402748</v>
      </c>
    </row>
    <row r="3854" spans="15:19" x14ac:dyDescent="0.2">
      <c r="O3854" s="4">
        <f t="shared" ca="1" si="333"/>
        <v>0.8630048216990841</v>
      </c>
      <c r="P3854" s="4">
        <f t="shared" ca="1" si="334"/>
        <v>1.0939193380923367</v>
      </c>
      <c r="Q3854" s="4">
        <f t="shared" ca="1" si="335"/>
        <v>1890.1240463853301</v>
      </c>
      <c r="R3854" s="4">
        <f t="shared" ca="1" si="336"/>
        <v>-33.545997614669886</v>
      </c>
      <c r="S3854" s="4">
        <f t="shared" ca="1" si="337"/>
        <v>-16.523223750277509</v>
      </c>
    </row>
    <row r="3855" spans="15:19" x14ac:dyDescent="0.2">
      <c r="O3855" s="4">
        <f t="shared" ca="1" si="333"/>
        <v>0.44289967100956373</v>
      </c>
      <c r="P3855" s="4">
        <f t="shared" ca="1" si="334"/>
        <v>-0.14362152546393839</v>
      </c>
      <c r="Q3855" s="4">
        <f t="shared" ca="1" si="335"/>
        <v>1927.6152919011954</v>
      </c>
      <c r="R3855" s="4">
        <f t="shared" ca="1" si="336"/>
        <v>3.9452479011954438</v>
      </c>
      <c r="S3855" s="4">
        <f t="shared" ca="1" si="337"/>
        <v>2.0034591556802703</v>
      </c>
    </row>
    <row r="3856" spans="15:19" x14ac:dyDescent="0.2">
      <c r="O3856" s="4">
        <f t="shared" ca="1" si="333"/>
        <v>0.81843981354164919</v>
      </c>
      <c r="P3856" s="4">
        <f t="shared" ca="1" si="334"/>
        <v>0.90943534294082329</v>
      </c>
      <c r="Q3856" s="4">
        <f t="shared" ca="1" si="335"/>
        <v>1895.7129808275411</v>
      </c>
      <c r="R3856" s="4">
        <f t="shared" ca="1" si="336"/>
        <v>-27.957063172458902</v>
      </c>
      <c r="S3856" s="4">
        <f t="shared" ca="1" si="337"/>
        <v>-13.833974973878641</v>
      </c>
    </row>
    <row r="3857" spans="15:19" x14ac:dyDescent="0.2">
      <c r="O3857" s="4">
        <f t="shared" ca="1" si="333"/>
        <v>0.5994169169970156</v>
      </c>
      <c r="P3857" s="4">
        <f t="shared" ca="1" si="334"/>
        <v>0.25183815258569958</v>
      </c>
      <c r="Q3857" s="4">
        <f t="shared" ca="1" si="335"/>
        <v>1915.6348585126946</v>
      </c>
      <c r="R3857" s="4">
        <f t="shared" ca="1" si="336"/>
        <v>-8.0351854873053981</v>
      </c>
      <c r="S3857" s="4">
        <f t="shared" ca="1" si="337"/>
        <v>-4.0412074962848852</v>
      </c>
    </row>
    <row r="3858" spans="15:19" x14ac:dyDescent="0.2">
      <c r="O3858" s="4">
        <f t="shared" ca="1" si="333"/>
        <v>0.64087441280701185</v>
      </c>
      <c r="P3858" s="4">
        <f t="shared" ca="1" si="334"/>
        <v>0.36079704177610139</v>
      </c>
      <c r="Q3858" s="4">
        <f t="shared" ca="1" si="335"/>
        <v>1912.3339538023367</v>
      </c>
      <c r="R3858" s="4">
        <f t="shared" ca="1" si="336"/>
        <v>-11.336090197663225</v>
      </c>
      <c r="S3858" s="4">
        <f t="shared" ca="1" si="337"/>
        <v>-5.68612867302721</v>
      </c>
    </row>
    <row r="3859" spans="15:19" x14ac:dyDescent="0.2">
      <c r="O3859" s="4">
        <f t="shared" ca="1" si="333"/>
        <v>0.41650773111227835</v>
      </c>
      <c r="P3859" s="4">
        <f t="shared" ca="1" si="334"/>
        <v>-0.21083572286539909</v>
      </c>
      <c r="Q3859" s="4">
        <f t="shared" ca="1" si="335"/>
        <v>1929.6515430272298</v>
      </c>
      <c r="R3859" s="4">
        <f t="shared" ca="1" si="336"/>
        <v>5.9814990272298019</v>
      </c>
      <c r="S3859" s="4">
        <f t="shared" ca="1" si="337"/>
        <v>3.0424576531416494</v>
      </c>
    </row>
    <row r="3860" spans="15:19" x14ac:dyDescent="0.2">
      <c r="O3860" s="4">
        <f t="shared" ca="1" si="333"/>
        <v>0.89024752874017299</v>
      </c>
      <c r="P3860" s="4">
        <f t="shared" ca="1" si="334"/>
        <v>1.227845577474477</v>
      </c>
      <c r="Q3860" s="4">
        <f t="shared" ca="1" si="335"/>
        <v>1886.0667569094387</v>
      </c>
      <c r="R3860" s="4">
        <f t="shared" ca="1" si="336"/>
        <v>-37.603287090561253</v>
      </c>
      <c r="S3860" s="4">
        <f t="shared" ca="1" si="337"/>
        <v>-18.459553429795008</v>
      </c>
    </row>
    <row r="3861" spans="15:19" x14ac:dyDescent="0.2">
      <c r="O3861" s="4">
        <f t="shared" ca="1" si="333"/>
        <v>0.43178813959980733</v>
      </c>
      <c r="P3861" s="4">
        <f t="shared" ca="1" si="334"/>
        <v>-0.17182351367701754</v>
      </c>
      <c r="Q3861" s="4">
        <f t="shared" ca="1" si="335"/>
        <v>1928.469669881971</v>
      </c>
      <c r="R3861" s="4">
        <f t="shared" ca="1" si="336"/>
        <v>4.7996258819709965</v>
      </c>
      <c r="S3861" s="4">
        <f t="shared" ca="1" si="337"/>
        <v>2.4389950463506715</v>
      </c>
    </row>
    <row r="3862" spans="15:19" x14ac:dyDescent="0.2">
      <c r="O3862" s="4">
        <f t="shared" ca="1" si="333"/>
        <v>0.15501171290989768</v>
      </c>
      <c r="P3862" s="4">
        <f t="shared" ca="1" si="334"/>
        <v>-1.0151728799598412</v>
      </c>
      <c r="Q3862" s="4">
        <f t="shared" ca="1" si="335"/>
        <v>1954.0189014896441</v>
      </c>
      <c r="R3862" s="4">
        <f t="shared" ca="1" si="336"/>
        <v>30.348857489644161</v>
      </c>
      <c r="S3862" s="4">
        <f t="shared" ca="1" si="337"/>
        <v>15.73782131845276</v>
      </c>
    </row>
    <row r="3863" spans="15:19" x14ac:dyDescent="0.2">
      <c r="O3863" s="4">
        <f t="shared" ca="1" si="333"/>
        <v>0.8588706816035544</v>
      </c>
      <c r="P3863" s="4">
        <f t="shared" ca="1" si="334"/>
        <v>1.0752593354113895</v>
      </c>
      <c r="Q3863" s="4">
        <f t="shared" ca="1" si="335"/>
        <v>1890.6893503380641</v>
      </c>
      <c r="R3863" s="4">
        <f t="shared" ca="1" si="336"/>
        <v>-32.980693661935902</v>
      </c>
      <c r="S3863" s="4">
        <f t="shared" ca="1" si="337"/>
        <v>-16.25237033095954</v>
      </c>
    </row>
    <row r="3864" spans="15:19" x14ac:dyDescent="0.2">
      <c r="O3864" s="4">
        <f t="shared" ca="1" si="333"/>
        <v>0.14030523558716324</v>
      </c>
      <c r="P3864" s="4">
        <f t="shared" ca="1" si="334"/>
        <v>-1.0789489827071244</v>
      </c>
      <c r="Q3864" s="4">
        <f t="shared" ca="1" si="335"/>
        <v>1955.950995690778</v>
      </c>
      <c r="R3864" s="4">
        <f t="shared" ca="1" si="336"/>
        <v>32.280951690778011</v>
      </c>
      <c r="S3864" s="4">
        <f t="shared" ca="1" si="337"/>
        <v>16.765124427815632</v>
      </c>
    </row>
    <row r="3865" spans="15:19" x14ac:dyDescent="0.2">
      <c r="O3865" s="4">
        <f t="shared" ca="1" si="333"/>
        <v>0.89682533204778081</v>
      </c>
      <c r="P3865" s="4">
        <f t="shared" ca="1" si="334"/>
        <v>1.2636676642680171</v>
      </c>
      <c r="Q3865" s="4">
        <f t="shared" ca="1" si="335"/>
        <v>1884.981528380493</v>
      </c>
      <c r="R3865" s="4">
        <f t="shared" ca="1" si="336"/>
        <v>-38.688515619506916</v>
      </c>
      <c r="S3865" s="4">
        <f t="shared" ca="1" si="337"/>
        <v>-18.975203834764063</v>
      </c>
    </row>
    <row r="3866" spans="15:19" x14ac:dyDescent="0.2">
      <c r="O3866" s="4">
        <f t="shared" ca="1" si="333"/>
        <v>0.51055879975279439</v>
      </c>
      <c r="P3866" s="4">
        <f t="shared" ca="1" si="334"/>
        <v>2.6470076790912983E-2</v>
      </c>
      <c r="Q3866" s="4">
        <f t="shared" ca="1" si="335"/>
        <v>1922.4623743627812</v>
      </c>
      <c r="R3866" s="4">
        <f t="shared" ca="1" si="336"/>
        <v>-1.2076696372187143</v>
      </c>
      <c r="S3866" s="4">
        <f t="shared" ca="1" si="337"/>
        <v>-0.61074050276392133</v>
      </c>
    </row>
    <row r="3867" spans="15:19" x14ac:dyDescent="0.2">
      <c r="O3867" s="4">
        <f t="shared" ca="1" si="333"/>
        <v>3.4165080883041044E-2</v>
      </c>
      <c r="P3867" s="4">
        <f t="shared" ca="1" si="334"/>
        <v>-1.8228232724514752</v>
      </c>
      <c r="Q3867" s="4">
        <f t="shared" ca="1" si="335"/>
        <v>1978.4866342713115</v>
      </c>
      <c r="R3867" s="4">
        <f t="shared" ca="1" si="336"/>
        <v>54.816590271311497</v>
      </c>
      <c r="S3867" s="4">
        <f t="shared" ca="1" si="337"/>
        <v>28.97188036976091</v>
      </c>
    </row>
    <row r="3868" spans="15:19" x14ac:dyDescent="0.2">
      <c r="O3868" s="4">
        <f t="shared" ca="1" si="333"/>
        <v>0.69739400850681832</v>
      </c>
      <c r="P3868" s="4">
        <f t="shared" ca="1" si="334"/>
        <v>0.5169200323658979</v>
      </c>
      <c r="Q3868" s="4">
        <f t="shared" ca="1" si="335"/>
        <v>1907.6042147341227</v>
      </c>
      <c r="R3868" s="4">
        <f t="shared" ca="1" si="336"/>
        <v>-16.065829265877255</v>
      </c>
      <c r="S3868" s="4">
        <f t="shared" ca="1" si="337"/>
        <v>-8.0276111456618331</v>
      </c>
    </row>
    <row r="3869" spans="15:19" x14ac:dyDescent="0.2">
      <c r="O3869" s="4">
        <f t="shared" ca="1" si="333"/>
        <v>0.55809447851201699</v>
      </c>
      <c r="P3869" s="4">
        <f t="shared" ca="1" si="334"/>
        <v>0.14613978079851567</v>
      </c>
      <c r="Q3869" s="4">
        <f t="shared" ca="1" si="335"/>
        <v>1918.8369859930856</v>
      </c>
      <c r="R3869" s="4">
        <f t="shared" ca="1" si="336"/>
        <v>-4.8330580069143707</v>
      </c>
      <c r="S3869" s="4">
        <f t="shared" ca="1" si="337"/>
        <v>-2.4370327964133414</v>
      </c>
    </row>
    <row r="3870" spans="15:19" x14ac:dyDescent="0.2">
      <c r="O3870" s="4">
        <f t="shared" ca="1" si="333"/>
        <v>0.31181664141596366</v>
      </c>
      <c r="P3870" s="4">
        <f t="shared" ca="1" si="334"/>
        <v>-0.49070758243215029</v>
      </c>
      <c r="Q3870" s="4">
        <f t="shared" ca="1" si="335"/>
        <v>1938.1302485867755</v>
      </c>
      <c r="R3870" s="4">
        <f t="shared" ca="1" si="336"/>
        <v>14.46020458677549</v>
      </c>
      <c r="S3870" s="4">
        <f t="shared" ca="1" si="337"/>
        <v>7.4050143623844162</v>
      </c>
    </row>
    <row r="3871" spans="15:19" x14ac:dyDescent="0.2">
      <c r="O3871" s="4">
        <f t="shared" ca="1" si="333"/>
        <v>0.45985489173798855</v>
      </c>
      <c r="P3871" s="4">
        <f t="shared" ca="1" si="334"/>
        <v>-0.10079929880956215</v>
      </c>
      <c r="Q3871" s="4">
        <f t="shared" ca="1" si="335"/>
        <v>1926.3179944459653</v>
      </c>
      <c r="R3871" s="4">
        <f t="shared" ca="1" si="336"/>
        <v>2.6479504459653072</v>
      </c>
      <c r="S3871" s="4">
        <f t="shared" ca="1" si="337"/>
        <v>1.3432726756745774</v>
      </c>
    </row>
    <row r="3872" spans="15:19" x14ac:dyDescent="0.2">
      <c r="O3872" s="4">
        <f t="shared" ca="1" si="333"/>
        <v>0.99169465308570282</v>
      </c>
      <c r="P3872" s="4">
        <f t="shared" ca="1" si="334"/>
        <v>2.3952134146760997</v>
      </c>
      <c r="Q3872" s="4">
        <f t="shared" ca="1" si="335"/>
        <v>1850.7014001113755</v>
      </c>
      <c r="R3872" s="4">
        <f t="shared" ca="1" si="336"/>
        <v>-72.968643888624456</v>
      </c>
      <c r="S3872" s="4">
        <f t="shared" ca="1" si="337"/>
        <v>-34.770033512999071</v>
      </c>
    </row>
    <row r="3873" spans="15:19" x14ac:dyDescent="0.2">
      <c r="O3873" s="4">
        <f t="shared" ca="1" si="333"/>
        <v>0.60855016246101878</v>
      </c>
      <c r="P3873" s="4">
        <f t="shared" ca="1" si="334"/>
        <v>0.27554224434469599</v>
      </c>
      <c r="Q3873" s="4">
        <f t="shared" ca="1" si="335"/>
        <v>1914.9167441052934</v>
      </c>
      <c r="R3873" s="4">
        <f t="shared" ca="1" si="336"/>
        <v>-8.7532998947065153</v>
      </c>
      <c r="S3873" s="4">
        <f t="shared" ca="1" si="337"/>
        <v>-4.399816394919827</v>
      </c>
    </row>
    <row r="3874" spans="15:19" x14ac:dyDescent="0.2">
      <c r="O3874" s="4">
        <f t="shared" ca="1" si="333"/>
        <v>7.5903955115846911E-2</v>
      </c>
      <c r="P3874" s="4">
        <f t="shared" ca="1" si="334"/>
        <v>-1.4331747270100623</v>
      </c>
      <c r="Q3874" s="4">
        <f t="shared" ca="1" si="335"/>
        <v>1966.6822488871678</v>
      </c>
      <c r="R3874" s="4">
        <f t="shared" ca="1" si="336"/>
        <v>43.012204887167854</v>
      </c>
      <c r="S3874" s="4">
        <f t="shared" ca="1" si="337"/>
        <v>22.526297741499977</v>
      </c>
    </row>
    <row r="3875" spans="15:19" x14ac:dyDescent="0.2">
      <c r="O3875" s="4">
        <f t="shared" ca="1" si="333"/>
        <v>0.63024146254118729</v>
      </c>
      <c r="P3875" s="4">
        <f t="shared" ca="1" si="334"/>
        <v>0.33249293327202428</v>
      </c>
      <c r="Q3875" s="4">
        <f t="shared" ca="1" si="335"/>
        <v>1913.1914255127936</v>
      </c>
      <c r="R3875" s="4">
        <f t="shared" ca="1" si="336"/>
        <v>-10.478618487206404</v>
      </c>
      <c r="S3875" s="4">
        <f t="shared" ca="1" si="337"/>
        <v>-5.259682525937885</v>
      </c>
    </row>
    <row r="3876" spans="15:19" x14ac:dyDescent="0.2">
      <c r="O3876" s="4">
        <f t="shared" ca="1" si="333"/>
        <v>0.28678537570853824</v>
      </c>
      <c r="P3876" s="4">
        <f t="shared" ca="1" si="334"/>
        <v>-0.56280048295545937</v>
      </c>
      <c r="Q3876" s="4">
        <f t="shared" ca="1" si="335"/>
        <v>1940.3142998072763</v>
      </c>
      <c r="R3876" s="4">
        <f t="shared" ca="1" si="336"/>
        <v>16.644255807276295</v>
      </c>
      <c r="S3876" s="4">
        <f t="shared" ca="1" si="337"/>
        <v>8.5382562155570678</v>
      </c>
    </row>
    <row r="3877" spans="15:19" x14ac:dyDescent="0.2">
      <c r="O3877" s="4">
        <f t="shared" ca="1" si="333"/>
        <v>0.65890766595390593</v>
      </c>
      <c r="P3877" s="4">
        <f t="shared" ca="1" si="334"/>
        <v>0.40948377941651354</v>
      </c>
      <c r="Q3877" s="4">
        <f t="shared" ca="1" si="335"/>
        <v>1910.8589912471625</v>
      </c>
      <c r="R3877" s="4">
        <f t="shared" ca="1" si="336"/>
        <v>-12.81105275283744</v>
      </c>
      <c r="S3877" s="4">
        <f t="shared" ca="1" si="337"/>
        <v>-6.4182709344341697</v>
      </c>
    </row>
    <row r="3878" spans="15:19" x14ac:dyDescent="0.2">
      <c r="O3878" s="4">
        <f t="shared" ca="1" si="333"/>
        <v>0.83769624638907236</v>
      </c>
      <c r="P3878" s="4">
        <f t="shared" ca="1" si="334"/>
        <v>0.98503372153138291</v>
      </c>
      <c r="Q3878" s="4">
        <f t="shared" ca="1" si="335"/>
        <v>1893.4227313046322</v>
      </c>
      <c r="R3878" s="4">
        <f t="shared" ca="1" si="336"/>
        <v>-30.247312695367782</v>
      </c>
      <c r="S3878" s="4">
        <f t="shared" ca="1" si="337"/>
        <v>-14.939058351753106</v>
      </c>
    </row>
    <row r="3879" spans="15:19" x14ac:dyDescent="0.2">
      <c r="O3879" s="4">
        <f t="shared" ca="1" si="333"/>
        <v>0.88776133261761436</v>
      </c>
      <c r="P3879" s="4">
        <f t="shared" ca="1" si="334"/>
        <v>1.2147083812953472</v>
      </c>
      <c r="Q3879" s="4">
        <f t="shared" ca="1" si="335"/>
        <v>1886.4647476844073</v>
      </c>
      <c r="R3879" s="4">
        <f t="shared" ca="1" si="336"/>
        <v>-37.205296315592705</v>
      </c>
      <c r="S3879" s="4">
        <f t="shared" ca="1" si="337"/>
        <v>-18.270206324606583</v>
      </c>
    </row>
    <row r="3880" spans="15:19" x14ac:dyDescent="0.2">
      <c r="O3880" s="4">
        <f t="shared" ca="1" si="333"/>
        <v>0.70312175154542755</v>
      </c>
      <c r="P3880" s="4">
        <f t="shared" ca="1" si="334"/>
        <v>0.53340031874750582</v>
      </c>
      <c r="Q3880" s="4">
        <f t="shared" ca="1" si="335"/>
        <v>1907.1049451899</v>
      </c>
      <c r="R3880" s="4">
        <f t="shared" ca="1" si="336"/>
        <v>-16.565098810099926</v>
      </c>
      <c r="S3880" s="4">
        <f t="shared" ca="1" si="337"/>
        <v>-8.2737144586100886</v>
      </c>
    </row>
    <row r="3881" spans="15:19" x14ac:dyDescent="0.2">
      <c r="O3881" s="4">
        <f t="shared" ca="1" si="333"/>
        <v>0.3696119688379077</v>
      </c>
      <c r="P3881" s="4">
        <f t="shared" ca="1" si="334"/>
        <v>-0.3328812310859991</v>
      </c>
      <c r="Q3881" s="4">
        <f t="shared" ca="1" si="335"/>
        <v>1933.348906280075</v>
      </c>
      <c r="R3881" s="4">
        <f t="shared" ca="1" si="336"/>
        <v>9.678862280075009</v>
      </c>
      <c r="S3881" s="4">
        <f t="shared" ca="1" si="337"/>
        <v>4.9376692874472798</v>
      </c>
    </row>
    <row r="3882" spans="15:19" x14ac:dyDescent="0.2">
      <c r="O3882" s="4">
        <f t="shared" ca="1" si="333"/>
        <v>0.4149790494629868</v>
      </c>
      <c r="P3882" s="4">
        <f t="shared" ca="1" si="334"/>
        <v>-0.21475530796736703</v>
      </c>
      <c r="Q3882" s="4">
        <f t="shared" ca="1" si="335"/>
        <v>1929.7702866838686</v>
      </c>
      <c r="R3882" s="4">
        <f t="shared" ca="1" si="336"/>
        <v>6.1002426838686006</v>
      </c>
      <c r="S3882" s="4">
        <f t="shared" ca="1" si="337"/>
        <v>3.1031508490154853</v>
      </c>
    </row>
    <row r="3883" spans="15:19" x14ac:dyDescent="0.2">
      <c r="O3883" s="4">
        <f t="shared" ca="1" si="333"/>
        <v>0.58087291444002698</v>
      </c>
      <c r="P3883" s="4">
        <f t="shared" ca="1" si="334"/>
        <v>0.2041271080756428</v>
      </c>
      <c r="Q3883" s="4">
        <f t="shared" ca="1" si="335"/>
        <v>1917.080262487804</v>
      </c>
      <c r="R3883" s="4">
        <f t="shared" ca="1" si="336"/>
        <v>-6.5897815121959411</v>
      </c>
      <c r="S3883" s="4">
        <f t="shared" ca="1" si="337"/>
        <v>-3.3181348769237595</v>
      </c>
    </row>
    <row r="3884" spans="15:19" x14ac:dyDescent="0.2">
      <c r="O3884" s="4">
        <f t="shared" ca="1" si="333"/>
        <v>0.34242910066655519</v>
      </c>
      <c r="P3884" s="4">
        <f t="shared" ca="1" si="334"/>
        <v>-0.40584267380402794</v>
      </c>
      <c r="Q3884" s="4">
        <f t="shared" ca="1" si="335"/>
        <v>1935.5592699478027</v>
      </c>
      <c r="R3884" s="4">
        <f t="shared" ca="1" si="336"/>
        <v>11.889225947802743</v>
      </c>
      <c r="S3884" s="4">
        <f t="shared" ca="1" si="337"/>
        <v>6.0759833672452537</v>
      </c>
    </row>
    <row r="3885" spans="15:19" x14ac:dyDescent="0.2">
      <c r="O3885" s="4">
        <f t="shared" ca="1" si="333"/>
        <v>0.24510285500482731</v>
      </c>
      <c r="P3885" s="4">
        <f t="shared" ca="1" si="334"/>
        <v>-0.68998167711815939</v>
      </c>
      <c r="Q3885" s="4">
        <f t="shared" ca="1" si="335"/>
        <v>1944.1672484377182</v>
      </c>
      <c r="R3885" s="4">
        <f t="shared" ca="1" si="336"/>
        <v>20.49720443771821</v>
      </c>
      <c r="S3885" s="4">
        <f t="shared" ca="1" si="337"/>
        <v>10.546909842365066</v>
      </c>
    </row>
    <row r="3886" spans="15:19" x14ac:dyDescent="0.2">
      <c r="O3886" s="4">
        <f t="shared" ca="1" si="333"/>
        <v>4.8414126749157904E-2</v>
      </c>
      <c r="P3886" s="4">
        <f t="shared" ca="1" si="334"/>
        <v>-1.6604286351597253</v>
      </c>
      <c r="Q3886" s="4">
        <f t="shared" ca="1" si="335"/>
        <v>1973.5668959447169</v>
      </c>
      <c r="R3886" s="4">
        <f t="shared" ca="1" si="336"/>
        <v>49.8968519447169</v>
      </c>
      <c r="S3886" s="4">
        <f t="shared" ca="1" si="337"/>
        <v>26.271753744813051</v>
      </c>
    </row>
    <row r="3887" spans="15:19" x14ac:dyDescent="0.2">
      <c r="O3887" s="4">
        <f t="shared" ca="1" si="333"/>
        <v>0.28807369448850706</v>
      </c>
      <c r="P3887" s="4">
        <f t="shared" ca="1" si="334"/>
        <v>-0.55902099904814284</v>
      </c>
      <c r="Q3887" s="4">
        <f t="shared" ca="1" si="335"/>
        <v>1940.1998005101095</v>
      </c>
      <c r="R3887" s="4">
        <f t="shared" ca="1" si="336"/>
        <v>16.529756510109564</v>
      </c>
      <c r="S3887" s="4">
        <f t="shared" ca="1" si="337"/>
        <v>8.4787493376289067</v>
      </c>
    </row>
    <row r="3888" spans="15:19" x14ac:dyDescent="0.2">
      <c r="O3888" s="4">
        <f t="shared" ca="1" si="333"/>
        <v>0.17340435799808984</v>
      </c>
      <c r="P3888" s="4">
        <f t="shared" ca="1" si="334"/>
        <v>-0.94079735621492155</v>
      </c>
      <c r="Q3888" s="4">
        <f t="shared" ca="1" si="335"/>
        <v>1951.7656982999902</v>
      </c>
      <c r="R3888" s="4">
        <f t="shared" ca="1" si="336"/>
        <v>28.095654299990201</v>
      </c>
      <c r="S3888" s="4">
        <f t="shared" ca="1" si="337"/>
        <v>14.543621922108334</v>
      </c>
    </row>
    <row r="3889" spans="15:19" x14ac:dyDescent="0.2">
      <c r="O3889" s="4">
        <f t="shared" ca="1" si="333"/>
        <v>0.61652332824916123</v>
      </c>
      <c r="P3889" s="4">
        <f t="shared" ca="1" si="334"/>
        <v>0.29636239103535578</v>
      </c>
      <c r="Q3889" s="4">
        <f t="shared" ca="1" si="335"/>
        <v>1914.2859986856936</v>
      </c>
      <c r="R3889" s="4">
        <f t="shared" ca="1" si="336"/>
        <v>-9.3840453143063769</v>
      </c>
      <c r="S3889" s="4">
        <f t="shared" ca="1" si="337"/>
        <v>-4.7144490131697614</v>
      </c>
    </row>
    <row r="3890" spans="15:19" x14ac:dyDescent="0.2">
      <c r="O3890" s="4">
        <f t="shared" ca="1" si="333"/>
        <v>0.70172848343373251</v>
      </c>
      <c r="P3890" s="4">
        <f t="shared" ca="1" si="334"/>
        <v>0.52937832205579849</v>
      </c>
      <c r="Q3890" s="4">
        <f t="shared" ca="1" si="335"/>
        <v>1907.2267914011027</v>
      </c>
      <c r="R3890" s="4">
        <f t="shared" ca="1" si="336"/>
        <v>-16.443252598897288</v>
      </c>
      <c r="S3890" s="4">
        <f t="shared" ca="1" si="337"/>
        <v>-8.2136719220699028</v>
      </c>
    </row>
    <row r="3891" spans="15:19" x14ac:dyDescent="0.2">
      <c r="O3891" s="4">
        <f t="shared" ca="1" si="333"/>
        <v>0.98060351275900326</v>
      </c>
      <c r="P3891" s="4">
        <f t="shared" ca="1" si="334"/>
        <v>2.0663761674598264</v>
      </c>
      <c r="Q3891" s="4">
        <f t="shared" ca="1" si="335"/>
        <v>1860.6635099157488</v>
      </c>
      <c r="R3891" s="4">
        <f t="shared" ca="1" si="336"/>
        <v>-63.006534084251143</v>
      </c>
      <c r="S3891" s="4">
        <f t="shared" ca="1" si="337"/>
        <v>-30.278531784282894</v>
      </c>
    </row>
    <row r="3892" spans="15:19" x14ac:dyDescent="0.2">
      <c r="O3892" s="4">
        <f t="shared" ca="1" si="333"/>
        <v>0.95315356489603753</v>
      </c>
      <c r="P3892" s="4">
        <f t="shared" ca="1" si="334"/>
        <v>1.6762314293751979</v>
      </c>
      <c r="Q3892" s="4">
        <f t="shared" ca="1" si="335"/>
        <v>1872.4829274339879</v>
      </c>
      <c r="R3892" s="4">
        <f t="shared" ca="1" si="336"/>
        <v>-51.187116566012037</v>
      </c>
      <c r="S3892" s="4">
        <f t="shared" ca="1" si="337"/>
        <v>-24.844849191643149</v>
      </c>
    </row>
    <row r="3893" spans="15:19" x14ac:dyDescent="0.2">
      <c r="O3893" s="4">
        <f t="shared" ca="1" si="333"/>
        <v>0.93072988622640651</v>
      </c>
      <c r="P3893" s="4">
        <f t="shared" ca="1" si="334"/>
        <v>1.4812490214081016</v>
      </c>
      <c r="Q3893" s="4">
        <f t="shared" ca="1" si="335"/>
        <v>1878.3899108263281</v>
      </c>
      <c r="R3893" s="4">
        <f t="shared" ca="1" si="336"/>
        <v>-45.280133173671857</v>
      </c>
      <c r="S3893" s="4">
        <f t="shared" ca="1" si="337"/>
        <v>-22.086636776967488</v>
      </c>
    </row>
    <row r="3894" spans="15:19" x14ac:dyDescent="0.2">
      <c r="O3894" s="4">
        <f t="shared" ca="1" si="333"/>
        <v>0.70227067321289638</v>
      </c>
      <c r="P3894" s="4">
        <f t="shared" ca="1" si="334"/>
        <v>0.53094245936779061</v>
      </c>
      <c r="Q3894" s="4">
        <f t="shared" ca="1" si="335"/>
        <v>1907.1794059306822</v>
      </c>
      <c r="R3894" s="4">
        <f t="shared" ca="1" si="336"/>
        <v>-16.490638069317811</v>
      </c>
      <c r="S3894" s="4">
        <f t="shared" ca="1" si="337"/>
        <v>-8.2370236440239832</v>
      </c>
    </row>
    <row r="3895" spans="15:19" x14ac:dyDescent="0.2">
      <c r="O3895" s="4">
        <f t="shared" ca="1" si="333"/>
        <v>0.35043063226442195</v>
      </c>
      <c r="P3895" s="4">
        <f t="shared" ca="1" si="334"/>
        <v>-0.38415810925305</v>
      </c>
      <c r="Q3895" s="4">
        <f t="shared" ca="1" si="335"/>
        <v>1934.9023370275038</v>
      </c>
      <c r="R3895" s="4">
        <f t="shared" ca="1" si="336"/>
        <v>11.232293027503829</v>
      </c>
      <c r="S3895" s="4">
        <f t="shared" ca="1" si="337"/>
        <v>5.7372543971028467</v>
      </c>
    </row>
    <row r="3896" spans="15:19" x14ac:dyDescent="0.2">
      <c r="O3896" s="4">
        <f t="shared" ca="1" si="333"/>
        <v>0.5561251459105494</v>
      </c>
      <c r="P3896" s="4">
        <f t="shared" ca="1" si="334"/>
        <v>0.14115219822667036</v>
      </c>
      <c r="Q3896" s="4">
        <f t="shared" ca="1" si="335"/>
        <v>1918.988084585656</v>
      </c>
      <c r="R3896" s="4">
        <f t="shared" ca="1" si="336"/>
        <v>-4.6819594143439645</v>
      </c>
      <c r="S3896" s="4">
        <f t="shared" ca="1" si="337"/>
        <v>-2.3611304546204432</v>
      </c>
    </row>
    <row r="3897" spans="15:19" x14ac:dyDescent="0.2">
      <c r="O3897" s="4">
        <f t="shared" ca="1" si="333"/>
        <v>0.75418615213775142</v>
      </c>
      <c r="P3897" s="4">
        <f t="shared" ca="1" si="334"/>
        <v>0.68772226587098995</v>
      </c>
      <c r="Q3897" s="4">
        <f t="shared" ca="1" si="335"/>
        <v>1902.4297686535335</v>
      </c>
      <c r="R3897" s="4">
        <f t="shared" ca="1" si="336"/>
        <v>-21.240275346466433</v>
      </c>
      <c r="S3897" s="4">
        <f t="shared" ca="1" si="337"/>
        <v>-10.568386431935005</v>
      </c>
    </row>
    <row r="3898" spans="15:19" x14ac:dyDescent="0.2">
      <c r="O3898" s="4">
        <f t="shared" ca="1" si="333"/>
        <v>0.28532380460120588</v>
      </c>
      <c r="P3898" s="4">
        <f t="shared" ca="1" si="334"/>
        <v>-0.56709798887087248</v>
      </c>
      <c r="Q3898" s="4">
        <f t="shared" ca="1" si="335"/>
        <v>1940.4444925581788</v>
      </c>
      <c r="R3898" s="4">
        <f t="shared" ca="1" si="336"/>
        <v>16.774448558178847</v>
      </c>
      <c r="S3898" s="4">
        <f t="shared" ca="1" si="337"/>
        <v>8.6059321678145384</v>
      </c>
    </row>
    <row r="3899" spans="15:19" x14ac:dyDescent="0.2">
      <c r="O3899" s="4">
        <f t="shared" ca="1" si="333"/>
        <v>4.7516327497555522E-2</v>
      </c>
      <c r="P3899" s="4">
        <f t="shared" ca="1" si="334"/>
        <v>-1.6694276637697958</v>
      </c>
      <c r="Q3899" s="4">
        <f t="shared" ca="1" si="335"/>
        <v>1973.8395211169109</v>
      </c>
      <c r="R3899" s="4">
        <f t="shared" ca="1" si="336"/>
        <v>50.169477116910912</v>
      </c>
      <c r="S3899" s="4">
        <f t="shared" ca="1" si="337"/>
        <v>26.420864370112785</v>
      </c>
    </row>
    <row r="3900" spans="15:19" x14ac:dyDescent="0.2">
      <c r="O3900" s="4">
        <f t="shared" ca="1" si="333"/>
        <v>0.12192912335277739</v>
      </c>
      <c r="P3900" s="4">
        <f t="shared" ca="1" si="334"/>
        <v>-1.1653972085864026</v>
      </c>
      <c r="Q3900" s="4">
        <f t="shared" ca="1" si="335"/>
        <v>1958.5699408555765</v>
      </c>
      <c r="R3900" s="4">
        <f t="shared" ca="1" si="336"/>
        <v>34.899896855576571</v>
      </c>
      <c r="S3900" s="4">
        <f t="shared" ca="1" si="337"/>
        <v>18.162481086433207</v>
      </c>
    </row>
    <row r="3901" spans="15:19" x14ac:dyDescent="0.2">
      <c r="O3901" s="4">
        <f t="shared" ca="1" si="333"/>
        <v>0.66991805797037784</v>
      </c>
      <c r="P3901" s="4">
        <f t="shared" ca="1" si="334"/>
        <v>0.43968691068876403</v>
      </c>
      <c r="Q3901" s="4">
        <f t="shared" ca="1" si="335"/>
        <v>1909.9439887262583</v>
      </c>
      <c r="R3901" s="4">
        <f t="shared" ca="1" si="336"/>
        <v>-13.726055273741622</v>
      </c>
      <c r="S3901" s="4">
        <f t="shared" ca="1" si="337"/>
        <v>-6.8715699130310899</v>
      </c>
    </row>
    <row r="3902" spans="15:19" x14ac:dyDescent="0.2">
      <c r="O3902" s="4">
        <f t="shared" ca="1" si="333"/>
        <v>0.27004655357548746</v>
      </c>
      <c r="P3902" s="4">
        <f t="shared" ca="1" si="334"/>
        <v>-0.6126722010630693</v>
      </c>
      <c r="Q3902" s="4">
        <f t="shared" ca="1" si="335"/>
        <v>1941.8251612930924</v>
      </c>
      <c r="R3902" s="4">
        <f t="shared" ca="1" si="336"/>
        <v>18.155117293092417</v>
      </c>
      <c r="S3902" s="4">
        <f t="shared" ca="1" si="337"/>
        <v>9.3244715903531166</v>
      </c>
    </row>
    <row r="3903" spans="15:19" x14ac:dyDescent="0.2">
      <c r="O3903" s="4">
        <f t="shared" ca="1" si="333"/>
        <v>0.39497179039909569</v>
      </c>
      <c r="P3903" s="4">
        <f t="shared" ca="1" si="334"/>
        <v>-0.26638387734935071</v>
      </c>
      <c r="Q3903" s="4">
        <f t="shared" ca="1" si="335"/>
        <v>1931.3343719010388</v>
      </c>
      <c r="R3903" s="4">
        <f t="shared" ca="1" si="336"/>
        <v>7.6643279010388596</v>
      </c>
      <c r="S3903" s="4">
        <f t="shared" ca="1" si="337"/>
        <v>3.9036698836506161</v>
      </c>
    </row>
    <row r="3904" spans="15:19" x14ac:dyDescent="0.2">
      <c r="O3904" s="4">
        <f t="shared" ca="1" si="333"/>
        <v>0.79160394245724663</v>
      </c>
      <c r="P3904" s="4">
        <f t="shared" ca="1" si="334"/>
        <v>0.81199915722072458</v>
      </c>
      <c r="Q3904" s="4">
        <f t="shared" ca="1" si="335"/>
        <v>1898.6648057478624</v>
      </c>
      <c r="R3904" s="4">
        <f t="shared" ca="1" si="336"/>
        <v>-25.005238252137588</v>
      </c>
      <c r="S3904" s="4">
        <f t="shared" ca="1" si="337"/>
        <v>-12.403371633362605</v>
      </c>
    </row>
    <row r="3905" spans="15:19" x14ac:dyDescent="0.2">
      <c r="O3905" s="4">
        <f t="shared" ca="1" si="333"/>
        <v>0.38285701318937271</v>
      </c>
      <c r="P3905" s="4">
        <f t="shared" ca="1" si="334"/>
        <v>-0.29798576745516414</v>
      </c>
      <c r="Q3905" s="4">
        <f t="shared" ca="1" si="335"/>
        <v>1932.2917497587025</v>
      </c>
      <c r="R3905" s="4">
        <f t="shared" ca="1" si="336"/>
        <v>8.6217057587025465</v>
      </c>
      <c r="S3905" s="4">
        <f t="shared" ca="1" si="337"/>
        <v>4.3946509104075284</v>
      </c>
    </row>
    <row r="3906" spans="15:19" x14ac:dyDescent="0.2">
      <c r="O3906" s="4">
        <f t="shared" ca="1" si="333"/>
        <v>7.8191692650024236E-2</v>
      </c>
      <c r="P3906" s="4">
        <f t="shared" ca="1" si="334"/>
        <v>-1.417340548837849</v>
      </c>
      <c r="Q3906" s="4">
        <f t="shared" ca="1" si="335"/>
        <v>1966.2025531624624</v>
      </c>
      <c r="R3906" s="4">
        <f t="shared" ca="1" si="336"/>
        <v>42.532509162462475</v>
      </c>
      <c r="S3906" s="4">
        <f t="shared" ca="1" si="337"/>
        <v>22.266766804896438</v>
      </c>
    </row>
    <row r="3907" spans="15:19" x14ac:dyDescent="0.2">
      <c r="O3907" s="4">
        <f t="shared" ref="O3907:O3970" ca="1" si="338">RAND()</f>
        <v>0.1091912546345325</v>
      </c>
      <c r="P3907" s="4">
        <f t="shared" ref="P3907:P3970" ca="1" si="339">NORMSINV(O3907)</f>
        <v>-1.2308405414833155</v>
      </c>
      <c r="Q3907" s="4">
        <f t="shared" ref="Q3907:Q3970" ca="1" si="340">$B$4*(1+$B$17-$B$6/SQRT(252)*P3907)</f>
        <v>1960.5525437200697</v>
      </c>
      <c r="R3907" s="4">
        <f t="shared" ref="R3907:R3970" ca="1" si="341">Q3907-$B$4</f>
        <v>36.882499720069745</v>
      </c>
      <c r="S3907" s="4">
        <f t="shared" ref="S3907:S3970" ca="1" si="342">R3907*$B$12+0.5*$B$13*R3907^2</f>
        <v>19.224026533699337</v>
      </c>
    </row>
    <row r="3908" spans="15:19" x14ac:dyDescent="0.2">
      <c r="O3908" s="4">
        <f t="shared" ca="1" si="338"/>
        <v>0.7720083298980952</v>
      </c>
      <c r="P3908" s="4">
        <f t="shared" ca="1" si="339"/>
        <v>0.74547711595654642</v>
      </c>
      <c r="Q3908" s="4">
        <f t="shared" ca="1" si="340"/>
        <v>1900.680088034449</v>
      </c>
      <c r="R3908" s="4">
        <f t="shared" ca="1" si="341"/>
        <v>-22.989955965550962</v>
      </c>
      <c r="S3908" s="4">
        <f t="shared" ca="1" si="342"/>
        <v>-11.422589309125797</v>
      </c>
    </row>
    <row r="3909" spans="15:19" x14ac:dyDescent="0.2">
      <c r="O3909" s="4">
        <f t="shared" ca="1" si="338"/>
        <v>0.79311349607737647</v>
      </c>
      <c r="P3909" s="4">
        <f t="shared" ca="1" si="339"/>
        <v>0.8172719938345876</v>
      </c>
      <c r="Q3909" s="4">
        <f t="shared" ca="1" si="340"/>
        <v>1898.5050653967542</v>
      </c>
      <c r="R3909" s="4">
        <f t="shared" ca="1" si="341"/>
        <v>-25.1649786032458</v>
      </c>
      <c r="S3909" s="4">
        <f t="shared" ca="1" si="342"/>
        <v>-12.480971426267153</v>
      </c>
    </row>
    <row r="3910" spans="15:19" x14ac:dyDescent="0.2">
      <c r="O3910" s="4">
        <f t="shared" ca="1" si="338"/>
        <v>0.13787567594355021</v>
      </c>
      <c r="P3910" s="4">
        <f t="shared" ca="1" si="339"/>
        <v>-1.0899132670055656</v>
      </c>
      <c r="Q3910" s="4">
        <f t="shared" ca="1" si="340"/>
        <v>1956.283158196796</v>
      </c>
      <c r="R3910" s="4">
        <f t="shared" ca="1" si="341"/>
        <v>32.613114196796005</v>
      </c>
      <c r="S3910" s="4">
        <f t="shared" ca="1" si="342"/>
        <v>16.942042871898138</v>
      </c>
    </row>
    <row r="3911" spans="15:19" x14ac:dyDescent="0.2">
      <c r="O3911" s="4">
        <f t="shared" ca="1" si="338"/>
        <v>0.78414553424627209</v>
      </c>
      <c r="P3911" s="4">
        <f t="shared" ca="1" si="339"/>
        <v>0.78627067023885422</v>
      </c>
      <c r="Q3911" s="4">
        <f t="shared" ca="1" si="340"/>
        <v>1899.4442491186594</v>
      </c>
      <c r="R3911" s="4">
        <f t="shared" ca="1" si="341"/>
        <v>-24.225794881340562</v>
      </c>
      <c r="S3911" s="4">
        <f t="shared" ca="1" si="342"/>
        <v>-12.024430151458589</v>
      </c>
    </row>
    <row r="3912" spans="15:19" x14ac:dyDescent="0.2">
      <c r="O3912" s="4">
        <f t="shared" ca="1" si="338"/>
        <v>0.86051123793239837</v>
      </c>
      <c r="P3912" s="4">
        <f t="shared" ca="1" si="339"/>
        <v>1.0826191040108648</v>
      </c>
      <c r="Q3912" s="4">
        <f t="shared" ca="1" si="340"/>
        <v>1890.4663864751092</v>
      </c>
      <c r="R3912" s="4">
        <f t="shared" ca="1" si="341"/>
        <v>-33.203657524890787</v>
      </c>
      <c r="S3912" s="4">
        <f t="shared" ca="1" si="342"/>
        <v>-16.359229816279257</v>
      </c>
    </row>
    <row r="3913" spans="15:19" x14ac:dyDescent="0.2">
      <c r="O3913" s="4">
        <f t="shared" ca="1" si="338"/>
        <v>0.28110764386266263</v>
      </c>
      <c r="P3913" s="4">
        <f t="shared" ca="1" si="339"/>
        <v>-0.57955419787869422</v>
      </c>
      <c r="Q3913" s="4">
        <f t="shared" ca="1" si="340"/>
        <v>1940.8218528570278</v>
      </c>
      <c r="R3913" s="4">
        <f t="shared" ca="1" si="341"/>
        <v>17.151808857027845</v>
      </c>
      <c r="S3913" s="4">
        <f t="shared" ca="1" si="342"/>
        <v>8.8021671195706936</v>
      </c>
    </row>
    <row r="3914" spans="15:19" x14ac:dyDescent="0.2">
      <c r="O3914" s="4">
        <f t="shared" ca="1" si="338"/>
        <v>0.9753072791334233</v>
      </c>
      <c r="P3914" s="4">
        <f t="shared" ca="1" si="339"/>
        <v>1.9652488569690207</v>
      </c>
      <c r="Q3914" s="4">
        <f t="shared" ca="1" si="340"/>
        <v>1863.7271572971167</v>
      </c>
      <c r="R3914" s="4">
        <f t="shared" ca="1" si="341"/>
        <v>-59.942886702883243</v>
      </c>
      <c r="S3914" s="4">
        <f t="shared" ca="1" si="342"/>
        <v>-28.881015731319732</v>
      </c>
    </row>
    <row r="3915" spans="15:19" x14ac:dyDescent="0.2">
      <c r="O3915" s="4">
        <f t="shared" ca="1" si="338"/>
        <v>0.71144619573039247</v>
      </c>
      <c r="P3915" s="4">
        <f t="shared" ca="1" si="339"/>
        <v>0.55761456497876594</v>
      </c>
      <c r="Q3915" s="4">
        <f t="shared" ca="1" si="340"/>
        <v>1906.3713756754121</v>
      </c>
      <c r="R3915" s="4">
        <f t="shared" ca="1" si="341"/>
        <v>-17.298668324587879</v>
      </c>
      <c r="S3915" s="4">
        <f t="shared" ca="1" si="342"/>
        <v>-8.6349423515451562</v>
      </c>
    </row>
    <row r="3916" spans="15:19" x14ac:dyDescent="0.2">
      <c r="O3916" s="4">
        <f t="shared" ca="1" si="338"/>
        <v>0.7968179815773615</v>
      </c>
      <c r="P3916" s="4">
        <f t="shared" ca="1" si="339"/>
        <v>0.83030911326992085</v>
      </c>
      <c r="Q3916" s="4">
        <f t="shared" ca="1" si="340"/>
        <v>1898.1101064422958</v>
      </c>
      <c r="R3916" s="4">
        <f t="shared" ca="1" si="341"/>
        <v>-25.559937557704188</v>
      </c>
      <c r="S3916" s="4">
        <f t="shared" ca="1" si="342"/>
        <v>-12.672748186953584</v>
      </c>
    </row>
    <row r="3917" spans="15:19" x14ac:dyDescent="0.2">
      <c r="O3917" s="4">
        <f t="shared" ca="1" si="338"/>
        <v>0.42833494303232733</v>
      </c>
      <c r="P3917" s="4">
        <f t="shared" ca="1" si="339"/>
        <v>-0.18061486644493877</v>
      </c>
      <c r="Q3917" s="4">
        <f t="shared" ca="1" si="340"/>
        <v>1928.7360035237477</v>
      </c>
      <c r="R3917" s="4">
        <f t="shared" ca="1" si="341"/>
        <v>5.0659595237477788</v>
      </c>
      <c r="S3917" s="4">
        <f t="shared" ca="1" si="342"/>
        <v>2.5748853341008808</v>
      </c>
    </row>
    <row r="3918" spans="15:19" x14ac:dyDescent="0.2">
      <c r="O3918" s="4">
        <f t="shared" ca="1" si="338"/>
        <v>0.40739179540896409</v>
      </c>
      <c r="P3918" s="4">
        <f t="shared" ca="1" si="339"/>
        <v>-0.23425941584218948</v>
      </c>
      <c r="Q3918" s="4">
        <f t="shared" ca="1" si="340"/>
        <v>1930.3611627659734</v>
      </c>
      <c r="R3918" s="4">
        <f t="shared" ca="1" si="341"/>
        <v>6.6911187659734424</v>
      </c>
      <c r="S3918" s="4">
        <f t="shared" ca="1" si="342"/>
        <v>3.4053347831500504</v>
      </c>
    </row>
    <row r="3919" spans="15:19" x14ac:dyDescent="0.2">
      <c r="O3919" s="4">
        <f t="shared" ca="1" si="338"/>
        <v>0.17097379613732788</v>
      </c>
      <c r="P3919" s="4">
        <f t="shared" ca="1" si="339"/>
        <v>-0.95032410908420006</v>
      </c>
      <c r="Q3919" s="4">
        <f t="shared" ca="1" si="340"/>
        <v>1952.0543108551865</v>
      </c>
      <c r="R3919" s="4">
        <f t="shared" ca="1" si="341"/>
        <v>28.384266855186524</v>
      </c>
      <c r="S3919" s="4">
        <f t="shared" ca="1" si="342"/>
        <v>14.696355984362487</v>
      </c>
    </row>
    <row r="3920" spans="15:19" x14ac:dyDescent="0.2">
      <c r="O3920" s="4">
        <f t="shared" ca="1" si="338"/>
        <v>0.1036152522769741</v>
      </c>
      <c r="P3920" s="4">
        <f t="shared" ca="1" si="339"/>
        <v>-1.2612174742431381</v>
      </c>
      <c r="Q3920" s="4">
        <f t="shared" ca="1" si="340"/>
        <v>1961.4728115493235</v>
      </c>
      <c r="R3920" s="4">
        <f t="shared" ca="1" si="341"/>
        <v>37.802767549323562</v>
      </c>
      <c r="S3920" s="4">
        <f t="shared" ca="1" si="342"/>
        <v>19.717853173375993</v>
      </c>
    </row>
    <row r="3921" spans="15:19" x14ac:dyDescent="0.2">
      <c r="O3921" s="4">
        <f t="shared" ca="1" si="338"/>
        <v>0.15733107118859413</v>
      </c>
      <c r="P3921" s="4">
        <f t="shared" ca="1" si="339"/>
        <v>-1.0054875480563674</v>
      </c>
      <c r="Q3921" s="4">
        <f t="shared" ca="1" si="340"/>
        <v>1953.725484789647</v>
      </c>
      <c r="R3921" s="4">
        <f t="shared" ca="1" si="341"/>
        <v>30.055440789647037</v>
      </c>
      <c r="S3921" s="4">
        <f t="shared" ca="1" si="342"/>
        <v>15.582076166638371</v>
      </c>
    </row>
    <row r="3922" spans="15:19" x14ac:dyDescent="0.2">
      <c r="O3922" s="4">
        <f t="shared" ca="1" si="338"/>
        <v>0.95900147981779793</v>
      </c>
      <c r="P3922" s="4">
        <f t="shared" ca="1" si="339"/>
        <v>1.7392144971937502</v>
      </c>
      <c r="Q3922" s="4">
        <f t="shared" ca="1" si="340"/>
        <v>1870.5748581908099</v>
      </c>
      <c r="R3922" s="4">
        <f t="shared" ca="1" si="341"/>
        <v>-53.09518580919007</v>
      </c>
      <c r="S3922" s="4">
        <f t="shared" ca="1" si="342"/>
        <v>-25.729734771025882</v>
      </c>
    </row>
    <row r="3923" spans="15:19" x14ac:dyDescent="0.2">
      <c r="O3923" s="4">
        <f t="shared" ca="1" si="338"/>
        <v>0.47345922025244913</v>
      </c>
      <c r="P3923" s="4">
        <f t="shared" ca="1" si="339"/>
        <v>-6.657702003122544E-2</v>
      </c>
      <c r="Q3923" s="4">
        <f t="shared" ca="1" si="340"/>
        <v>1925.2812320298106</v>
      </c>
      <c r="R3923" s="4">
        <f t="shared" ca="1" si="341"/>
        <v>1.6111880298105916</v>
      </c>
      <c r="S3923" s="4">
        <f t="shared" ca="1" si="342"/>
        <v>0.81665588406450773</v>
      </c>
    </row>
    <row r="3924" spans="15:19" x14ac:dyDescent="0.2">
      <c r="O3924" s="4">
        <f t="shared" ca="1" si="338"/>
        <v>0.61167214040864304</v>
      </c>
      <c r="P3924" s="4">
        <f t="shared" ca="1" si="339"/>
        <v>0.28367987454544791</v>
      </c>
      <c r="Q3924" s="4">
        <f t="shared" ca="1" si="340"/>
        <v>1914.6702149596645</v>
      </c>
      <c r="R3924" s="4">
        <f t="shared" ca="1" si="341"/>
        <v>-8.9998290403354986</v>
      </c>
      <c r="S3924" s="4">
        <f t="shared" ca="1" si="342"/>
        <v>-4.522830258059745</v>
      </c>
    </row>
    <row r="3925" spans="15:19" x14ac:dyDescent="0.2">
      <c r="O3925" s="4">
        <f t="shared" ca="1" si="338"/>
        <v>0.19288706567595926</v>
      </c>
      <c r="P3925" s="4">
        <f t="shared" ca="1" si="339"/>
        <v>-0.86730643580085109</v>
      </c>
      <c r="Q3925" s="4">
        <f t="shared" ca="1" si="340"/>
        <v>1949.539294128969</v>
      </c>
      <c r="R3925" s="4">
        <f t="shared" ca="1" si="341"/>
        <v>25.869250128969043</v>
      </c>
      <c r="S3925" s="4">
        <f t="shared" ca="1" si="342"/>
        <v>13.367685896865551</v>
      </c>
    </row>
    <row r="3926" spans="15:19" x14ac:dyDescent="0.2">
      <c r="O3926" s="4">
        <f t="shared" ca="1" si="338"/>
        <v>0.74778197669550628</v>
      </c>
      <c r="P3926" s="4">
        <f t="shared" ca="1" si="339"/>
        <v>0.66752625237444563</v>
      </c>
      <c r="Q3926" s="4">
        <f t="shared" ca="1" si="340"/>
        <v>1903.0416059857287</v>
      </c>
      <c r="R3926" s="4">
        <f t="shared" ca="1" si="341"/>
        <v>-20.628438014271296</v>
      </c>
      <c r="S3926" s="4">
        <f t="shared" ca="1" si="342"/>
        <v>-10.269096209480848</v>
      </c>
    </row>
    <row r="3927" spans="15:19" x14ac:dyDescent="0.2">
      <c r="O3927" s="4">
        <f t="shared" ca="1" si="338"/>
        <v>0.17550718181925062</v>
      </c>
      <c r="P3927" s="4">
        <f t="shared" ca="1" si="339"/>
        <v>-0.93262356179258099</v>
      </c>
      <c r="Q3927" s="4">
        <f t="shared" ca="1" si="340"/>
        <v>1951.5180735608737</v>
      </c>
      <c r="R3927" s="4">
        <f t="shared" ca="1" si="341"/>
        <v>27.848029560873783</v>
      </c>
      <c r="S3927" s="4">
        <f t="shared" ca="1" si="342"/>
        <v>14.412632707390511</v>
      </c>
    </row>
    <row r="3928" spans="15:19" x14ac:dyDescent="0.2">
      <c r="O3928" s="4">
        <f t="shared" ca="1" si="338"/>
        <v>0.50725317153187022</v>
      </c>
      <c r="P3928" s="4">
        <f t="shared" ca="1" si="339"/>
        <v>1.8182006577068113E-2</v>
      </c>
      <c r="Q3928" s="4">
        <f t="shared" ca="1" si="340"/>
        <v>1922.7134610819276</v>
      </c>
      <c r="R3928" s="4">
        <f t="shared" ca="1" si="341"/>
        <v>-0.95658291807239948</v>
      </c>
      <c r="S3928" s="4">
        <f t="shared" ca="1" si="342"/>
        <v>-0.48385915371460797</v>
      </c>
    </row>
    <row r="3929" spans="15:19" x14ac:dyDescent="0.2">
      <c r="O3929" s="4">
        <f t="shared" ca="1" si="338"/>
        <v>0.96320153721138213</v>
      </c>
      <c r="P3929" s="4">
        <f t="shared" ca="1" si="339"/>
        <v>1.7891110956879708</v>
      </c>
      <c r="Q3929" s="4">
        <f t="shared" ca="1" si="340"/>
        <v>1869.0632429547863</v>
      </c>
      <c r="R3929" s="4">
        <f t="shared" ca="1" si="341"/>
        <v>-54.606801045213615</v>
      </c>
      <c r="S3929" s="4">
        <f t="shared" ca="1" si="342"/>
        <v>-26.428656725944212</v>
      </c>
    </row>
    <row r="3930" spans="15:19" x14ac:dyDescent="0.2">
      <c r="O3930" s="4">
        <f t="shared" ca="1" si="338"/>
        <v>0.26445948207885517</v>
      </c>
      <c r="P3930" s="4">
        <f t="shared" ca="1" si="339"/>
        <v>-0.62965708792681696</v>
      </c>
      <c r="Q3930" s="4">
        <f t="shared" ca="1" si="340"/>
        <v>1942.3397176865174</v>
      </c>
      <c r="R3930" s="4">
        <f t="shared" ca="1" si="341"/>
        <v>18.669673686517399</v>
      </c>
      <c r="S3930" s="4">
        <f t="shared" ca="1" si="342"/>
        <v>9.5926584001305901</v>
      </c>
    </row>
    <row r="3931" spans="15:19" x14ac:dyDescent="0.2">
      <c r="O3931" s="4">
        <f t="shared" ca="1" si="338"/>
        <v>0.32782942583463148</v>
      </c>
      <c r="P3931" s="4">
        <f t="shared" ca="1" si="339"/>
        <v>-0.44591471612202749</v>
      </c>
      <c r="Q3931" s="4">
        <f t="shared" ca="1" si="340"/>
        <v>1936.7732506906684</v>
      </c>
      <c r="R3931" s="4">
        <f t="shared" ca="1" si="341"/>
        <v>13.103206690668458</v>
      </c>
      <c r="S3931" s="4">
        <f t="shared" ca="1" si="342"/>
        <v>6.7028629255419165</v>
      </c>
    </row>
    <row r="3932" spans="15:19" x14ac:dyDescent="0.2">
      <c r="O3932" s="4">
        <f t="shared" ca="1" si="338"/>
        <v>0.54153523592269137</v>
      </c>
      <c r="P3932" s="4">
        <f t="shared" ca="1" si="339"/>
        <v>0.10430220495975438</v>
      </c>
      <c r="Q3932" s="4">
        <f t="shared" ca="1" si="340"/>
        <v>1920.1044534955745</v>
      </c>
      <c r="R3932" s="4">
        <f t="shared" ca="1" si="341"/>
        <v>-3.5655905044254723</v>
      </c>
      <c r="S3932" s="4">
        <f t="shared" ca="1" si="342"/>
        <v>-1.7997615895575456</v>
      </c>
    </row>
    <row r="3933" spans="15:19" x14ac:dyDescent="0.2">
      <c r="O3933" s="4">
        <f t="shared" ca="1" si="338"/>
        <v>0.95897336071372963</v>
      </c>
      <c r="P3933" s="4">
        <f t="shared" ca="1" si="339"/>
        <v>1.7388947459857391</v>
      </c>
      <c r="Q3933" s="4">
        <f t="shared" ca="1" si="340"/>
        <v>1870.58454503946</v>
      </c>
      <c r="R3933" s="4">
        <f t="shared" ca="1" si="341"/>
        <v>-53.085498960540008</v>
      </c>
      <c r="S3933" s="4">
        <f t="shared" ca="1" si="342"/>
        <v>-25.725249886942745</v>
      </c>
    </row>
    <row r="3934" spans="15:19" x14ac:dyDescent="0.2">
      <c r="O3934" s="4">
        <f t="shared" ca="1" si="338"/>
        <v>0.99009215962496966</v>
      </c>
      <c r="P3934" s="4">
        <f t="shared" ca="1" si="339"/>
        <v>2.3298197333012709</v>
      </c>
      <c r="Q3934" s="4">
        <f t="shared" ca="1" si="340"/>
        <v>1852.6824987852121</v>
      </c>
      <c r="R3934" s="4">
        <f t="shared" ca="1" si="341"/>
        <v>-70.987545214787815</v>
      </c>
      <c r="S3934" s="4">
        <f t="shared" ca="1" si="342"/>
        <v>-33.883274608249678</v>
      </c>
    </row>
    <row r="3935" spans="15:19" x14ac:dyDescent="0.2">
      <c r="O3935" s="4">
        <f t="shared" ca="1" si="338"/>
        <v>0.2344521981931017</v>
      </c>
      <c r="P3935" s="4">
        <f t="shared" ca="1" si="339"/>
        <v>-0.72426282286841304</v>
      </c>
      <c r="Q3935" s="4">
        <f t="shared" ca="1" si="340"/>
        <v>1945.2057942261736</v>
      </c>
      <c r="R3935" s="4">
        <f t="shared" ca="1" si="341"/>
        <v>21.535750226173604</v>
      </c>
      <c r="S3935" s="4">
        <f t="shared" ca="1" si="342"/>
        <v>11.090401746113399</v>
      </c>
    </row>
    <row r="3936" spans="15:19" x14ac:dyDescent="0.2">
      <c r="O3936" s="4">
        <f t="shared" ca="1" si="338"/>
        <v>0.52213274041212365</v>
      </c>
      <c r="P3936" s="4">
        <f t="shared" ca="1" si="339"/>
        <v>5.5507042904886193E-2</v>
      </c>
      <c r="Q3936" s="4">
        <f t="shared" ca="1" si="340"/>
        <v>1921.5827007635705</v>
      </c>
      <c r="R3936" s="4">
        <f t="shared" ca="1" si="341"/>
        <v>-2.0873432364294331</v>
      </c>
      <c r="S3936" s="4">
        <f t="shared" ca="1" si="342"/>
        <v>-1.0548599902664153</v>
      </c>
    </row>
    <row r="3937" spans="15:19" x14ac:dyDescent="0.2">
      <c r="O3937" s="4">
        <f t="shared" ca="1" si="338"/>
        <v>0.38698198552448793</v>
      </c>
      <c r="P3937" s="4">
        <f t="shared" ca="1" si="339"/>
        <v>-0.28719375074529341</v>
      </c>
      <c r="Q3937" s="4">
        <f t="shared" ca="1" si="340"/>
        <v>1931.9648060916315</v>
      </c>
      <c r="R3937" s="4">
        <f t="shared" ca="1" si="341"/>
        <v>8.2947620916315827</v>
      </c>
      <c r="S3937" s="4">
        <f t="shared" ca="1" si="342"/>
        <v>4.2268974329475499</v>
      </c>
    </row>
    <row r="3938" spans="15:19" x14ac:dyDescent="0.2">
      <c r="O3938" s="4">
        <f t="shared" ca="1" si="338"/>
        <v>0.21139132079077316</v>
      </c>
      <c r="P3938" s="4">
        <f t="shared" ca="1" si="339"/>
        <v>-0.80160300021637154</v>
      </c>
      <c r="Q3938" s="4">
        <f t="shared" ca="1" si="340"/>
        <v>1947.5488114651039</v>
      </c>
      <c r="R3938" s="4">
        <f t="shared" ca="1" si="341"/>
        <v>23.87876746510392</v>
      </c>
      <c r="S3938" s="4">
        <f t="shared" ca="1" si="342"/>
        <v>12.31977503631879</v>
      </c>
    </row>
    <row r="3939" spans="15:19" x14ac:dyDescent="0.2">
      <c r="O3939" s="4">
        <f t="shared" ca="1" si="338"/>
        <v>0.54287173712434478</v>
      </c>
      <c r="P3939" s="4">
        <f t="shared" ca="1" si="339"/>
        <v>0.10767118738025667</v>
      </c>
      <c r="Q3939" s="4">
        <f t="shared" ca="1" si="340"/>
        <v>1920.0023903227248</v>
      </c>
      <c r="R3939" s="4">
        <f t="shared" ca="1" si="341"/>
        <v>-3.6676536772752115</v>
      </c>
      <c r="S3939" s="4">
        <f t="shared" ca="1" si="342"/>
        <v>-1.8511264493720334</v>
      </c>
    </row>
    <row r="3940" spans="15:19" x14ac:dyDescent="0.2">
      <c r="O3940" s="4">
        <f t="shared" ca="1" si="338"/>
        <v>0.26951047609550538</v>
      </c>
      <c r="P3940" s="4">
        <f t="shared" ca="1" si="339"/>
        <v>-0.61429417329498415</v>
      </c>
      <c r="Q3940" s="4">
        <f t="shared" ca="1" si="340"/>
        <v>1941.8742988698441</v>
      </c>
      <c r="R3940" s="4">
        <f t="shared" ca="1" si="341"/>
        <v>18.204254869844135</v>
      </c>
      <c r="S3940" s="4">
        <f t="shared" ca="1" si="342"/>
        <v>9.3500727875384406</v>
      </c>
    </row>
    <row r="3941" spans="15:19" x14ac:dyDescent="0.2">
      <c r="O3941" s="4">
        <f t="shared" ca="1" si="338"/>
        <v>0.70152873213435696</v>
      </c>
      <c r="P3941" s="4">
        <f t="shared" ca="1" si="339"/>
        <v>0.52880239562012321</v>
      </c>
      <c r="Q3941" s="4">
        <f t="shared" ca="1" si="340"/>
        <v>1907.2442390669009</v>
      </c>
      <c r="R3941" s="4">
        <f t="shared" ca="1" si="341"/>
        <v>-16.425804933099016</v>
      </c>
      <c r="S3941" s="4">
        <f t="shared" ca="1" si="342"/>
        <v>-8.2050731921954156</v>
      </c>
    </row>
    <row r="3942" spans="15:19" x14ac:dyDescent="0.2">
      <c r="O3942" s="4">
        <f t="shared" ca="1" si="338"/>
        <v>0.92597516918378653</v>
      </c>
      <c r="P3942" s="4">
        <f t="shared" ca="1" si="339"/>
        <v>1.44645486911397</v>
      </c>
      <c r="Q3942" s="4">
        <f t="shared" ca="1" si="340"/>
        <v>1879.4439981252533</v>
      </c>
      <c r="R3942" s="4">
        <f t="shared" ca="1" si="341"/>
        <v>-44.22604587474666</v>
      </c>
      <c r="S3942" s="4">
        <f t="shared" ca="1" si="342"/>
        <v>-21.591453354718485</v>
      </c>
    </row>
    <row r="3943" spans="15:19" x14ac:dyDescent="0.2">
      <c r="O3943" s="4">
        <f t="shared" ca="1" si="338"/>
        <v>7.199973163339568E-2</v>
      </c>
      <c r="P3943" s="4">
        <f t="shared" ca="1" si="339"/>
        <v>-1.4610582251473851</v>
      </c>
      <c r="Q3943" s="4">
        <f t="shared" ca="1" si="340"/>
        <v>1967.5269782252387</v>
      </c>
      <c r="R3943" s="4">
        <f t="shared" ca="1" si="341"/>
        <v>43.856934225238774</v>
      </c>
      <c r="S3943" s="4">
        <f t="shared" ca="1" si="342"/>
        <v>22.983779116847824</v>
      </c>
    </row>
    <row r="3944" spans="15:19" x14ac:dyDescent="0.2">
      <c r="O3944" s="4">
        <f t="shared" ca="1" si="338"/>
        <v>0.53180065162349999</v>
      </c>
      <c r="P3944" s="4">
        <f t="shared" ca="1" si="339"/>
        <v>7.9797017121253713E-2</v>
      </c>
      <c r="Q3944" s="4">
        <f t="shared" ca="1" si="340"/>
        <v>1920.8468370731362</v>
      </c>
      <c r="R3944" s="4">
        <f t="shared" ca="1" si="341"/>
        <v>-2.8232069268638043</v>
      </c>
      <c r="S3944" s="4">
        <f t="shared" ca="1" si="342"/>
        <v>-1.4258904552376472</v>
      </c>
    </row>
    <row r="3945" spans="15:19" x14ac:dyDescent="0.2">
      <c r="O3945" s="4">
        <f t="shared" ca="1" si="338"/>
        <v>0.13547052624148792</v>
      </c>
      <c r="P3945" s="4">
        <f t="shared" ca="1" si="339"/>
        <v>-1.1008980003063051</v>
      </c>
      <c r="Q3945" s="4">
        <f t="shared" ca="1" si="340"/>
        <v>1956.6159402044307</v>
      </c>
      <c r="R3945" s="4">
        <f t="shared" ca="1" si="341"/>
        <v>32.94589620443071</v>
      </c>
      <c r="S3945" s="4">
        <f t="shared" ca="1" si="342"/>
        <v>17.1193813556728</v>
      </c>
    </row>
    <row r="3946" spans="15:19" x14ac:dyDescent="0.2">
      <c r="O3946" s="4">
        <f t="shared" ca="1" si="338"/>
        <v>0.22398174436647744</v>
      </c>
      <c r="P3946" s="4">
        <f t="shared" ca="1" si="339"/>
        <v>-0.75881456982525664</v>
      </c>
      <c r="Q3946" s="4">
        <f t="shared" ca="1" si="340"/>
        <v>1946.2525378661683</v>
      </c>
      <c r="R3946" s="4">
        <f t="shared" ca="1" si="341"/>
        <v>22.582493866168306</v>
      </c>
      <c r="S3946" s="4">
        <f t="shared" ca="1" si="342"/>
        <v>11.639072286316434</v>
      </c>
    </row>
    <row r="3947" spans="15:19" x14ac:dyDescent="0.2">
      <c r="O3947" s="4">
        <f t="shared" ca="1" si="338"/>
        <v>0.60638618556040247</v>
      </c>
      <c r="P3947" s="4">
        <f t="shared" ca="1" si="339"/>
        <v>0.26991242394235299</v>
      </c>
      <c r="Q3947" s="4">
        <f t="shared" ca="1" si="340"/>
        <v>1915.0872992644242</v>
      </c>
      <c r="R3947" s="4">
        <f t="shared" ca="1" si="341"/>
        <v>-8.5827447355757158</v>
      </c>
      <c r="S3947" s="4">
        <f t="shared" ca="1" si="342"/>
        <v>-4.3146833054826681</v>
      </c>
    </row>
    <row r="3948" spans="15:19" x14ac:dyDescent="0.2">
      <c r="O3948" s="4">
        <f t="shared" ca="1" si="338"/>
        <v>0.64026288713789581</v>
      </c>
      <c r="P3948" s="4">
        <f t="shared" ca="1" si="339"/>
        <v>0.35916156751104678</v>
      </c>
      <c r="Q3948" s="4">
        <f t="shared" ca="1" si="340"/>
        <v>1912.383500422583</v>
      </c>
      <c r="R3948" s="4">
        <f t="shared" ca="1" si="341"/>
        <v>-11.286543577416978</v>
      </c>
      <c r="S3948" s="4">
        <f t="shared" ca="1" si="342"/>
        <v>-5.6615039622906558</v>
      </c>
    </row>
    <row r="3949" spans="15:19" x14ac:dyDescent="0.2">
      <c r="O3949" s="4">
        <f t="shared" ca="1" si="338"/>
        <v>2.5155101496586729E-3</v>
      </c>
      <c r="P3949" s="4">
        <f t="shared" ca="1" si="339"/>
        <v>-2.8050408512632918</v>
      </c>
      <c r="Q3949" s="4">
        <f t="shared" ca="1" si="340"/>
        <v>2008.2428722119409</v>
      </c>
      <c r="R3949" s="4">
        <f t="shared" ca="1" si="341"/>
        <v>84.572828211940987</v>
      </c>
      <c r="S3949" s="4">
        <f t="shared" ca="1" si="342"/>
        <v>45.72318241677349</v>
      </c>
    </row>
    <row r="3950" spans="15:19" x14ac:dyDescent="0.2">
      <c r="O3950" s="4">
        <f t="shared" ca="1" si="338"/>
        <v>0.66583286338037528</v>
      </c>
      <c r="P3950" s="4">
        <f t="shared" ca="1" si="339"/>
        <v>0.42843523930358923</v>
      </c>
      <c r="Q3950" s="4">
        <f t="shared" ca="1" si="340"/>
        <v>1910.2848576113092</v>
      </c>
      <c r="R3950" s="4">
        <f t="shared" ca="1" si="341"/>
        <v>-13.385186388690727</v>
      </c>
      <c r="S3950" s="4">
        <f t="shared" ca="1" si="342"/>
        <v>-6.7027806255191793</v>
      </c>
    </row>
    <row r="3951" spans="15:19" x14ac:dyDescent="0.2">
      <c r="O3951" s="4">
        <f t="shared" ca="1" si="338"/>
        <v>0.53506581505088302</v>
      </c>
      <c r="P3951" s="4">
        <f t="shared" ca="1" si="339"/>
        <v>8.8010450726510897E-2</v>
      </c>
      <c r="Q3951" s="4">
        <f t="shared" ca="1" si="340"/>
        <v>1920.5980114667332</v>
      </c>
      <c r="R3951" s="4">
        <f t="shared" ca="1" si="341"/>
        <v>-3.0720325332667926</v>
      </c>
      <c r="S3951" s="4">
        <f t="shared" ca="1" si="342"/>
        <v>-1.5512512900566773</v>
      </c>
    </row>
    <row r="3952" spans="15:19" x14ac:dyDescent="0.2">
      <c r="O3952" s="4">
        <f t="shared" ca="1" si="338"/>
        <v>0.35843813199022634</v>
      </c>
      <c r="P3952" s="4">
        <f t="shared" ca="1" si="339"/>
        <v>-0.36263673641093347</v>
      </c>
      <c r="Q3952" s="4">
        <f t="shared" ca="1" si="340"/>
        <v>1934.2503479927793</v>
      </c>
      <c r="R3952" s="4">
        <f t="shared" ca="1" si="341"/>
        <v>10.580303992779363</v>
      </c>
      <c r="S3952" s="4">
        <f t="shared" ca="1" si="342"/>
        <v>5.4014219964065369</v>
      </c>
    </row>
    <row r="3953" spans="15:19" x14ac:dyDescent="0.2">
      <c r="O3953" s="4">
        <f t="shared" ca="1" si="338"/>
        <v>0.71917084727877589</v>
      </c>
      <c r="P3953" s="4">
        <f t="shared" ca="1" si="339"/>
        <v>0.58038012435415132</v>
      </c>
      <c r="Q3953" s="4">
        <f t="shared" ca="1" si="340"/>
        <v>1905.681694064903</v>
      </c>
      <c r="R3953" s="4">
        <f t="shared" ca="1" si="341"/>
        <v>-17.988349935096949</v>
      </c>
      <c r="S3953" s="4">
        <f t="shared" ca="1" si="342"/>
        <v>-8.9741591727312642</v>
      </c>
    </row>
    <row r="3954" spans="15:19" x14ac:dyDescent="0.2">
      <c r="O3954" s="4">
        <f t="shared" ca="1" si="338"/>
        <v>0.10062501866961682</v>
      </c>
      <c r="P3954" s="4">
        <f t="shared" ca="1" si="339"/>
        <v>-1.2779982669363923</v>
      </c>
      <c r="Q3954" s="4">
        <f t="shared" ca="1" si="340"/>
        <v>1961.981184918915</v>
      </c>
      <c r="R3954" s="4">
        <f t="shared" ca="1" si="341"/>
        <v>38.311140918915044</v>
      </c>
      <c r="S3954" s="4">
        <f t="shared" ca="1" si="342"/>
        <v>19.990948004809567</v>
      </c>
    </row>
    <row r="3955" spans="15:19" x14ac:dyDescent="0.2">
      <c r="O3955" s="4">
        <f t="shared" ca="1" si="338"/>
        <v>0.24549467497504396</v>
      </c>
      <c r="P3955" s="4">
        <f t="shared" ca="1" si="339"/>
        <v>-0.68873610668563989</v>
      </c>
      <c r="Q3955" s="4">
        <f t="shared" ca="1" si="340"/>
        <v>1944.1295139367667</v>
      </c>
      <c r="R3955" s="4">
        <f t="shared" ca="1" si="341"/>
        <v>20.459469936766709</v>
      </c>
      <c r="S3955" s="4">
        <f t="shared" ca="1" si="342"/>
        <v>10.527179151165649</v>
      </c>
    </row>
    <row r="3956" spans="15:19" x14ac:dyDescent="0.2">
      <c r="O3956" s="4">
        <f t="shared" ca="1" si="338"/>
        <v>0.49891830548036209</v>
      </c>
      <c r="P3956" s="4">
        <f t="shared" ca="1" si="339"/>
        <v>-2.7114093896973284E-3</v>
      </c>
      <c r="Q3956" s="4">
        <f t="shared" ca="1" si="340"/>
        <v>1923.3464261909942</v>
      </c>
      <c r="R3956" s="4">
        <f t="shared" ca="1" si="341"/>
        <v>-0.32361780900578196</v>
      </c>
      <c r="S3956" s="4">
        <f t="shared" ca="1" si="342"/>
        <v>-0.16377587298073593</v>
      </c>
    </row>
    <row r="3957" spans="15:19" x14ac:dyDescent="0.2">
      <c r="O3957" s="4">
        <f t="shared" ca="1" si="338"/>
        <v>0.24206680526443469</v>
      </c>
      <c r="P3957" s="4">
        <f t="shared" ca="1" si="339"/>
        <v>-0.69966968832976373</v>
      </c>
      <c r="Q3957" s="4">
        <f t="shared" ca="1" si="340"/>
        <v>1944.4607463072357</v>
      </c>
      <c r="R3957" s="4">
        <f t="shared" ca="1" si="341"/>
        <v>20.790702307235733</v>
      </c>
      <c r="S3957" s="4">
        <f t="shared" ca="1" si="342"/>
        <v>10.700414168025343</v>
      </c>
    </row>
    <row r="3958" spans="15:19" x14ac:dyDescent="0.2">
      <c r="O3958" s="4">
        <f t="shared" ca="1" si="338"/>
        <v>0.70635293421133816</v>
      </c>
      <c r="P3958" s="4">
        <f t="shared" ca="1" si="339"/>
        <v>0.542761344173182</v>
      </c>
      <c r="Q3958" s="4">
        <f t="shared" ca="1" si="340"/>
        <v>1906.8213533402493</v>
      </c>
      <c r="R3958" s="4">
        <f t="shared" ca="1" si="341"/>
        <v>-16.848690659750673</v>
      </c>
      <c r="S3958" s="4">
        <f t="shared" ca="1" si="342"/>
        <v>-8.4134140921916849</v>
      </c>
    </row>
    <row r="3959" spans="15:19" x14ac:dyDescent="0.2">
      <c r="O3959" s="4">
        <f t="shared" ca="1" si="338"/>
        <v>0.75691189918632351</v>
      </c>
      <c r="P3959" s="4">
        <f t="shared" ca="1" si="339"/>
        <v>0.69640345231684175</v>
      </c>
      <c r="Q3959" s="4">
        <f t="shared" ca="1" si="340"/>
        <v>1902.1667724955926</v>
      </c>
      <c r="R3959" s="4">
        <f t="shared" ca="1" si="341"/>
        <v>-21.503271504407394</v>
      </c>
      <c r="S3959" s="4">
        <f t="shared" ca="1" si="342"/>
        <v>-10.696941639754263</v>
      </c>
    </row>
    <row r="3960" spans="15:19" x14ac:dyDescent="0.2">
      <c r="O3960" s="4">
        <f t="shared" ca="1" si="338"/>
        <v>0.81495622750571339</v>
      </c>
      <c r="P3960" s="4">
        <f t="shared" ca="1" si="339"/>
        <v>0.89630939081501293</v>
      </c>
      <c r="Q3960" s="4">
        <f t="shared" ca="1" si="340"/>
        <v>1896.1106309644133</v>
      </c>
      <c r="R3960" s="4">
        <f t="shared" ca="1" si="341"/>
        <v>-27.559413035586658</v>
      </c>
      <c r="S3960" s="4">
        <f t="shared" ca="1" si="342"/>
        <v>-13.641667094570625</v>
      </c>
    </row>
    <row r="3961" spans="15:19" x14ac:dyDescent="0.2">
      <c r="O3961" s="4">
        <f t="shared" ca="1" si="338"/>
        <v>0.99531082464901355</v>
      </c>
      <c r="P3961" s="4">
        <f t="shared" ca="1" si="339"/>
        <v>2.5979450261687407</v>
      </c>
      <c r="Q3961" s="4">
        <f t="shared" ca="1" si="340"/>
        <v>1844.5596549422858</v>
      </c>
      <c r="R3961" s="4">
        <f t="shared" ca="1" si="341"/>
        <v>-79.110389057714201</v>
      </c>
      <c r="S3961" s="4">
        <f t="shared" ca="1" si="342"/>
        <v>-37.4988299354209</v>
      </c>
    </row>
    <row r="3962" spans="15:19" x14ac:dyDescent="0.2">
      <c r="O3962" s="4">
        <f t="shared" ca="1" si="338"/>
        <v>0.45115622751727436</v>
      </c>
      <c r="P3962" s="4">
        <f t="shared" ca="1" si="339"/>
        <v>-0.12274067290719795</v>
      </c>
      <c r="Q3962" s="4">
        <f t="shared" ca="1" si="340"/>
        <v>1926.9827074000782</v>
      </c>
      <c r="R3962" s="4">
        <f t="shared" ca="1" si="341"/>
        <v>3.312663400078236</v>
      </c>
      <c r="S3962" s="4">
        <f t="shared" ca="1" si="342"/>
        <v>1.6813697317019967</v>
      </c>
    </row>
    <row r="3963" spans="15:19" x14ac:dyDescent="0.2">
      <c r="O3963" s="4">
        <f t="shared" ca="1" si="338"/>
        <v>0.87737103883283873</v>
      </c>
      <c r="P3963" s="4">
        <f t="shared" ca="1" si="339"/>
        <v>1.1619447150074702</v>
      </c>
      <c r="Q3963" s="4">
        <f t="shared" ca="1" si="340"/>
        <v>1888.0632206119444</v>
      </c>
      <c r="R3963" s="4">
        <f t="shared" ca="1" si="341"/>
        <v>-35.606823388055545</v>
      </c>
      <c r="S3963" s="4">
        <f t="shared" ca="1" si="342"/>
        <v>-17.508421727126652</v>
      </c>
    </row>
    <row r="3964" spans="15:19" x14ac:dyDescent="0.2">
      <c r="O3964" s="4">
        <f t="shared" ca="1" si="338"/>
        <v>0.24200423689981543</v>
      </c>
      <c r="P3964" s="4">
        <f t="shared" ca="1" si="339"/>
        <v>-0.69987003260356906</v>
      </c>
      <c r="Q3964" s="4">
        <f t="shared" ca="1" si="340"/>
        <v>1944.4668157281153</v>
      </c>
      <c r="R3964" s="4">
        <f t="shared" ca="1" si="341"/>
        <v>20.796771728115345</v>
      </c>
      <c r="S3964" s="4">
        <f t="shared" ca="1" si="342"/>
        <v>10.703589317433883</v>
      </c>
    </row>
    <row r="3965" spans="15:19" x14ac:dyDescent="0.2">
      <c r="O3965" s="4">
        <f t="shared" ca="1" si="338"/>
        <v>0.60570227907387386</v>
      </c>
      <c r="P3965" s="4">
        <f t="shared" ca="1" si="339"/>
        <v>0.26813495316631386</v>
      </c>
      <c r="Q3965" s="4">
        <f t="shared" ca="1" si="340"/>
        <v>1915.1411476626665</v>
      </c>
      <c r="R3965" s="4">
        <f t="shared" ca="1" si="341"/>
        <v>-8.5288963373334354</v>
      </c>
      <c r="S3965" s="4">
        <f t="shared" ca="1" si="342"/>
        <v>-4.2877998064659018</v>
      </c>
    </row>
    <row r="3966" spans="15:19" x14ac:dyDescent="0.2">
      <c r="O3966" s="4">
        <f t="shared" ca="1" si="338"/>
        <v>0.57622992321861954</v>
      </c>
      <c r="P3966" s="4">
        <f t="shared" ca="1" si="339"/>
        <v>0.19225795174571456</v>
      </c>
      <c r="Q3966" s="4">
        <f t="shared" ca="1" si="340"/>
        <v>1917.4398380518408</v>
      </c>
      <c r="R3966" s="4">
        <f t="shared" ca="1" si="341"/>
        <v>-6.2302059481592096</v>
      </c>
      <c r="S3966" s="4">
        <f t="shared" ca="1" si="342"/>
        <v>-3.1379906934816755</v>
      </c>
    </row>
    <row r="3967" spans="15:19" x14ac:dyDescent="0.2">
      <c r="O3967" s="4">
        <f t="shared" ca="1" si="338"/>
        <v>0.80485441334370322</v>
      </c>
      <c r="P3967" s="4">
        <f t="shared" ca="1" si="339"/>
        <v>0.85908943927998138</v>
      </c>
      <c r="Q3967" s="4">
        <f t="shared" ca="1" si="340"/>
        <v>1897.2382077436387</v>
      </c>
      <c r="R3967" s="4">
        <f t="shared" ca="1" si="341"/>
        <v>-26.431836256361294</v>
      </c>
      <c r="S3967" s="4">
        <f t="shared" ca="1" si="342"/>
        <v>-13.095658765377488</v>
      </c>
    </row>
    <row r="3968" spans="15:19" x14ac:dyDescent="0.2">
      <c r="O3968" s="4">
        <f t="shared" ca="1" si="338"/>
        <v>0.45377349454977833</v>
      </c>
      <c r="P3968" s="4">
        <f t="shared" ca="1" si="339"/>
        <v>-0.11613318476867074</v>
      </c>
      <c r="Q3968" s="4">
        <f t="shared" ca="1" si="340"/>
        <v>1926.7825338402872</v>
      </c>
      <c r="R3968" s="4">
        <f t="shared" ca="1" si="341"/>
        <v>3.1124898402872532</v>
      </c>
      <c r="S3968" s="4">
        <f t="shared" ca="1" si="342"/>
        <v>1.5795163646812207</v>
      </c>
    </row>
    <row r="3969" spans="15:19" x14ac:dyDescent="0.2">
      <c r="O3969" s="4">
        <f t="shared" ca="1" si="338"/>
        <v>0.51333113079545112</v>
      </c>
      <c r="P3969" s="4">
        <f t="shared" ca="1" si="339"/>
        <v>3.34224108015466E-2</v>
      </c>
      <c r="Q3969" s="4">
        <f t="shared" ca="1" si="340"/>
        <v>1922.2517537126057</v>
      </c>
      <c r="R3969" s="4">
        <f t="shared" ca="1" si="341"/>
        <v>-1.4182902873942567</v>
      </c>
      <c r="S3969" s="4">
        <f t="shared" ca="1" si="342"/>
        <v>-0.71713359648030262</v>
      </c>
    </row>
    <row r="3970" spans="15:19" x14ac:dyDescent="0.2">
      <c r="O3970" s="4">
        <f t="shared" ca="1" si="338"/>
        <v>0.52728325362348605</v>
      </c>
      <c r="P3970" s="4">
        <f t="shared" ca="1" si="339"/>
        <v>6.8442372197197843E-2</v>
      </c>
      <c r="Q3970" s="4">
        <f t="shared" ca="1" si="340"/>
        <v>1921.1908255369756</v>
      </c>
      <c r="R3970" s="4">
        <f t="shared" ca="1" si="341"/>
        <v>-2.479218463024381</v>
      </c>
      <c r="S3970" s="4">
        <f t="shared" ca="1" si="342"/>
        <v>-1.2525026088514757</v>
      </c>
    </row>
    <row r="3971" spans="15:19" x14ac:dyDescent="0.2">
      <c r="O3971" s="4">
        <f t="shared" ref="O3971:O4034" ca="1" si="343">RAND()</f>
        <v>0.14826822600382139</v>
      </c>
      <c r="P3971" s="4">
        <f t="shared" ref="P3971:P4034" ca="1" si="344">NORMSINV(O3971)</f>
        <v>-1.0438896397863791</v>
      </c>
      <c r="Q3971" s="4">
        <f t="shared" ref="Q3971:Q4034" ca="1" si="345">$B$4*(1+$B$17-$B$6/SQRT(252)*P3971)</f>
        <v>1954.8888744535936</v>
      </c>
      <c r="R3971" s="4">
        <f t="shared" ref="R3971:R4034" ca="1" si="346">Q3971-$B$4</f>
        <v>31.218830453593682</v>
      </c>
      <c r="S3971" s="4">
        <f t="shared" ref="S3971:S4034" ca="1" si="347">R3971*$B$12+0.5*$B$13*R3971^2</f>
        <v>16.200013687144207</v>
      </c>
    </row>
    <row r="3972" spans="15:19" x14ac:dyDescent="0.2">
      <c r="O3972" s="4">
        <f t="shared" ca="1" si="343"/>
        <v>0.60412356336276352</v>
      </c>
      <c r="P3972" s="4">
        <f t="shared" ca="1" si="344"/>
        <v>0.26403509868822617</v>
      </c>
      <c r="Q3972" s="4">
        <f t="shared" ca="1" si="345"/>
        <v>1915.2653525720505</v>
      </c>
      <c r="R3972" s="4">
        <f t="shared" ca="1" si="346"/>
        <v>-8.4046914279495013</v>
      </c>
      <c r="S3972" s="4">
        <f t="shared" ca="1" si="347"/>
        <v>-4.2257822268950838</v>
      </c>
    </row>
    <row r="3973" spans="15:19" x14ac:dyDescent="0.2">
      <c r="O3973" s="4">
        <f t="shared" ca="1" si="343"/>
        <v>0.88913197952581113</v>
      </c>
      <c r="P3973" s="4">
        <f t="shared" ca="1" si="344"/>
        <v>1.2219248663833868</v>
      </c>
      <c r="Q3973" s="4">
        <f t="shared" ca="1" si="345"/>
        <v>1886.2461245890697</v>
      </c>
      <c r="R3973" s="4">
        <f t="shared" ca="1" si="346"/>
        <v>-37.423919410930239</v>
      </c>
      <c r="S3973" s="4">
        <f t="shared" ca="1" si="347"/>
        <v>-18.374233869645881</v>
      </c>
    </row>
    <row r="3974" spans="15:19" x14ac:dyDescent="0.2">
      <c r="O3974" s="4">
        <f t="shared" ca="1" si="343"/>
        <v>0.92572041614674638</v>
      </c>
      <c r="P3974" s="4">
        <f t="shared" ca="1" si="344"/>
        <v>1.4446395141157826</v>
      </c>
      <c r="Q3974" s="4">
        <f t="shared" ca="1" si="345"/>
        <v>1879.4989942243235</v>
      </c>
      <c r="R3974" s="4">
        <f t="shared" ca="1" si="346"/>
        <v>-44.171049775676465</v>
      </c>
      <c r="S3974" s="4">
        <f t="shared" ca="1" si="347"/>
        <v>-21.56559275586811</v>
      </c>
    </row>
    <row r="3975" spans="15:19" x14ac:dyDescent="0.2">
      <c r="O3975" s="4">
        <f t="shared" ca="1" si="343"/>
        <v>0.2360634850889114</v>
      </c>
      <c r="P3975" s="4">
        <f t="shared" ca="1" si="344"/>
        <v>-0.71902264013055661</v>
      </c>
      <c r="Q3975" s="4">
        <f t="shared" ca="1" si="345"/>
        <v>1945.0470431227891</v>
      </c>
      <c r="R3975" s="4">
        <f t="shared" ca="1" si="346"/>
        <v>21.37699912278913</v>
      </c>
      <c r="S3975" s="4">
        <f t="shared" ca="1" si="347"/>
        <v>11.00726724538403</v>
      </c>
    </row>
    <row r="3976" spans="15:19" x14ac:dyDescent="0.2">
      <c r="O3976" s="4">
        <f t="shared" ca="1" si="343"/>
        <v>0.17447546494299793</v>
      </c>
      <c r="P3976" s="4">
        <f t="shared" ca="1" si="344"/>
        <v>-0.93662608387111534</v>
      </c>
      <c r="Q3976" s="4">
        <f t="shared" ca="1" si="345"/>
        <v>1951.6393297895349</v>
      </c>
      <c r="R3976" s="4">
        <f t="shared" ca="1" si="346"/>
        <v>27.969285789534979</v>
      </c>
      <c r="S3976" s="4">
        <f t="shared" ca="1" si="347"/>
        <v>14.476768922806929</v>
      </c>
    </row>
    <row r="3977" spans="15:19" x14ac:dyDescent="0.2">
      <c r="O3977" s="4">
        <f t="shared" ca="1" si="343"/>
        <v>0.33198826366316037</v>
      </c>
      <c r="P3977" s="4">
        <f t="shared" ca="1" si="344"/>
        <v>-0.43442957194254367</v>
      </c>
      <c r="Q3977" s="4">
        <f t="shared" ca="1" si="345"/>
        <v>1936.4253087576794</v>
      </c>
      <c r="R3977" s="4">
        <f t="shared" ca="1" si="346"/>
        <v>12.75526475767947</v>
      </c>
      <c r="S3977" s="4">
        <f t="shared" ca="1" si="347"/>
        <v>6.5230688088218516</v>
      </c>
    </row>
    <row r="3978" spans="15:19" x14ac:dyDescent="0.2">
      <c r="O3978" s="4">
        <f t="shared" ca="1" si="343"/>
        <v>0.77541923663830636</v>
      </c>
      <c r="P3978" s="4">
        <f t="shared" ca="1" si="344"/>
        <v>0.75681362848723477</v>
      </c>
      <c r="Q3978" s="4">
        <f t="shared" ca="1" si="345"/>
        <v>1900.3366488906615</v>
      </c>
      <c r="R3978" s="4">
        <f t="shared" ca="1" si="346"/>
        <v>-23.333395109338426</v>
      </c>
      <c r="S3978" s="4">
        <f t="shared" ca="1" si="347"/>
        <v>-11.589965400758921</v>
      </c>
    </row>
    <row r="3979" spans="15:19" x14ac:dyDescent="0.2">
      <c r="O3979" s="4">
        <f t="shared" ca="1" si="343"/>
        <v>0.70046402182587952</v>
      </c>
      <c r="P3979" s="4">
        <f t="shared" ca="1" si="344"/>
        <v>0.52573555519636395</v>
      </c>
      <c r="Q3979" s="4">
        <f t="shared" ca="1" si="345"/>
        <v>1907.3371488613741</v>
      </c>
      <c r="R3979" s="4">
        <f t="shared" ca="1" si="346"/>
        <v>-16.332895138625872</v>
      </c>
      <c r="S3979" s="4">
        <f t="shared" ca="1" si="347"/>
        <v>-8.1592803017511599</v>
      </c>
    </row>
    <row r="3980" spans="15:19" x14ac:dyDescent="0.2">
      <c r="O3980" s="4">
        <f t="shared" ca="1" si="343"/>
        <v>0.14588721925834758</v>
      </c>
      <c r="P3980" s="4">
        <f t="shared" ca="1" si="344"/>
        <v>-1.0542369685231039</v>
      </c>
      <c r="Q3980" s="4">
        <f t="shared" ca="1" si="345"/>
        <v>1955.2023463182616</v>
      </c>
      <c r="R3980" s="4">
        <f t="shared" ca="1" si="346"/>
        <v>31.5323023182616</v>
      </c>
      <c r="S3980" s="4">
        <f t="shared" ca="1" si="347"/>
        <v>16.366703558028195</v>
      </c>
    </row>
    <row r="3981" spans="15:19" x14ac:dyDescent="0.2">
      <c r="O3981" s="4">
        <f t="shared" ca="1" si="343"/>
        <v>0.88790084502882438</v>
      </c>
      <c r="P3981" s="4">
        <f t="shared" ca="1" si="344"/>
        <v>1.2154400258018885</v>
      </c>
      <c r="Q3981" s="4">
        <f t="shared" ca="1" si="345"/>
        <v>1886.4425825465657</v>
      </c>
      <c r="R3981" s="4">
        <f t="shared" ca="1" si="346"/>
        <v>-37.227461453434216</v>
      </c>
      <c r="S3981" s="4">
        <f t="shared" ca="1" si="347"/>
        <v>-18.280754946657218</v>
      </c>
    </row>
    <row r="3982" spans="15:19" x14ac:dyDescent="0.2">
      <c r="O3982" s="4">
        <f t="shared" ca="1" si="343"/>
        <v>0.50258891203885037</v>
      </c>
      <c r="P3982" s="4">
        <f t="shared" ca="1" si="344"/>
        <v>6.4894856659043106E-3</v>
      </c>
      <c r="Q3982" s="4">
        <f t="shared" ca="1" si="345"/>
        <v>1923.0676854837952</v>
      </c>
      <c r="R3982" s="4">
        <f t="shared" ca="1" si="346"/>
        <v>-0.60235851620473113</v>
      </c>
      <c r="S3982" s="4">
        <f t="shared" ca="1" si="347"/>
        <v>-0.30477208166668451</v>
      </c>
    </row>
    <row r="3983" spans="15:19" x14ac:dyDescent="0.2">
      <c r="O3983" s="4">
        <f t="shared" ca="1" si="343"/>
        <v>0.15697888007762206</v>
      </c>
      <c r="P3983" s="4">
        <f t="shared" ca="1" si="344"/>
        <v>-1.006952168918914</v>
      </c>
      <c r="Q3983" s="4">
        <f t="shared" ca="1" si="345"/>
        <v>1953.7698554136505</v>
      </c>
      <c r="R3983" s="4">
        <f t="shared" ca="1" si="346"/>
        <v>30.099811413650514</v>
      </c>
      <c r="S3983" s="4">
        <f t="shared" ca="1" si="347"/>
        <v>15.605623530200683</v>
      </c>
    </row>
    <row r="3984" spans="15:19" x14ac:dyDescent="0.2">
      <c r="O3984" s="4">
        <f t="shared" ca="1" si="343"/>
        <v>0.17928594761291772</v>
      </c>
      <c r="P3984" s="4">
        <f t="shared" ca="1" si="344"/>
        <v>-0.91808972210124562</v>
      </c>
      <c r="Q3984" s="4">
        <f t="shared" ca="1" si="345"/>
        <v>1951.0777715327124</v>
      </c>
      <c r="R3984" s="4">
        <f t="shared" ca="1" si="346"/>
        <v>27.407727532712443</v>
      </c>
      <c r="S3984" s="4">
        <f t="shared" ca="1" si="347"/>
        <v>14.179843830490553</v>
      </c>
    </row>
    <row r="3985" spans="15:19" x14ac:dyDescent="0.2">
      <c r="O3985" s="4">
        <f t="shared" ca="1" si="343"/>
        <v>0.22910534517327508</v>
      </c>
      <c r="P3985" s="4">
        <f t="shared" ca="1" si="344"/>
        <v>-0.7417964193549168</v>
      </c>
      <c r="Q3985" s="4">
        <f t="shared" ca="1" si="345"/>
        <v>1945.7369737532579</v>
      </c>
      <c r="R3985" s="4">
        <f t="shared" ca="1" si="346"/>
        <v>22.066929753257909</v>
      </c>
      <c r="S3985" s="4">
        <f t="shared" ca="1" si="347"/>
        <v>11.368718095232516</v>
      </c>
    </row>
    <row r="3986" spans="15:19" x14ac:dyDescent="0.2">
      <c r="O3986" s="4">
        <f t="shared" ca="1" si="343"/>
        <v>9.3371061956741275E-2</v>
      </c>
      <c r="P3986" s="4">
        <f t="shared" ca="1" si="344"/>
        <v>-1.3202782819685424</v>
      </c>
      <c r="Q3986" s="4">
        <f t="shared" ca="1" si="345"/>
        <v>1963.2620560971238</v>
      </c>
      <c r="R3986" s="4">
        <f t="shared" ca="1" si="346"/>
        <v>39.59201209712387</v>
      </c>
      <c r="S3986" s="4">
        <f t="shared" ca="1" si="347"/>
        <v>20.679956497524316</v>
      </c>
    </row>
    <row r="3987" spans="15:19" x14ac:dyDescent="0.2">
      <c r="O3987" s="4">
        <f t="shared" ca="1" si="343"/>
        <v>0.36755372066699232</v>
      </c>
      <c r="P3987" s="4">
        <f t="shared" ca="1" si="344"/>
        <v>-0.33833939249040973</v>
      </c>
      <c r="Q3987" s="4">
        <f t="shared" ca="1" si="345"/>
        <v>1933.5142610374849</v>
      </c>
      <c r="R3987" s="4">
        <f t="shared" ca="1" si="346"/>
        <v>9.8442170374848956</v>
      </c>
      <c r="S3987" s="4">
        <f t="shared" ca="1" si="347"/>
        <v>5.0226876000153329</v>
      </c>
    </row>
    <row r="3988" spans="15:19" x14ac:dyDescent="0.2">
      <c r="O3988" s="4">
        <f t="shared" ca="1" si="343"/>
        <v>0.11136784593497395</v>
      </c>
      <c r="P3988" s="4">
        <f t="shared" ca="1" si="344"/>
        <v>-1.2192859171182282</v>
      </c>
      <c r="Q3988" s="4">
        <f t="shared" ca="1" si="345"/>
        <v>1960.2024968879434</v>
      </c>
      <c r="R3988" s="4">
        <f t="shared" ca="1" si="346"/>
        <v>36.532452887943464</v>
      </c>
      <c r="S3988" s="4">
        <f t="shared" ca="1" si="347"/>
        <v>19.036368260254459</v>
      </c>
    </row>
    <row r="3989" spans="15:19" x14ac:dyDescent="0.2">
      <c r="O3989" s="4">
        <f t="shared" ca="1" si="343"/>
        <v>0.20521458865651443</v>
      </c>
      <c r="P3989" s="4">
        <f t="shared" ca="1" si="344"/>
        <v>-0.82313860530248206</v>
      </c>
      <c r="Q3989" s="4">
        <f t="shared" ca="1" si="345"/>
        <v>1948.2012316650282</v>
      </c>
      <c r="R3989" s="4">
        <f t="shared" ca="1" si="346"/>
        <v>24.531187665028256</v>
      </c>
      <c r="S3989" s="4">
        <f t="shared" ca="1" si="347"/>
        <v>12.662893256784692</v>
      </c>
    </row>
    <row r="3990" spans="15:19" x14ac:dyDescent="0.2">
      <c r="O3990" s="4">
        <f t="shared" ca="1" si="343"/>
        <v>0.4548047481447528</v>
      </c>
      <c r="P3990" s="4">
        <f t="shared" ca="1" si="344"/>
        <v>-0.11353111506657527</v>
      </c>
      <c r="Q3990" s="4">
        <f t="shared" ca="1" si="345"/>
        <v>1926.7037042541915</v>
      </c>
      <c r="R3990" s="4">
        <f t="shared" ca="1" si="346"/>
        <v>3.0336602541915454</v>
      </c>
      <c r="S3990" s="4">
        <f t="shared" ca="1" si="347"/>
        <v>1.5394148316549821</v>
      </c>
    </row>
    <row r="3991" spans="15:19" x14ac:dyDescent="0.2">
      <c r="O3991" s="4">
        <f t="shared" ca="1" si="343"/>
        <v>0.39209462581843724</v>
      </c>
      <c r="P3991" s="4">
        <f t="shared" ca="1" si="344"/>
        <v>-0.27386385223239423</v>
      </c>
      <c r="Q3991" s="4">
        <f t="shared" ca="1" si="345"/>
        <v>1931.5609774080174</v>
      </c>
      <c r="R3991" s="4">
        <f t="shared" ca="1" si="346"/>
        <v>7.8909334080174176</v>
      </c>
      <c r="S3991" s="4">
        <f t="shared" ca="1" si="347"/>
        <v>4.0198146923821785</v>
      </c>
    </row>
    <row r="3992" spans="15:19" x14ac:dyDescent="0.2">
      <c r="O3992" s="4">
        <f t="shared" ca="1" si="343"/>
        <v>0.99545249831874949</v>
      </c>
      <c r="P3992" s="4">
        <f t="shared" ca="1" si="344"/>
        <v>2.6084622847157894</v>
      </c>
      <c r="Q3992" s="4">
        <f t="shared" ca="1" si="345"/>
        <v>1844.2410350615587</v>
      </c>
      <c r="R3992" s="4">
        <f t="shared" ca="1" si="346"/>
        <v>-79.429008938441257</v>
      </c>
      <c r="S3992" s="4">
        <f t="shared" ca="1" si="347"/>
        <v>-37.639555824780921</v>
      </c>
    </row>
    <row r="3993" spans="15:19" x14ac:dyDescent="0.2">
      <c r="O3993" s="4">
        <f t="shared" ca="1" si="343"/>
        <v>0.51978318409309254</v>
      </c>
      <c r="P3993" s="4">
        <f t="shared" ca="1" si="344"/>
        <v>4.9609430024636157E-2</v>
      </c>
      <c r="Q3993" s="4">
        <f t="shared" ca="1" si="345"/>
        <v>1921.7613686839295</v>
      </c>
      <c r="R3993" s="4">
        <f t="shared" ca="1" si="346"/>
        <v>-1.9086753160704575</v>
      </c>
      <c r="S3993" s="4">
        <f t="shared" ca="1" si="347"/>
        <v>-0.96470717022180819</v>
      </c>
    </row>
    <row r="3994" spans="15:19" x14ac:dyDescent="0.2">
      <c r="O3994" s="4">
        <f t="shared" ca="1" si="343"/>
        <v>2.3270887334127854E-2</v>
      </c>
      <c r="P3994" s="4">
        <f t="shared" ca="1" si="344"/>
        <v>-1.9904464747320789</v>
      </c>
      <c r="Q3994" s="4">
        <f t="shared" ca="1" si="345"/>
        <v>1983.5647717421004</v>
      </c>
      <c r="R3994" s="4">
        <f t="shared" ca="1" si="346"/>
        <v>59.894727742100486</v>
      </c>
      <c r="S3994" s="4">
        <f t="shared" ca="1" si="347"/>
        <v>31.779609198540125</v>
      </c>
    </row>
    <row r="3995" spans="15:19" x14ac:dyDescent="0.2">
      <c r="O3995" s="4">
        <f t="shared" ca="1" si="343"/>
        <v>0.49877231918930021</v>
      </c>
      <c r="P3995" s="4">
        <f t="shared" ca="1" si="344"/>
        <v>-3.0773442894147379E-3</v>
      </c>
      <c r="Q3995" s="4">
        <f t="shared" ca="1" si="345"/>
        <v>1923.3575121725339</v>
      </c>
      <c r="R3995" s="4">
        <f t="shared" ca="1" si="346"/>
        <v>-0.3125318274660458</v>
      </c>
      <c r="S3995" s="4">
        <f t="shared" ca="1" si="347"/>
        <v>-0.15816691133103655</v>
      </c>
    </row>
    <row r="3996" spans="15:19" x14ac:dyDescent="0.2">
      <c r="O3996" s="4">
        <f t="shared" ca="1" si="343"/>
        <v>0.71228907898946991</v>
      </c>
      <c r="P3996" s="4">
        <f t="shared" ca="1" si="344"/>
        <v>0.56008444179750683</v>
      </c>
      <c r="Q3996" s="4">
        <f t="shared" ca="1" si="345"/>
        <v>1906.2965508668485</v>
      </c>
      <c r="R3996" s="4">
        <f t="shared" ca="1" si="346"/>
        <v>-17.373493133151442</v>
      </c>
      <c r="S3996" s="4">
        <f t="shared" ca="1" si="347"/>
        <v>-8.6717633274446939</v>
      </c>
    </row>
    <row r="3997" spans="15:19" x14ac:dyDescent="0.2">
      <c r="O3997" s="4">
        <f t="shared" ca="1" si="343"/>
        <v>0.36239268335403929</v>
      </c>
      <c r="P3997" s="4">
        <f t="shared" ca="1" si="344"/>
        <v>-0.35207053288712681</v>
      </c>
      <c r="Q3997" s="4">
        <f t="shared" ca="1" si="345"/>
        <v>1933.9302453261544</v>
      </c>
      <c r="R3997" s="4">
        <f t="shared" ca="1" si="346"/>
        <v>10.260201326154402</v>
      </c>
      <c r="S3997" s="4">
        <f t="shared" ca="1" si="347"/>
        <v>5.2366672911339132</v>
      </c>
    </row>
    <row r="3998" spans="15:19" x14ac:dyDescent="0.2">
      <c r="O3998" s="4">
        <f t="shared" ca="1" si="343"/>
        <v>0.29339485482044281</v>
      </c>
      <c r="P3998" s="4">
        <f t="shared" ca="1" si="344"/>
        <v>-0.54349401630112693</v>
      </c>
      <c r="Q3998" s="4">
        <f t="shared" ca="1" si="345"/>
        <v>1939.7294112571713</v>
      </c>
      <c r="R3998" s="4">
        <f t="shared" ca="1" si="346"/>
        <v>16.059367257171289</v>
      </c>
      <c r="S3998" s="4">
        <f t="shared" ca="1" si="347"/>
        <v>8.2343934927241484</v>
      </c>
    </row>
    <row r="3999" spans="15:19" x14ac:dyDescent="0.2">
      <c r="O3999" s="4">
        <f t="shared" ca="1" si="343"/>
        <v>0.69103849188656241</v>
      </c>
      <c r="P3999" s="4">
        <f t="shared" ca="1" si="344"/>
        <v>0.49879612711302795</v>
      </c>
      <c r="Q3999" s="4">
        <f t="shared" ca="1" si="345"/>
        <v>1908.1532776390752</v>
      </c>
      <c r="R3999" s="4">
        <f t="shared" ca="1" si="346"/>
        <v>-15.516766360924748</v>
      </c>
      <c r="S3999" s="4">
        <f t="shared" ca="1" si="347"/>
        <v>-7.7567290440896155</v>
      </c>
    </row>
    <row r="4000" spans="15:19" x14ac:dyDescent="0.2">
      <c r="O4000" s="4">
        <f t="shared" ca="1" si="343"/>
        <v>1.1499626014380482E-2</v>
      </c>
      <c r="P4000" s="4">
        <f t="shared" ca="1" si="344"/>
        <v>-2.2734470754048783</v>
      </c>
      <c r="Q4000" s="4">
        <f t="shared" ca="1" si="345"/>
        <v>1992.1382623745405</v>
      </c>
      <c r="R4000" s="4">
        <f t="shared" ca="1" si="346"/>
        <v>68.468218374540584</v>
      </c>
      <c r="S4000" s="4">
        <f t="shared" ca="1" si="347"/>
        <v>36.567581353456603</v>
      </c>
    </row>
    <row r="4001" spans="15:19" x14ac:dyDescent="0.2">
      <c r="O4001" s="4">
        <f t="shared" ca="1" si="343"/>
        <v>0.22058388243969773</v>
      </c>
      <c r="P4001" s="4">
        <f t="shared" ca="1" si="344"/>
        <v>-0.77022276041086535</v>
      </c>
      <c r="Q4001" s="4">
        <f t="shared" ca="1" si="345"/>
        <v>1946.5981484934468</v>
      </c>
      <c r="R4001" s="4">
        <f t="shared" ca="1" si="346"/>
        <v>22.928104493446881</v>
      </c>
      <c r="S4001" s="4">
        <f t="shared" ca="1" si="347"/>
        <v>11.820426541119973</v>
      </c>
    </row>
    <row r="4002" spans="15:19" x14ac:dyDescent="0.2">
      <c r="O4002" s="4">
        <f t="shared" ca="1" si="343"/>
        <v>0.86665877868804553</v>
      </c>
      <c r="P4002" s="4">
        <f t="shared" ca="1" si="344"/>
        <v>1.1107349757448521</v>
      </c>
      <c r="Q4002" s="4">
        <f t="shared" ca="1" si="345"/>
        <v>1889.6146173892444</v>
      </c>
      <c r="R4002" s="4">
        <f t="shared" ca="1" si="346"/>
        <v>-34.055426610755603</v>
      </c>
      <c r="S4002" s="4">
        <f t="shared" ca="1" si="347"/>
        <v>-16.76708299674992</v>
      </c>
    </row>
    <row r="4003" spans="15:19" x14ac:dyDescent="0.2">
      <c r="O4003" s="4">
        <f t="shared" ca="1" si="343"/>
        <v>0.37324456342652312</v>
      </c>
      <c r="P4003" s="4">
        <f t="shared" ca="1" si="344"/>
        <v>-0.32327217224216565</v>
      </c>
      <c r="Q4003" s="4">
        <f t="shared" ca="1" si="345"/>
        <v>1933.0578002690336</v>
      </c>
      <c r="R4003" s="4">
        <f t="shared" ca="1" si="346"/>
        <v>9.3877562690336163</v>
      </c>
      <c r="S4003" s="4">
        <f t="shared" ca="1" si="347"/>
        <v>4.7880491733124293</v>
      </c>
    </row>
    <row r="4004" spans="15:19" x14ac:dyDescent="0.2">
      <c r="O4004" s="4">
        <f t="shared" ca="1" si="343"/>
        <v>0.13841511645494164</v>
      </c>
      <c r="P4004" s="4">
        <f t="shared" ca="1" si="344"/>
        <v>-1.0874675480716238</v>
      </c>
      <c r="Q4004" s="4">
        <f t="shared" ca="1" si="345"/>
        <v>1956.2090652502798</v>
      </c>
      <c r="R4004" s="4">
        <f t="shared" ca="1" si="346"/>
        <v>32.539021250279802</v>
      </c>
      <c r="S4004" s="4">
        <f t="shared" ca="1" si="347"/>
        <v>16.902571245793261</v>
      </c>
    </row>
    <row r="4005" spans="15:19" x14ac:dyDescent="0.2">
      <c r="O4005" s="4">
        <f t="shared" ca="1" si="343"/>
        <v>0.54967020822347501</v>
      </c>
      <c r="P4005" s="4">
        <f t="shared" ca="1" si="344"/>
        <v>0.12482817230705311</v>
      </c>
      <c r="Q4005" s="4">
        <f t="shared" ca="1" si="345"/>
        <v>1919.4826202261206</v>
      </c>
      <c r="R4005" s="4">
        <f t="shared" ca="1" si="346"/>
        <v>-4.1874237738793454</v>
      </c>
      <c r="S4005" s="4">
        <f t="shared" ca="1" si="347"/>
        <v>-2.1125771671479963</v>
      </c>
    </row>
    <row r="4006" spans="15:19" x14ac:dyDescent="0.2">
      <c r="O4006" s="4">
        <f t="shared" ca="1" si="343"/>
        <v>3.7128531915162633E-3</v>
      </c>
      <c r="P4006" s="4">
        <f t="shared" ca="1" si="344"/>
        <v>-2.6771243756946723</v>
      </c>
      <c r="Q4006" s="4">
        <f t="shared" ca="1" si="345"/>
        <v>2004.3676482639528</v>
      </c>
      <c r="R4006" s="4">
        <f t="shared" ca="1" si="346"/>
        <v>80.697604263952826</v>
      </c>
      <c r="S4006" s="4">
        <f t="shared" ca="1" si="347"/>
        <v>43.500794565847329</v>
      </c>
    </row>
    <row r="4007" spans="15:19" x14ac:dyDescent="0.2">
      <c r="O4007" s="4">
        <f t="shared" ca="1" si="343"/>
        <v>0.32148005094743326</v>
      </c>
      <c r="P4007" s="4">
        <f t="shared" ca="1" si="344"/>
        <v>-0.46356406957572716</v>
      </c>
      <c r="Q4007" s="4">
        <f t="shared" ca="1" si="345"/>
        <v>1937.3079370699345</v>
      </c>
      <c r="R4007" s="4">
        <f t="shared" ca="1" si="346"/>
        <v>13.637893069934535</v>
      </c>
      <c r="S4007" s="4">
        <f t="shared" ca="1" si="347"/>
        <v>6.9793467251615873</v>
      </c>
    </row>
    <row r="4008" spans="15:19" x14ac:dyDescent="0.2">
      <c r="O4008" s="4">
        <f t="shared" ca="1" si="343"/>
        <v>0.97299538522040263</v>
      </c>
      <c r="P4008" s="4">
        <f t="shared" ca="1" si="344"/>
        <v>1.9267625424870964</v>
      </c>
      <c r="Q4008" s="4">
        <f t="shared" ca="1" si="345"/>
        <v>1864.8930984855929</v>
      </c>
      <c r="R4008" s="4">
        <f t="shared" ca="1" si="346"/>
        <v>-58.776945514407089</v>
      </c>
      <c r="S4008" s="4">
        <f t="shared" ca="1" si="347"/>
        <v>-28.347151542983184</v>
      </c>
    </row>
    <row r="4009" spans="15:19" x14ac:dyDescent="0.2">
      <c r="O4009" s="4">
        <f t="shared" ca="1" si="343"/>
        <v>0.72848228749509891</v>
      </c>
      <c r="P4009" s="4">
        <f t="shared" ca="1" si="344"/>
        <v>0.60822926880648043</v>
      </c>
      <c r="Q4009" s="4">
        <f t="shared" ca="1" si="345"/>
        <v>1904.8380054701938</v>
      </c>
      <c r="R4009" s="4">
        <f t="shared" ca="1" si="346"/>
        <v>-18.832038529806141</v>
      </c>
      <c r="S4009" s="4">
        <f t="shared" ca="1" si="347"/>
        <v>-9.3885970214169117</v>
      </c>
    </row>
    <row r="4010" spans="15:19" x14ac:dyDescent="0.2">
      <c r="O4010" s="4">
        <f t="shared" ca="1" si="343"/>
        <v>1.5107673295467805E-2</v>
      </c>
      <c r="P4010" s="4">
        <f t="shared" ca="1" si="344"/>
        <v>-2.1672559068954413</v>
      </c>
      <c r="Q4010" s="4">
        <f t="shared" ca="1" si="345"/>
        <v>1988.921205639328</v>
      </c>
      <c r="R4010" s="4">
        <f t="shared" ca="1" si="346"/>
        <v>65.251161639328075</v>
      </c>
      <c r="S4010" s="4">
        <f t="shared" ca="1" si="347"/>
        <v>34.763961530938744</v>
      </c>
    </row>
    <row r="4011" spans="15:19" x14ac:dyDescent="0.2">
      <c r="O4011" s="4">
        <f t="shared" ca="1" si="343"/>
        <v>0.47866652392093945</v>
      </c>
      <c r="P4011" s="4">
        <f t="shared" ca="1" si="344"/>
        <v>-5.3500605978021032E-2</v>
      </c>
      <c r="Q4011" s="4">
        <f t="shared" ca="1" si="345"/>
        <v>1924.8850826466482</v>
      </c>
      <c r="R4011" s="4">
        <f t="shared" ca="1" si="346"/>
        <v>1.2150386466482814</v>
      </c>
      <c r="S4011" s="4">
        <f t="shared" ca="1" si="347"/>
        <v>0.61566542811880975</v>
      </c>
    </row>
    <row r="4012" spans="15:19" x14ac:dyDescent="0.2">
      <c r="O4012" s="4">
        <f t="shared" ca="1" si="343"/>
        <v>0.31086377250525055</v>
      </c>
      <c r="P4012" s="4">
        <f t="shared" ca="1" si="344"/>
        <v>-0.49340345018605725</v>
      </c>
      <c r="Q4012" s="4">
        <f t="shared" ca="1" si="345"/>
        <v>1938.211919780686</v>
      </c>
      <c r="R4012" s="4">
        <f t="shared" ca="1" si="346"/>
        <v>14.541875780686041</v>
      </c>
      <c r="S4012" s="4">
        <f t="shared" ca="1" si="347"/>
        <v>7.4473213189275249</v>
      </c>
    </row>
    <row r="4013" spans="15:19" x14ac:dyDescent="0.2">
      <c r="O4013" s="4">
        <f t="shared" ca="1" si="343"/>
        <v>0.91018922322929297</v>
      </c>
      <c r="P4013" s="4">
        <f t="shared" ca="1" si="344"/>
        <v>1.3419211800381647</v>
      </c>
      <c r="Q4013" s="4">
        <f t="shared" ca="1" si="345"/>
        <v>1882.6108415946142</v>
      </c>
      <c r="R4013" s="4">
        <f t="shared" ca="1" si="346"/>
        <v>-41.059202405385804</v>
      </c>
      <c r="S4013" s="4">
        <f t="shared" ca="1" si="347"/>
        <v>-20.098309476269854</v>
      </c>
    </row>
    <row r="4014" spans="15:19" x14ac:dyDescent="0.2">
      <c r="O4014" s="4">
        <f t="shared" ca="1" si="343"/>
        <v>0.32986547681167688</v>
      </c>
      <c r="P4014" s="4">
        <f t="shared" ca="1" si="344"/>
        <v>-0.44028465444930115</v>
      </c>
      <c r="Q4014" s="4">
        <f t="shared" ca="1" si="345"/>
        <v>1936.602688222262</v>
      </c>
      <c r="R4014" s="4">
        <f t="shared" ca="1" si="346"/>
        <v>12.93264422226207</v>
      </c>
      <c r="S4014" s="4">
        <f t="shared" ca="1" si="347"/>
        <v>6.6147148452054472</v>
      </c>
    </row>
    <row r="4015" spans="15:19" x14ac:dyDescent="0.2">
      <c r="O4015" s="4">
        <f t="shared" ca="1" si="343"/>
        <v>0.14668342389614353</v>
      </c>
      <c r="P4015" s="4">
        <f t="shared" ca="1" si="344"/>
        <v>-1.0507643176683432</v>
      </c>
      <c r="Q4015" s="4">
        <f t="shared" ca="1" si="345"/>
        <v>1955.0971425147991</v>
      </c>
      <c r="R4015" s="4">
        <f t="shared" ca="1" si="346"/>
        <v>31.427098514799127</v>
      </c>
      <c r="S4015" s="4">
        <f t="shared" ca="1" si="347"/>
        <v>16.310752111381252</v>
      </c>
    </row>
    <row r="4016" spans="15:19" x14ac:dyDescent="0.2">
      <c r="O4016" s="4">
        <f t="shared" ca="1" si="343"/>
        <v>0.87037426365026671</v>
      </c>
      <c r="P4016" s="4">
        <f t="shared" ca="1" si="344"/>
        <v>1.1281620858821766</v>
      </c>
      <c r="Q4016" s="4">
        <f t="shared" ca="1" si="345"/>
        <v>1889.0866638613804</v>
      </c>
      <c r="R4016" s="4">
        <f t="shared" ca="1" si="346"/>
        <v>-34.583380138619532</v>
      </c>
      <c r="S4016" s="4">
        <f t="shared" ca="1" si="347"/>
        <v>-17.019586828430654</v>
      </c>
    </row>
    <row r="4017" spans="15:19" x14ac:dyDescent="0.2">
      <c r="O4017" s="4">
        <f t="shared" ca="1" si="343"/>
        <v>0.44307677613599949</v>
      </c>
      <c r="P4017" s="4">
        <f t="shared" ca="1" si="344"/>
        <v>-0.14317300091309837</v>
      </c>
      <c r="Q4017" s="4">
        <f t="shared" ca="1" si="345"/>
        <v>1927.6017038698419</v>
      </c>
      <c r="R4017" s="4">
        <f t="shared" ca="1" si="346"/>
        <v>3.9316598698419511</v>
      </c>
      <c r="S4017" s="4">
        <f t="shared" ca="1" si="347"/>
        <v>1.9965371918167114</v>
      </c>
    </row>
    <row r="4018" spans="15:19" x14ac:dyDescent="0.2">
      <c r="O4018" s="4">
        <f t="shared" ca="1" si="343"/>
        <v>0.75038659690527632</v>
      </c>
      <c r="P4018" s="4">
        <f t="shared" ca="1" si="344"/>
        <v>0.67570681820666734</v>
      </c>
      <c r="Q4018" s="4">
        <f t="shared" ca="1" si="345"/>
        <v>1902.7937761070505</v>
      </c>
      <c r="R4018" s="4">
        <f t="shared" ca="1" si="346"/>
        <v>-20.8762678929495</v>
      </c>
      <c r="S4018" s="4">
        <f t="shared" ca="1" si="347"/>
        <v>-10.390362964239324</v>
      </c>
    </row>
    <row r="4019" spans="15:19" x14ac:dyDescent="0.2">
      <c r="O4019" s="4">
        <f t="shared" ca="1" si="343"/>
        <v>0.65994603608631675</v>
      </c>
      <c r="P4019" s="4">
        <f t="shared" ca="1" si="344"/>
        <v>0.41231585664291642</v>
      </c>
      <c r="Q4019" s="4">
        <f t="shared" ca="1" si="345"/>
        <v>1910.77319359333</v>
      </c>
      <c r="R4019" s="4">
        <f t="shared" ca="1" si="346"/>
        <v>-12.896850406669955</v>
      </c>
      <c r="S4019" s="4">
        <f t="shared" ca="1" si="347"/>
        <v>-6.4608046836395907</v>
      </c>
    </row>
    <row r="4020" spans="15:19" x14ac:dyDescent="0.2">
      <c r="O4020" s="4">
        <f t="shared" ca="1" si="343"/>
        <v>0.45124443334656128</v>
      </c>
      <c r="P4020" s="4">
        <f t="shared" ca="1" si="344"/>
        <v>-0.12251790497673611</v>
      </c>
      <c r="Q4020" s="4">
        <f t="shared" ca="1" si="345"/>
        <v>1926.9759586555156</v>
      </c>
      <c r="R4020" s="4">
        <f t="shared" ca="1" si="346"/>
        <v>3.3059146555156076</v>
      </c>
      <c r="S4020" s="4">
        <f t="shared" ca="1" si="347"/>
        <v>1.6779352685022524</v>
      </c>
    </row>
    <row r="4021" spans="15:19" x14ac:dyDescent="0.2">
      <c r="O4021" s="4">
        <f t="shared" ca="1" si="343"/>
        <v>0.67277570807627962</v>
      </c>
      <c r="P4021" s="4">
        <f t="shared" ca="1" si="344"/>
        <v>0.44759074481677597</v>
      </c>
      <c r="Q4021" s="4">
        <f t="shared" ca="1" si="345"/>
        <v>1909.7045424222724</v>
      </c>
      <c r="R4021" s="4">
        <f t="shared" ca="1" si="346"/>
        <v>-13.965501577727537</v>
      </c>
      <c r="S4021" s="4">
        <f t="shared" ca="1" si="347"/>
        <v>-6.9900808475892413</v>
      </c>
    </row>
    <row r="4022" spans="15:19" x14ac:dyDescent="0.2">
      <c r="O4022" s="4">
        <f t="shared" ca="1" si="343"/>
        <v>9.4710326896195407E-2</v>
      </c>
      <c r="P4022" s="4">
        <f t="shared" ca="1" si="344"/>
        <v>-1.3122948955047053</v>
      </c>
      <c r="Q4022" s="4">
        <f t="shared" ca="1" si="345"/>
        <v>1963.0201997586566</v>
      </c>
      <c r="R4022" s="4">
        <f t="shared" ca="1" si="346"/>
        <v>39.350155758656683</v>
      </c>
      <c r="S4022" s="4">
        <f t="shared" ca="1" si="347"/>
        <v>20.54975441421567</v>
      </c>
    </row>
    <row r="4023" spans="15:19" x14ac:dyDescent="0.2">
      <c r="O4023" s="4">
        <f t="shared" ca="1" si="343"/>
        <v>0.39452251516990577</v>
      </c>
      <c r="P4023" s="4">
        <f t="shared" ca="1" si="344"/>
        <v>-0.26755089885657363</v>
      </c>
      <c r="Q4023" s="4">
        <f t="shared" ca="1" si="345"/>
        <v>1931.3697267657858</v>
      </c>
      <c r="R4023" s="4">
        <f t="shared" ca="1" si="346"/>
        <v>7.6996827657858375</v>
      </c>
      <c r="S4023" s="4">
        <f t="shared" ca="1" si="347"/>
        <v>3.9217879794412656</v>
      </c>
    </row>
    <row r="4024" spans="15:19" x14ac:dyDescent="0.2">
      <c r="O4024" s="4">
        <f t="shared" ca="1" si="343"/>
        <v>0.45920950824921491</v>
      </c>
      <c r="P4024" s="4">
        <f t="shared" ca="1" si="344"/>
        <v>-0.10242540870438675</v>
      </c>
      <c r="Q4024" s="4">
        <f t="shared" ca="1" si="345"/>
        <v>1926.3672573730312</v>
      </c>
      <c r="R4024" s="4">
        <f t="shared" ca="1" si="346"/>
        <v>2.697213373031218</v>
      </c>
      <c r="S4024" s="4">
        <f t="shared" ca="1" si="347"/>
        <v>1.3683172407045201</v>
      </c>
    </row>
    <row r="4025" spans="15:19" x14ac:dyDescent="0.2">
      <c r="O4025" s="4">
        <f t="shared" ca="1" si="343"/>
        <v>0.73846051638066457</v>
      </c>
      <c r="P4025" s="4">
        <f t="shared" ca="1" si="344"/>
        <v>0.63860647615558974</v>
      </c>
      <c r="Q4025" s="4">
        <f t="shared" ca="1" si="345"/>
        <v>1903.9177293222699</v>
      </c>
      <c r="R4025" s="4">
        <f t="shared" ca="1" si="346"/>
        <v>-19.752314677730055</v>
      </c>
      <c r="S4025" s="4">
        <f t="shared" ca="1" si="347"/>
        <v>-9.8399955016330232</v>
      </c>
    </row>
    <row r="4026" spans="15:19" x14ac:dyDescent="0.2">
      <c r="O4026" s="4">
        <f t="shared" ca="1" si="343"/>
        <v>0.14716431709605915</v>
      </c>
      <c r="P4026" s="4">
        <f t="shared" ca="1" si="344"/>
        <v>-1.0486730235134742</v>
      </c>
      <c r="Q4026" s="4">
        <f t="shared" ca="1" si="345"/>
        <v>1955.0337868512286</v>
      </c>
      <c r="R4026" s="4">
        <f t="shared" ca="1" si="346"/>
        <v>31.363742851228608</v>
      </c>
      <c r="S4026" s="4">
        <f t="shared" ca="1" si="347"/>
        <v>16.277061469272098</v>
      </c>
    </row>
    <row r="4027" spans="15:19" x14ac:dyDescent="0.2">
      <c r="O4027" s="4">
        <f t="shared" ca="1" si="343"/>
        <v>0.98755382477932241</v>
      </c>
      <c r="P4027" s="4">
        <f t="shared" ca="1" si="344"/>
        <v>2.2430692312820431</v>
      </c>
      <c r="Q4027" s="4">
        <f t="shared" ca="1" si="345"/>
        <v>1855.3106013922493</v>
      </c>
      <c r="R4027" s="4">
        <f t="shared" ca="1" si="346"/>
        <v>-68.35944260775068</v>
      </c>
      <c r="S4027" s="4">
        <f t="shared" ca="1" si="347"/>
        <v>-32.701979478337961</v>
      </c>
    </row>
    <row r="4028" spans="15:19" x14ac:dyDescent="0.2">
      <c r="O4028" s="4">
        <f t="shared" ca="1" si="343"/>
        <v>0.85234848167215449</v>
      </c>
      <c r="P4028" s="4">
        <f t="shared" ca="1" si="344"/>
        <v>1.046558963837771</v>
      </c>
      <c r="Q4028" s="4">
        <f t="shared" ca="1" si="345"/>
        <v>1891.5588268206191</v>
      </c>
      <c r="R4028" s="4">
        <f t="shared" ca="1" si="346"/>
        <v>-32.111217179380901</v>
      </c>
      <c r="S4028" s="4">
        <f t="shared" ca="1" si="347"/>
        <v>-15.835271262414048</v>
      </c>
    </row>
    <row r="4029" spans="15:19" x14ac:dyDescent="0.2">
      <c r="O4029" s="4">
        <f t="shared" ca="1" si="343"/>
        <v>0.28221442469242441</v>
      </c>
      <c r="P4029" s="4">
        <f t="shared" ca="1" si="344"/>
        <v>-0.57627569354659658</v>
      </c>
      <c r="Q4029" s="4">
        <f t="shared" ca="1" si="345"/>
        <v>1940.7225307138492</v>
      </c>
      <c r="R4029" s="4">
        <f t="shared" ca="1" si="346"/>
        <v>17.052486713849248</v>
      </c>
      <c r="S4029" s="4">
        <f t="shared" ca="1" si="347"/>
        <v>8.7505063643815895</v>
      </c>
    </row>
    <row r="4030" spans="15:19" x14ac:dyDescent="0.2">
      <c r="O4030" s="4">
        <f t="shared" ca="1" si="343"/>
        <v>0.37757049501538742</v>
      </c>
      <c r="P4030" s="4">
        <f t="shared" ca="1" si="344"/>
        <v>-0.31186780619920701</v>
      </c>
      <c r="Q4030" s="4">
        <f t="shared" ca="1" si="345"/>
        <v>1932.7123055061045</v>
      </c>
      <c r="R4030" s="4">
        <f t="shared" ca="1" si="346"/>
        <v>9.0422615061045235</v>
      </c>
      <c r="S4030" s="4">
        <f t="shared" ca="1" si="347"/>
        <v>4.6105643372649432</v>
      </c>
    </row>
    <row r="4031" spans="15:19" x14ac:dyDescent="0.2">
      <c r="O4031" s="4">
        <f t="shared" ca="1" si="343"/>
        <v>0.24255861911862797</v>
      </c>
      <c r="P4031" s="4">
        <f t="shared" ca="1" si="344"/>
        <v>-0.69809587400721829</v>
      </c>
      <c r="Q4031" s="4">
        <f t="shared" ca="1" si="345"/>
        <v>1944.4130676722098</v>
      </c>
      <c r="R4031" s="4">
        <f t="shared" ca="1" si="346"/>
        <v>20.743023672209802</v>
      </c>
      <c r="S4031" s="4">
        <f t="shared" ca="1" si="347"/>
        <v>10.67547266843733</v>
      </c>
    </row>
    <row r="4032" spans="15:19" x14ac:dyDescent="0.2">
      <c r="O4032" s="4">
        <f t="shared" ca="1" si="343"/>
        <v>0.29427714769295876</v>
      </c>
      <c r="P4032" s="4">
        <f t="shared" ca="1" si="344"/>
        <v>-0.54093222936103758</v>
      </c>
      <c r="Q4032" s="4">
        <f t="shared" ca="1" si="345"/>
        <v>1939.651802035562</v>
      </c>
      <c r="R4032" s="4">
        <f t="shared" ca="1" si="346"/>
        <v>15.981758035562052</v>
      </c>
      <c r="S4032" s="4">
        <f t="shared" ca="1" si="347"/>
        <v>8.1940946909029169</v>
      </c>
    </row>
    <row r="4033" spans="15:19" x14ac:dyDescent="0.2">
      <c r="O4033" s="4">
        <f t="shared" ca="1" si="343"/>
        <v>0.51185874400693876</v>
      </c>
      <c r="P4033" s="4">
        <f t="shared" ca="1" si="344"/>
        <v>2.9729841969210285E-2</v>
      </c>
      <c r="Q4033" s="4">
        <f t="shared" ca="1" si="345"/>
        <v>1922.363619921435</v>
      </c>
      <c r="R4033" s="4">
        <f t="shared" ca="1" si="346"/>
        <v>-1.3064240785649872</v>
      </c>
      <c r="S4033" s="4">
        <f t="shared" ca="1" si="347"/>
        <v>-0.66062990196299942</v>
      </c>
    </row>
    <row r="4034" spans="15:19" x14ac:dyDescent="0.2">
      <c r="O4034" s="4">
        <f t="shared" ca="1" si="343"/>
        <v>0.46559936185790107</v>
      </c>
      <c r="P4034" s="4">
        <f t="shared" ca="1" si="344"/>
        <v>-8.633675193588343E-2</v>
      </c>
      <c r="Q4034" s="4">
        <f t="shared" ca="1" si="345"/>
        <v>1925.8798522305494</v>
      </c>
      <c r="R4034" s="4">
        <f t="shared" ca="1" si="346"/>
        <v>2.20980823054947</v>
      </c>
      <c r="S4034" s="4">
        <f t="shared" ca="1" si="347"/>
        <v>1.120614392946778</v>
      </c>
    </row>
    <row r="4035" spans="15:19" x14ac:dyDescent="0.2">
      <c r="O4035" s="4">
        <f t="shared" ref="O4035:O4098" ca="1" si="348">RAND()</f>
        <v>0.11401640508234101</v>
      </c>
      <c r="P4035" s="4">
        <f t="shared" ref="P4035:P4098" ca="1" si="349">NORMSINV(O4035)</f>
        <v>-1.2054417556192367</v>
      </c>
      <c r="Q4035" s="4">
        <f t="shared" ref="Q4035:Q4098" ca="1" si="350">$B$4*(1+$B$17-$B$6/SQRT(252)*P4035)</f>
        <v>1959.7830886299985</v>
      </c>
      <c r="R4035" s="4">
        <f t="shared" ref="R4035:R4098" ca="1" si="351">Q4035-$B$4</f>
        <v>36.113044629998512</v>
      </c>
      <c r="S4035" s="4">
        <f t="shared" ref="S4035:S4098" ca="1" si="352">R4035*$B$12+0.5*$B$13*R4035^2</f>
        <v>18.811657057364947</v>
      </c>
    </row>
    <row r="4036" spans="15:19" x14ac:dyDescent="0.2">
      <c r="O4036" s="4">
        <f t="shared" ca="1" si="348"/>
        <v>0.54196252683061807</v>
      </c>
      <c r="P4036" s="4">
        <f t="shared" ca="1" si="349"/>
        <v>0.10537916699942987</v>
      </c>
      <c r="Q4036" s="4">
        <f t="shared" ca="1" si="350"/>
        <v>1920.0718269783986</v>
      </c>
      <c r="R4036" s="4">
        <f t="shared" ca="1" si="351"/>
        <v>-3.5982170216013856</v>
      </c>
      <c r="S4036" s="4">
        <f t="shared" ca="1" si="352"/>
        <v>-1.8161823077991652</v>
      </c>
    </row>
    <row r="4037" spans="15:19" x14ac:dyDescent="0.2">
      <c r="O4037" s="4">
        <f t="shared" ca="1" si="348"/>
        <v>0.51330090069561285</v>
      </c>
      <c r="P4037" s="4">
        <f t="shared" ca="1" si="349"/>
        <v>3.3346592939849228E-2</v>
      </c>
      <c r="Q4037" s="4">
        <f t="shared" ca="1" si="350"/>
        <v>1922.2540506113596</v>
      </c>
      <c r="R4037" s="4">
        <f t="shared" ca="1" si="351"/>
        <v>-1.4159933886403451</v>
      </c>
      <c r="S4037" s="4">
        <f t="shared" ca="1" si="352"/>
        <v>-0.71597353387932627</v>
      </c>
    </row>
    <row r="4038" spans="15:19" x14ac:dyDescent="0.2">
      <c r="O4038" s="4">
        <f t="shared" ca="1" si="348"/>
        <v>0.80218739986342569</v>
      </c>
      <c r="P4038" s="4">
        <f t="shared" ca="1" si="349"/>
        <v>0.84946032099704727</v>
      </c>
      <c r="Q4038" s="4">
        <f t="shared" ca="1" si="350"/>
        <v>1897.5299214544968</v>
      </c>
      <c r="R4038" s="4">
        <f t="shared" ca="1" si="351"/>
        <v>-26.140122545503118</v>
      </c>
      <c r="S4038" s="4">
        <f t="shared" ca="1" si="352"/>
        <v>-12.954233225479985</v>
      </c>
    </row>
    <row r="4039" spans="15:19" x14ac:dyDescent="0.2">
      <c r="O4039" s="4">
        <f t="shared" ca="1" si="348"/>
        <v>0.12625526875497872</v>
      </c>
      <c r="P4039" s="4">
        <f t="shared" ca="1" si="349"/>
        <v>-1.1442727575339307</v>
      </c>
      <c r="Q4039" s="4">
        <f t="shared" ca="1" si="350"/>
        <v>1957.9299765488458</v>
      </c>
      <c r="R4039" s="4">
        <f t="shared" ca="1" si="351"/>
        <v>34.259932548845882</v>
      </c>
      <c r="S4039" s="4">
        <f t="shared" ca="1" si="352"/>
        <v>17.820508074390371</v>
      </c>
    </row>
    <row r="4040" spans="15:19" x14ac:dyDescent="0.2">
      <c r="O4040" s="4">
        <f t="shared" ca="1" si="348"/>
        <v>0.24814058481111467</v>
      </c>
      <c r="P4040" s="4">
        <f t="shared" ca="1" si="349"/>
        <v>-0.68035268962290185</v>
      </c>
      <c r="Q4040" s="4">
        <f t="shared" ca="1" si="350"/>
        <v>1943.8755386890664</v>
      </c>
      <c r="R4040" s="4">
        <f t="shared" ca="1" si="351"/>
        <v>20.205494689066427</v>
      </c>
      <c r="S4040" s="4">
        <f t="shared" ca="1" si="352"/>
        <v>10.394410225113507</v>
      </c>
    </row>
    <row r="4041" spans="15:19" x14ac:dyDescent="0.2">
      <c r="O4041" s="4">
        <f t="shared" ca="1" si="348"/>
        <v>0.81400957828552412</v>
      </c>
      <c r="P4041" s="4">
        <f t="shared" ca="1" si="349"/>
        <v>0.89276908823868539</v>
      </c>
      <c r="Q4041" s="4">
        <f t="shared" ca="1" si="350"/>
        <v>1896.2178842737771</v>
      </c>
      <c r="R4041" s="4">
        <f t="shared" ca="1" si="351"/>
        <v>-27.452159726222817</v>
      </c>
      <c r="S4041" s="4">
        <f t="shared" ca="1" si="352"/>
        <v>-13.589776197783861</v>
      </c>
    </row>
    <row r="4042" spans="15:19" x14ac:dyDescent="0.2">
      <c r="O4042" s="4">
        <f t="shared" ca="1" si="348"/>
        <v>0.32500790764950682</v>
      </c>
      <c r="P4042" s="4">
        <f t="shared" ca="1" si="349"/>
        <v>-0.45374021937218428</v>
      </c>
      <c r="Q4042" s="4">
        <f t="shared" ca="1" si="350"/>
        <v>1937.0103239641871</v>
      </c>
      <c r="R4042" s="4">
        <f t="shared" ca="1" si="351"/>
        <v>13.340279964187175</v>
      </c>
      <c r="S4042" s="4">
        <f t="shared" ca="1" si="352"/>
        <v>6.8254236735719607</v>
      </c>
    </row>
    <row r="4043" spans="15:19" x14ac:dyDescent="0.2">
      <c r="O4043" s="4">
        <f t="shared" ca="1" si="348"/>
        <v>0.11082702638351105</v>
      </c>
      <c r="P4043" s="4">
        <f t="shared" ca="1" si="349"/>
        <v>-1.2221416823948834</v>
      </c>
      <c r="Q4043" s="4">
        <f t="shared" ca="1" si="350"/>
        <v>1960.2890121702067</v>
      </c>
      <c r="R4043" s="4">
        <f t="shared" ca="1" si="351"/>
        <v>36.618968170206699</v>
      </c>
      <c r="S4043" s="4">
        <f t="shared" ca="1" si="352"/>
        <v>19.082739369002308</v>
      </c>
    </row>
    <row r="4044" spans="15:19" x14ac:dyDescent="0.2">
      <c r="O4044" s="4">
        <f t="shared" ca="1" si="348"/>
        <v>0.91090190070554389</v>
      </c>
      <c r="P4044" s="4">
        <f t="shared" ca="1" si="349"/>
        <v>1.3463297404458889</v>
      </c>
      <c r="Q4044" s="4">
        <f t="shared" ca="1" si="350"/>
        <v>1882.4772844527977</v>
      </c>
      <c r="R4044" s="4">
        <f t="shared" ca="1" si="351"/>
        <v>-41.192759547202286</v>
      </c>
      <c r="S4044" s="4">
        <f t="shared" ca="1" si="352"/>
        <v>-20.161445617031443</v>
      </c>
    </row>
    <row r="4045" spans="15:19" x14ac:dyDescent="0.2">
      <c r="O4045" s="4">
        <f t="shared" ca="1" si="348"/>
        <v>0.35401687007391514</v>
      </c>
      <c r="P4045" s="4">
        <f t="shared" ca="1" si="349"/>
        <v>-0.37449814001255777</v>
      </c>
      <c r="Q4045" s="4">
        <f t="shared" ca="1" si="350"/>
        <v>1934.609688688256</v>
      </c>
      <c r="R4045" s="4">
        <f t="shared" ca="1" si="351"/>
        <v>10.939644688256067</v>
      </c>
      <c r="S4045" s="4">
        <f t="shared" ca="1" si="352"/>
        <v>5.5864716397706466</v>
      </c>
    </row>
    <row r="4046" spans="15:19" x14ac:dyDescent="0.2">
      <c r="O4046" s="4">
        <f t="shared" ca="1" si="348"/>
        <v>0.38737201200411819</v>
      </c>
      <c r="P4046" s="4">
        <f t="shared" ca="1" si="349"/>
        <v>-0.28617508680604159</v>
      </c>
      <c r="Q4046" s="4">
        <f t="shared" ca="1" si="350"/>
        <v>1931.9339457128199</v>
      </c>
      <c r="R4046" s="4">
        <f t="shared" ca="1" si="351"/>
        <v>8.2639017128199157</v>
      </c>
      <c r="S4046" s="4">
        <f t="shared" ca="1" si="352"/>
        <v>4.2110675918422711</v>
      </c>
    </row>
    <row r="4047" spans="15:19" x14ac:dyDescent="0.2">
      <c r="O4047" s="4">
        <f t="shared" ca="1" si="348"/>
        <v>0.11330045944254052</v>
      </c>
      <c r="P4047" s="4">
        <f t="shared" ca="1" si="349"/>
        <v>-1.2091612050866618</v>
      </c>
      <c r="Q4047" s="4">
        <f t="shared" ca="1" si="350"/>
        <v>1959.8957691864739</v>
      </c>
      <c r="R4047" s="4">
        <f t="shared" ca="1" si="351"/>
        <v>36.225725186473937</v>
      </c>
      <c r="S4047" s="4">
        <f t="shared" ca="1" si="352"/>
        <v>18.872015150364035</v>
      </c>
    </row>
    <row r="4048" spans="15:19" x14ac:dyDescent="0.2">
      <c r="O4048" s="4">
        <f t="shared" ca="1" si="348"/>
        <v>0.78552550804271604</v>
      </c>
      <c r="P4048" s="4">
        <f t="shared" ca="1" si="349"/>
        <v>0.7909914447032167</v>
      </c>
      <c r="Q4048" s="4">
        <f t="shared" ca="1" si="350"/>
        <v>1899.301233465859</v>
      </c>
      <c r="R4048" s="4">
        <f t="shared" ca="1" si="351"/>
        <v>-24.368810534140948</v>
      </c>
      <c r="S4048" s="4">
        <f t="shared" ca="1" si="352"/>
        <v>-12.093997030415759</v>
      </c>
    </row>
    <row r="4049" spans="15:19" x14ac:dyDescent="0.2">
      <c r="O4049" s="4">
        <f t="shared" ca="1" si="348"/>
        <v>0.36433038554377439</v>
      </c>
      <c r="P4049" s="4">
        <f t="shared" ca="1" si="349"/>
        <v>-0.34690755441196486</v>
      </c>
      <c r="Q4049" s="4">
        <f t="shared" ca="1" si="350"/>
        <v>1933.7738331224807</v>
      </c>
      <c r="R4049" s="4">
        <f t="shared" ca="1" si="351"/>
        <v>10.103789122480748</v>
      </c>
      <c r="S4049" s="4">
        <f t="shared" ca="1" si="352"/>
        <v>5.1561933142103662</v>
      </c>
    </row>
    <row r="4050" spans="15:19" x14ac:dyDescent="0.2">
      <c r="O4050" s="4">
        <f t="shared" ca="1" si="348"/>
        <v>0.29217232564093443</v>
      </c>
      <c r="P4050" s="4">
        <f t="shared" ca="1" si="349"/>
        <v>-0.54704960763694543</v>
      </c>
      <c r="Q4050" s="4">
        <f t="shared" ca="1" si="350"/>
        <v>1939.8371277388248</v>
      </c>
      <c r="R4050" s="4">
        <f t="shared" ca="1" si="351"/>
        <v>16.167083738824886</v>
      </c>
      <c r="S4050" s="4">
        <f t="shared" ca="1" si="352"/>
        <v>8.2903336983210245</v>
      </c>
    </row>
    <row r="4051" spans="15:19" x14ac:dyDescent="0.2">
      <c r="O4051" s="4">
        <f t="shared" ca="1" si="348"/>
        <v>0.20436318752972815</v>
      </c>
      <c r="P4051" s="4">
        <f t="shared" ca="1" si="349"/>
        <v>-0.82613701038456278</v>
      </c>
      <c r="Q4051" s="4">
        <f t="shared" ca="1" si="350"/>
        <v>1948.2920682138636</v>
      </c>
      <c r="R4051" s="4">
        <f t="shared" ca="1" si="351"/>
        <v>24.622024213863597</v>
      </c>
      <c r="S4051" s="4">
        <f t="shared" ca="1" si="352"/>
        <v>12.710693134236498</v>
      </c>
    </row>
    <row r="4052" spans="15:19" x14ac:dyDescent="0.2">
      <c r="O4052" s="4">
        <f t="shared" ca="1" si="348"/>
        <v>0.20656748952863868</v>
      </c>
      <c r="P4052" s="4">
        <f t="shared" ca="1" si="349"/>
        <v>-0.81838921326105707</v>
      </c>
      <c r="Q4052" s="4">
        <f t="shared" ca="1" si="350"/>
        <v>1948.0573490440017</v>
      </c>
      <c r="R4052" s="4">
        <f t="shared" ca="1" si="351"/>
        <v>24.387305044001778</v>
      </c>
      <c r="S4052" s="4">
        <f t="shared" ca="1" si="352"/>
        <v>12.587193299431968</v>
      </c>
    </row>
    <row r="4053" spans="15:19" x14ac:dyDescent="0.2">
      <c r="O4053" s="4">
        <f t="shared" ca="1" si="348"/>
        <v>0.73282284778552254</v>
      </c>
      <c r="P4053" s="4">
        <f t="shared" ca="1" si="349"/>
        <v>0.62137289095745007</v>
      </c>
      <c r="Q4053" s="4">
        <f t="shared" ca="1" si="350"/>
        <v>1904.4398200206936</v>
      </c>
      <c r="R4053" s="4">
        <f t="shared" ca="1" si="351"/>
        <v>-19.230223979306402</v>
      </c>
      <c r="S4053" s="4">
        <f t="shared" ca="1" si="352"/>
        <v>-9.5839929204525074</v>
      </c>
    </row>
    <row r="4054" spans="15:19" x14ac:dyDescent="0.2">
      <c r="O4054" s="4">
        <f t="shared" ca="1" si="348"/>
        <v>0.71648655449077714</v>
      </c>
      <c r="P4054" s="4">
        <f t="shared" ca="1" si="349"/>
        <v>0.57243561847023905</v>
      </c>
      <c r="Q4054" s="4">
        <f t="shared" ca="1" si="350"/>
        <v>1905.9223725179279</v>
      </c>
      <c r="R4054" s="4">
        <f t="shared" ca="1" si="351"/>
        <v>-17.747671482072064</v>
      </c>
      <c r="S4054" s="4">
        <f t="shared" ca="1" si="352"/>
        <v>-8.8558265401635463</v>
      </c>
    </row>
    <row r="4055" spans="15:19" x14ac:dyDescent="0.2">
      <c r="O4055" s="4">
        <f t="shared" ca="1" si="348"/>
        <v>0.54683782074953702</v>
      </c>
      <c r="P4055" s="4">
        <f t="shared" ca="1" si="349"/>
        <v>0.11767603199860116</v>
      </c>
      <c r="Q4055" s="4">
        <f t="shared" ca="1" si="350"/>
        <v>1919.6992939992172</v>
      </c>
      <c r="R4055" s="4">
        <f t="shared" ca="1" si="351"/>
        <v>-3.9707500007828003</v>
      </c>
      <c r="S4055" s="4">
        <f t="shared" ca="1" si="352"/>
        <v>-2.0036143418285057</v>
      </c>
    </row>
    <row r="4056" spans="15:19" x14ac:dyDescent="0.2">
      <c r="O4056" s="4">
        <f t="shared" ca="1" si="348"/>
        <v>0.4472719428974935</v>
      </c>
      <c r="P4056" s="4">
        <f t="shared" ca="1" si="349"/>
        <v>-0.13255681724374374</v>
      </c>
      <c r="Q4056" s="4">
        <f t="shared" ca="1" si="350"/>
        <v>1927.2800870569267</v>
      </c>
      <c r="R4056" s="4">
        <f t="shared" ca="1" si="351"/>
        <v>3.6100430569267701</v>
      </c>
      <c r="S4056" s="4">
        <f t="shared" ca="1" si="352"/>
        <v>1.8327442488501799</v>
      </c>
    </row>
    <row r="4057" spans="15:19" x14ac:dyDescent="0.2">
      <c r="O4057" s="4">
        <f t="shared" ca="1" si="348"/>
        <v>0.36521920876305214</v>
      </c>
      <c r="P4057" s="4">
        <f t="shared" ca="1" si="349"/>
        <v>-0.34454239671052</v>
      </c>
      <c r="Q4057" s="4">
        <f t="shared" ca="1" si="350"/>
        <v>1933.7021807749259</v>
      </c>
      <c r="R4057" s="4">
        <f t="shared" ca="1" si="351"/>
        <v>10.032136774925903</v>
      </c>
      <c r="S4057" s="4">
        <f t="shared" ca="1" si="352"/>
        <v>5.1193348801233709</v>
      </c>
    </row>
    <row r="4058" spans="15:19" x14ac:dyDescent="0.2">
      <c r="O4058" s="4">
        <f t="shared" ca="1" si="348"/>
        <v>0.30831934763445934</v>
      </c>
      <c r="P4058" s="4">
        <f t="shared" ca="1" si="349"/>
        <v>-0.50061984211924404</v>
      </c>
      <c r="Q4058" s="4">
        <f t="shared" ca="1" si="350"/>
        <v>1938.4305400539015</v>
      </c>
      <c r="R4058" s="4">
        <f t="shared" ca="1" si="351"/>
        <v>14.760496053901534</v>
      </c>
      <c r="S4058" s="4">
        <f t="shared" ca="1" si="352"/>
        <v>7.5605967657228446</v>
      </c>
    </row>
    <row r="4059" spans="15:19" x14ac:dyDescent="0.2">
      <c r="O4059" s="4">
        <f t="shared" ca="1" si="348"/>
        <v>5.5050844595355808E-2</v>
      </c>
      <c r="P4059" s="4">
        <f t="shared" ca="1" si="349"/>
        <v>-1.5977362429477211</v>
      </c>
      <c r="Q4059" s="4">
        <f t="shared" ca="1" si="350"/>
        <v>1971.6676327061332</v>
      </c>
      <c r="R4059" s="4">
        <f t="shared" ca="1" si="351"/>
        <v>47.997588706133229</v>
      </c>
      <c r="S4059" s="4">
        <f t="shared" ca="1" si="352"/>
        <v>25.234642803241282</v>
      </c>
    </row>
    <row r="4060" spans="15:19" x14ac:dyDescent="0.2">
      <c r="O4060" s="4">
        <f t="shared" ca="1" si="348"/>
        <v>0.87133381828424528</v>
      </c>
      <c r="P4060" s="4">
        <f t="shared" ca="1" si="349"/>
        <v>1.132718792186155</v>
      </c>
      <c r="Q4060" s="4">
        <f t="shared" ca="1" si="350"/>
        <v>1888.9486186462145</v>
      </c>
      <c r="R4060" s="4">
        <f t="shared" ca="1" si="351"/>
        <v>-34.721425353785435</v>
      </c>
      <c r="S4060" s="4">
        <f t="shared" ca="1" si="352"/>
        <v>-17.085572157099278</v>
      </c>
    </row>
    <row r="4061" spans="15:19" x14ac:dyDescent="0.2">
      <c r="O4061" s="4">
        <f t="shared" ca="1" si="348"/>
        <v>0.75735291098498914</v>
      </c>
      <c r="P4061" s="4">
        <f t="shared" ca="1" si="349"/>
        <v>0.69781295205948624</v>
      </c>
      <c r="Q4061" s="4">
        <f t="shared" ca="1" si="350"/>
        <v>1902.1240717634694</v>
      </c>
      <c r="R4061" s="4">
        <f t="shared" ca="1" si="351"/>
        <v>-21.545972236530588</v>
      </c>
      <c r="S4061" s="4">
        <f t="shared" ca="1" si="352"/>
        <v>-10.717808880021938</v>
      </c>
    </row>
    <row r="4062" spans="15:19" x14ac:dyDescent="0.2">
      <c r="O4062" s="4">
        <f t="shared" ca="1" si="348"/>
        <v>0.96362146260582549</v>
      </c>
      <c r="P4062" s="4">
        <f t="shared" ca="1" si="349"/>
        <v>1.794351550840136</v>
      </c>
      <c r="Q4062" s="4">
        <f t="shared" ca="1" si="350"/>
        <v>1868.9044835986226</v>
      </c>
      <c r="R4062" s="4">
        <f t="shared" ca="1" si="351"/>
        <v>-54.765560401377343</v>
      </c>
      <c r="S4062" s="4">
        <f t="shared" ca="1" si="352"/>
        <v>-26.501953963565541</v>
      </c>
    </row>
    <row r="4063" spans="15:19" x14ac:dyDescent="0.2">
      <c r="O4063" s="4">
        <f t="shared" ca="1" si="348"/>
        <v>0.94453183759954296</v>
      </c>
      <c r="P4063" s="4">
        <f t="shared" ca="1" si="349"/>
        <v>1.5939987056956051</v>
      </c>
      <c r="Q4063" s="4">
        <f t="shared" ca="1" si="350"/>
        <v>1874.9741641468111</v>
      </c>
      <c r="R4063" s="4">
        <f t="shared" ca="1" si="351"/>
        <v>-48.695879853188899</v>
      </c>
      <c r="S4063" s="4">
        <f t="shared" ca="1" si="352"/>
        <v>-23.68505269215439</v>
      </c>
    </row>
    <row r="4064" spans="15:19" x14ac:dyDescent="0.2">
      <c r="O4064" s="4">
        <f t="shared" ca="1" si="348"/>
        <v>0.27082916300922455</v>
      </c>
      <c r="P4064" s="4">
        <f t="shared" ca="1" si="349"/>
        <v>-0.61030720349844592</v>
      </c>
      <c r="Q4064" s="4">
        <f t="shared" ca="1" si="350"/>
        <v>1941.7535137968757</v>
      </c>
      <c r="R4064" s="4">
        <f t="shared" ca="1" si="351"/>
        <v>18.083469796875761</v>
      </c>
      <c r="S4064" s="4">
        <f t="shared" ca="1" si="352"/>
        <v>9.287146009809037</v>
      </c>
    </row>
    <row r="4065" spans="15:19" x14ac:dyDescent="0.2">
      <c r="O4065" s="4">
        <f t="shared" ca="1" si="348"/>
        <v>0.82077413819497458</v>
      </c>
      <c r="P4065" s="4">
        <f t="shared" ca="1" si="349"/>
        <v>0.91831930449282162</v>
      </c>
      <c r="Q4065" s="4">
        <f t="shared" ca="1" si="350"/>
        <v>1895.4438416067621</v>
      </c>
      <c r="R4065" s="4">
        <f t="shared" ca="1" si="351"/>
        <v>-28.226202393237827</v>
      </c>
      <c r="S4065" s="4">
        <f t="shared" ca="1" si="352"/>
        <v>-13.964060540891269</v>
      </c>
    </row>
    <row r="4066" spans="15:19" x14ac:dyDescent="0.2">
      <c r="O4066" s="4">
        <f t="shared" ca="1" si="348"/>
        <v>0.25983426219905659</v>
      </c>
      <c r="P4066" s="4">
        <f t="shared" ca="1" si="349"/>
        <v>-0.64385644987925583</v>
      </c>
      <c r="Q4066" s="4">
        <f t="shared" ca="1" si="350"/>
        <v>1942.7698867264291</v>
      </c>
      <c r="R4066" s="4">
        <f t="shared" ca="1" si="351"/>
        <v>19.099842726429188</v>
      </c>
      <c r="S4066" s="4">
        <f t="shared" ca="1" si="352"/>
        <v>9.8170279479102263</v>
      </c>
    </row>
    <row r="4067" spans="15:19" x14ac:dyDescent="0.2">
      <c r="O4067" s="4">
        <f t="shared" ca="1" si="348"/>
        <v>0.92551888611695754</v>
      </c>
      <c r="P4067" s="4">
        <f t="shared" ca="1" si="349"/>
        <v>1.4432067885841124</v>
      </c>
      <c r="Q4067" s="4">
        <f t="shared" ca="1" si="350"/>
        <v>1879.5423985806938</v>
      </c>
      <c r="R4067" s="4">
        <f t="shared" ca="1" si="351"/>
        <v>-44.127645419306191</v>
      </c>
      <c r="S4067" s="4">
        <f t="shared" ca="1" si="352"/>
        <v>-21.545181157892394</v>
      </c>
    </row>
    <row r="4068" spans="15:19" x14ac:dyDescent="0.2">
      <c r="O4068" s="4">
        <f t="shared" ca="1" si="348"/>
        <v>0.60326228726305187</v>
      </c>
      <c r="P4068" s="4">
        <f t="shared" ca="1" si="349"/>
        <v>0.26180027703077763</v>
      </c>
      <c r="Q4068" s="4">
        <f t="shared" ca="1" si="350"/>
        <v>1915.3330563949391</v>
      </c>
      <c r="R4068" s="4">
        <f t="shared" ca="1" si="351"/>
        <v>-8.3369876050608127</v>
      </c>
      <c r="S4068" s="4">
        <f t="shared" ca="1" si="352"/>
        <v>-4.1919712916605167</v>
      </c>
    </row>
    <row r="4069" spans="15:19" x14ac:dyDescent="0.2">
      <c r="O4069" s="4">
        <f t="shared" ca="1" si="348"/>
        <v>0.9460507159845325</v>
      </c>
      <c r="P4069" s="4">
        <f t="shared" ca="1" si="349"/>
        <v>1.60771063611468</v>
      </c>
      <c r="Q4069" s="4">
        <f t="shared" ca="1" si="350"/>
        <v>1874.5587618235609</v>
      </c>
      <c r="R4069" s="4">
        <f t="shared" ca="1" si="351"/>
        <v>-49.11128217643909</v>
      </c>
      <c r="S4069" s="4">
        <f t="shared" ca="1" si="352"/>
        <v>-23.878794470224154</v>
      </c>
    </row>
    <row r="4070" spans="15:19" x14ac:dyDescent="0.2">
      <c r="O4070" s="4">
        <f t="shared" ca="1" si="348"/>
        <v>0.51379659539680811</v>
      </c>
      <c r="P4070" s="4">
        <f t="shared" ca="1" si="349"/>
        <v>3.4589832415911202E-2</v>
      </c>
      <c r="Q4070" s="4">
        <f t="shared" ca="1" si="350"/>
        <v>1922.2163867266308</v>
      </c>
      <c r="R4070" s="4">
        <f t="shared" ca="1" si="351"/>
        <v>-1.4536572733691173</v>
      </c>
      <c r="S4070" s="4">
        <f t="shared" ca="1" si="352"/>
        <v>-0.73499536430911128</v>
      </c>
    </row>
    <row r="4071" spans="15:19" x14ac:dyDescent="0.2">
      <c r="O4071" s="4">
        <f t="shared" ca="1" si="348"/>
        <v>0.61714035637253351</v>
      </c>
      <c r="P4071" s="4">
        <f t="shared" ca="1" si="349"/>
        <v>0.29797887459806127</v>
      </c>
      <c r="Q4071" s="4">
        <f t="shared" ca="1" si="350"/>
        <v>1914.2370273879317</v>
      </c>
      <c r="R4071" s="4">
        <f t="shared" ca="1" si="351"/>
        <v>-9.4330166120682861</v>
      </c>
      <c r="S4071" s="4">
        <f t="shared" ca="1" si="352"/>
        <v>-4.7388636511262021</v>
      </c>
    </row>
    <row r="4072" spans="15:19" x14ac:dyDescent="0.2">
      <c r="O4072" s="4">
        <f t="shared" ca="1" si="348"/>
        <v>0.57142904372476333</v>
      </c>
      <c r="P4072" s="4">
        <f t="shared" ca="1" si="349"/>
        <v>0.18001357300140292</v>
      </c>
      <c r="Q4072" s="4">
        <f t="shared" ca="1" si="350"/>
        <v>1917.8107809622616</v>
      </c>
      <c r="R4072" s="4">
        <f t="shared" ca="1" si="351"/>
        <v>-5.8592630377384012</v>
      </c>
      <c r="S4072" s="4">
        <f t="shared" ca="1" si="352"/>
        <v>-2.9520412619630196</v>
      </c>
    </row>
    <row r="4073" spans="15:19" x14ac:dyDescent="0.2">
      <c r="O4073" s="4">
        <f t="shared" ca="1" si="348"/>
        <v>0.31253687066222891</v>
      </c>
      <c r="P4073" s="4">
        <f t="shared" ca="1" si="349"/>
        <v>-0.48867226650129497</v>
      </c>
      <c r="Q4073" s="4">
        <f t="shared" ca="1" si="350"/>
        <v>1938.0685887810159</v>
      </c>
      <c r="R4073" s="4">
        <f t="shared" ca="1" si="351"/>
        <v>14.398544781015971</v>
      </c>
      <c r="S4073" s="4">
        <f t="shared" ca="1" si="352"/>
        <v>7.3730772156486371</v>
      </c>
    </row>
    <row r="4074" spans="15:19" x14ac:dyDescent="0.2">
      <c r="O4074" s="4">
        <f t="shared" ca="1" si="348"/>
        <v>0.70194090791063068</v>
      </c>
      <c r="P4074" s="4">
        <f t="shared" ca="1" si="349"/>
        <v>0.52999098073795936</v>
      </c>
      <c r="Q4074" s="4">
        <f t="shared" ca="1" si="350"/>
        <v>1907.2082309335281</v>
      </c>
      <c r="R4074" s="4">
        <f t="shared" ca="1" si="351"/>
        <v>-16.461813066471905</v>
      </c>
      <c r="S4074" s="4">
        <f t="shared" ca="1" si="352"/>
        <v>-8.2228188017801713</v>
      </c>
    </row>
    <row r="4075" spans="15:19" x14ac:dyDescent="0.2">
      <c r="O4075" s="4">
        <f t="shared" ca="1" si="348"/>
        <v>0.44048945711226228</v>
      </c>
      <c r="P4075" s="4">
        <f t="shared" ca="1" si="349"/>
        <v>-0.14972838297809227</v>
      </c>
      <c r="Q4075" s="4">
        <f t="shared" ca="1" si="350"/>
        <v>1927.8002988784485</v>
      </c>
      <c r="R4075" s="4">
        <f t="shared" ca="1" si="351"/>
        <v>4.130254878448568</v>
      </c>
      <c r="S4075" s="4">
        <f t="shared" ca="1" si="352"/>
        <v>2.0977196710307187</v>
      </c>
    </row>
    <row r="4076" spans="15:19" x14ac:dyDescent="0.2">
      <c r="O4076" s="4">
        <f t="shared" ca="1" si="348"/>
        <v>4.9712139475023398E-2</v>
      </c>
      <c r="P4076" s="4">
        <f t="shared" ca="1" si="349"/>
        <v>-1.6476511439273096</v>
      </c>
      <c r="Q4076" s="4">
        <f t="shared" ca="1" si="350"/>
        <v>1973.1798024151385</v>
      </c>
      <c r="R4076" s="4">
        <f t="shared" ca="1" si="351"/>
        <v>49.509758415138549</v>
      </c>
      <c r="S4076" s="4">
        <f t="shared" ca="1" si="352"/>
        <v>26.060139324956939</v>
      </c>
    </row>
    <row r="4077" spans="15:19" x14ac:dyDescent="0.2">
      <c r="O4077" s="4">
        <f t="shared" ca="1" si="348"/>
        <v>0.66974176168136301</v>
      </c>
      <c r="P4077" s="4">
        <f t="shared" ca="1" si="349"/>
        <v>0.4392002048558819</v>
      </c>
      <c r="Q4077" s="4">
        <f t="shared" ca="1" si="350"/>
        <v>1909.9587334578564</v>
      </c>
      <c r="R4077" s="4">
        <f t="shared" ca="1" si="351"/>
        <v>-13.711310542143565</v>
      </c>
      <c r="S4077" s="4">
        <f t="shared" ca="1" si="352"/>
        <v>-6.8642706680126757</v>
      </c>
    </row>
    <row r="4078" spans="15:19" x14ac:dyDescent="0.2">
      <c r="O4078" s="4">
        <f t="shared" ca="1" si="348"/>
        <v>0.10950859189707307</v>
      </c>
      <c r="P4078" s="4">
        <f t="shared" ca="1" si="349"/>
        <v>-1.2291456989112097</v>
      </c>
      <c r="Q4078" s="4">
        <f t="shared" ca="1" si="350"/>
        <v>1960.5011985395972</v>
      </c>
      <c r="R4078" s="4">
        <f t="shared" ca="1" si="351"/>
        <v>36.831154539597264</v>
      </c>
      <c r="S4078" s="4">
        <f t="shared" ca="1" si="352"/>
        <v>19.196494408175933</v>
      </c>
    </row>
    <row r="4079" spans="15:19" x14ac:dyDescent="0.2">
      <c r="O4079" s="4">
        <f t="shared" ca="1" si="348"/>
        <v>9.2397045161055291E-2</v>
      </c>
      <c r="P4079" s="4">
        <f t="shared" ca="1" si="349"/>
        <v>-1.3261377007921924</v>
      </c>
      <c r="Q4079" s="4">
        <f t="shared" ca="1" si="350"/>
        <v>1963.4395669302344</v>
      </c>
      <c r="R4079" s="4">
        <f t="shared" ca="1" si="351"/>
        <v>39.769522930234416</v>
      </c>
      <c r="S4079" s="4">
        <f t="shared" ca="1" si="352"/>
        <v>20.775548820771675</v>
      </c>
    </row>
    <row r="4080" spans="15:19" x14ac:dyDescent="0.2">
      <c r="O4080" s="4">
        <f t="shared" ca="1" si="348"/>
        <v>0.92847455638515497</v>
      </c>
      <c r="P4080" s="4">
        <f t="shared" ca="1" si="349"/>
        <v>1.4645237920326157</v>
      </c>
      <c r="Q4080" s="4">
        <f t="shared" ca="1" si="350"/>
        <v>1878.8966009076748</v>
      </c>
      <c r="R4080" s="4">
        <f t="shared" ca="1" si="351"/>
        <v>-44.773443092325124</v>
      </c>
      <c r="S4080" s="4">
        <f t="shared" ca="1" si="352"/>
        <v>-21.848719559857503</v>
      </c>
    </row>
    <row r="4081" spans="15:19" x14ac:dyDescent="0.2">
      <c r="O4081" s="4">
        <f t="shared" ca="1" si="348"/>
        <v>0.25616620900642606</v>
      </c>
      <c r="P4081" s="4">
        <f t="shared" ca="1" si="349"/>
        <v>-0.65521021558989312</v>
      </c>
      <c r="Q4081" s="4">
        <f t="shared" ca="1" si="350"/>
        <v>1943.1138485545373</v>
      </c>
      <c r="R4081" s="4">
        <f t="shared" ca="1" si="351"/>
        <v>19.443804554537337</v>
      </c>
      <c r="S4081" s="4">
        <f t="shared" ca="1" si="352"/>
        <v>9.9965415322912463</v>
      </c>
    </row>
    <row r="4082" spans="15:19" x14ac:dyDescent="0.2">
      <c r="O4082" s="4">
        <f t="shared" ca="1" si="348"/>
        <v>0.63774649070671618</v>
      </c>
      <c r="P4082" s="4">
        <f t="shared" ca="1" si="349"/>
        <v>0.35244171993692974</v>
      </c>
      <c r="Q4082" s="4">
        <f t="shared" ca="1" si="350"/>
        <v>1912.5870779064862</v>
      </c>
      <c r="R4082" s="4">
        <f t="shared" ca="1" si="351"/>
        <v>-11.082966093513733</v>
      </c>
      <c r="S4082" s="4">
        <f t="shared" ca="1" si="352"/>
        <v>-5.5603048100631041</v>
      </c>
    </row>
    <row r="4083" spans="15:19" x14ac:dyDescent="0.2">
      <c r="O4083" s="4">
        <f t="shared" ca="1" si="348"/>
        <v>0.33716528354463049</v>
      </c>
      <c r="P4083" s="4">
        <f t="shared" ca="1" si="349"/>
        <v>-0.42021203029579529</v>
      </c>
      <c r="Q4083" s="4">
        <f t="shared" ca="1" si="350"/>
        <v>1935.9945889647361</v>
      </c>
      <c r="R4083" s="4">
        <f t="shared" ca="1" si="351"/>
        <v>12.324544964736106</v>
      </c>
      <c r="S4083" s="4">
        <f t="shared" ca="1" si="352"/>
        <v>6.3006369181988431</v>
      </c>
    </row>
    <row r="4084" spans="15:19" x14ac:dyDescent="0.2">
      <c r="O4084" s="4">
        <f t="shared" ca="1" si="348"/>
        <v>0.28570909355273799</v>
      </c>
      <c r="P4084" s="4">
        <f t="shared" ca="1" si="349"/>
        <v>-0.56596409730678288</v>
      </c>
      <c r="Q4084" s="4">
        <f t="shared" ca="1" si="350"/>
        <v>1940.4101413635883</v>
      </c>
      <c r="R4084" s="4">
        <f t="shared" ca="1" si="351"/>
        <v>16.740097363588347</v>
      </c>
      <c r="S4084" s="4">
        <f t="shared" ca="1" si="352"/>
        <v>8.588074612220737</v>
      </c>
    </row>
    <row r="4085" spans="15:19" x14ac:dyDescent="0.2">
      <c r="O4085" s="4">
        <f t="shared" ca="1" si="348"/>
        <v>0.70618299909377125</v>
      </c>
      <c r="P4085" s="4">
        <f t="shared" ca="1" si="349"/>
        <v>0.54226784741662848</v>
      </c>
      <c r="Q4085" s="4">
        <f t="shared" ca="1" si="350"/>
        <v>1906.8363038025784</v>
      </c>
      <c r="R4085" s="4">
        <f t="shared" ca="1" si="351"/>
        <v>-16.833740197421548</v>
      </c>
      <c r="S4085" s="4">
        <f t="shared" ca="1" si="352"/>
        <v>-8.4060510087230433</v>
      </c>
    </row>
    <row r="4086" spans="15:19" x14ac:dyDescent="0.2">
      <c r="O4086" s="4">
        <f t="shared" ca="1" si="348"/>
        <v>0.57523075716994365</v>
      </c>
      <c r="P4086" s="4">
        <f t="shared" ca="1" si="349"/>
        <v>0.18970731845257</v>
      </c>
      <c r="Q4086" s="4">
        <f t="shared" ca="1" si="350"/>
        <v>1917.517109374211</v>
      </c>
      <c r="R4086" s="4">
        <f t="shared" ca="1" si="351"/>
        <v>-6.1529346257889301</v>
      </c>
      <c r="S4086" s="4">
        <f t="shared" ca="1" si="352"/>
        <v>-3.09926470216242</v>
      </c>
    </row>
    <row r="4087" spans="15:19" x14ac:dyDescent="0.2">
      <c r="O4087" s="4">
        <f t="shared" ca="1" si="348"/>
        <v>0.88339588347386355</v>
      </c>
      <c r="P4087" s="4">
        <f t="shared" ca="1" si="349"/>
        <v>1.1921352096241673</v>
      </c>
      <c r="Q4087" s="4">
        <f t="shared" ca="1" si="350"/>
        <v>1887.1486009179594</v>
      </c>
      <c r="R4087" s="4">
        <f t="shared" ca="1" si="351"/>
        <v>-36.521443082040605</v>
      </c>
      <c r="S4087" s="4">
        <f t="shared" ca="1" si="352"/>
        <v>-17.944556845284787</v>
      </c>
    </row>
    <row r="4088" spans="15:19" x14ac:dyDescent="0.2">
      <c r="O4088" s="4">
        <f t="shared" ca="1" si="348"/>
        <v>0.62315072652050163</v>
      </c>
      <c r="P4088" s="4">
        <f t="shared" ca="1" si="349"/>
        <v>0.31376629270908485</v>
      </c>
      <c r="Q4088" s="4">
        <f t="shared" ca="1" si="350"/>
        <v>1913.7587482572037</v>
      </c>
      <c r="R4088" s="4">
        <f t="shared" ca="1" si="351"/>
        <v>-9.9112957427962556</v>
      </c>
      <c r="S4088" s="4">
        <f t="shared" ca="1" si="352"/>
        <v>-4.9772070350990916</v>
      </c>
    </row>
    <row r="4089" spans="15:19" x14ac:dyDescent="0.2">
      <c r="O4089" s="4">
        <f t="shared" ca="1" si="348"/>
        <v>0.80460784841967081</v>
      </c>
      <c r="P4089" s="4">
        <f t="shared" ca="1" si="349"/>
        <v>0.85819589356382486</v>
      </c>
      <c r="Q4089" s="4">
        <f t="shared" ca="1" si="350"/>
        <v>1897.2652776714369</v>
      </c>
      <c r="R4089" s="4">
        <f t="shared" ca="1" si="351"/>
        <v>-26.404766328563028</v>
      </c>
      <c r="S4089" s="4">
        <f t="shared" ca="1" si="352"/>
        <v>-13.08253792697896</v>
      </c>
    </row>
    <row r="4090" spans="15:19" x14ac:dyDescent="0.2">
      <c r="O4090" s="4">
        <f t="shared" ca="1" si="348"/>
        <v>0.63499187438257676</v>
      </c>
      <c r="P4090" s="4">
        <f t="shared" ca="1" si="349"/>
        <v>0.34510391377238736</v>
      </c>
      <c r="Q4090" s="4">
        <f t="shared" ca="1" si="350"/>
        <v>1912.80937641845</v>
      </c>
      <c r="R4090" s="4">
        <f t="shared" ca="1" si="351"/>
        <v>-10.860667581549933</v>
      </c>
      <c r="S4090" s="4">
        <f t="shared" ca="1" si="352"/>
        <v>-5.4497608247048186</v>
      </c>
    </row>
    <row r="4091" spans="15:19" x14ac:dyDescent="0.2">
      <c r="O4091" s="4">
        <f t="shared" ca="1" si="348"/>
        <v>0.85870781388780537</v>
      </c>
      <c r="P4091" s="4">
        <f t="shared" ca="1" si="349"/>
        <v>1.0745318622437037</v>
      </c>
      <c r="Q4091" s="4">
        <f t="shared" ca="1" si="350"/>
        <v>1890.71138910538</v>
      </c>
      <c r="R4091" s="4">
        <f t="shared" ca="1" si="351"/>
        <v>-32.95865489461994</v>
      </c>
      <c r="S4091" s="4">
        <f t="shared" ca="1" si="352"/>
        <v>-16.241805653014556</v>
      </c>
    </row>
    <row r="4092" spans="15:19" x14ac:dyDescent="0.2">
      <c r="O4092" s="4">
        <f t="shared" ca="1" si="348"/>
        <v>0.57931210504332953</v>
      </c>
      <c r="P4092" s="4">
        <f t="shared" ca="1" si="349"/>
        <v>0.20013399126808659</v>
      </c>
      <c r="Q4092" s="4">
        <f t="shared" ca="1" si="350"/>
        <v>1917.2012337841986</v>
      </c>
      <c r="R4092" s="4">
        <f t="shared" ca="1" si="351"/>
        <v>-6.4688102158013407</v>
      </c>
      <c r="S4092" s="4">
        <f t="shared" ca="1" si="352"/>
        <v>-3.2575410750548746</v>
      </c>
    </row>
    <row r="4093" spans="15:19" x14ac:dyDescent="0.2">
      <c r="O4093" s="4">
        <f t="shared" ca="1" si="348"/>
        <v>3.8244271073017089E-2</v>
      </c>
      <c r="P4093" s="4">
        <f t="shared" ca="1" si="349"/>
        <v>-1.7714341005866281</v>
      </c>
      <c r="Q4093" s="4">
        <f t="shared" ca="1" si="350"/>
        <v>1976.9298015912937</v>
      </c>
      <c r="R4093" s="4">
        <f t="shared" ca="1" si="351"/>
        <v>53.259757591293692</v>
      </c>
      <c r="S4093" s="4">
        <f t="shared" ca="1" si="352"/>
        <v>28.115304256759803</v>
      </c>
    </row>
    <row r="4094" spans="15:19" x14ac:dyDescent="0.2">
      <c r="O4094" s="4">
        <f t="shared" ca="1" si="348"/>
        <v>0.32279402245049027</v>
      </c>
      <c r="P4094" s="4">
        <f t="shared" ca="1" si="349"/>
        <v>-0.45989993773971832</v>
      </c>
      <c r="Q4094" s="4">
        <f t="shared" ca="1" si="350"/>
        <v>1937.1969323586466</v>
      </c>
      <c r="R4094" s="4">
        <f t="shared" ca="1" si="351"/>
        <v>13.526888358646602</v>
      </c>
      <c r="S4094" s="4">
        <f t="shared" ca="1" si="352"/>
        <v>6.9219275688635085</v>
      </c>
    </row>
    <row r="4095" spans="15:19" x14ac:dyDescent="0.2">
      <c r="O4095" s="4">
        <f t="shared" ca="1" si="348"/>
        <v>0.39640236913174831</v>
      </c>
      <c r="P4095" s="4">
        <f t="shared" ca="1" si="349"/>
        <v>-0.26267026373098989</v>
      </c>
      <c r="Q4095" s="4">
        <f t="shared" ca="1" si="350"/>
        <v>1931.2218681413515</v>
      </c>
      <c r="R4095" s="4">
        <f t="shared" ca="1" si="351"/>
        <v>7.551824141351517</v>
      </c>
      <c r="S4095" s="4">
        <f t="shared" ca="1" si="352"/>
        <v>3.8460225271821562</v>
      </c>
    </row>
    <row r="4096" spans="15:19" x14ac:dyDescent="0.2">
      <c r="O4096" s="4">
        <f t="shared" ca="1" si="348"/>
        <v>7.7636795837227046E-2</v>
      </c>
      <c r="P4096" s="4">
        <f t="shared" ca="1" si="349"/>
        <v>-1.4211485039452652</v>
      </c>
      <c r="Q4096" s="4">
        <f t="shared" ca="1" si="350"/>
        <v>1966.3179149933721</v>
      </c>
      <c r="R4096" s="4">
        <f t="shared" ca="1" si="351"/>
        <v>42.64787099337218</v>
      </c>
      <c r="S4096" s="4">
        <f t="shared" ca="1" si="352"/>
        <v>22.329164185709512</v>
      </c>
    </row>
    <row r="4097" spans="15:19" x14ac:dyDescent="0.2">
      <c r="O4097" s="4">
        <f t="shared" ca="1" si="348"/>
        <v>0.89353056464199521</v>
      </c>
      <c r="P4097" s="4">
        <f t="shared" ca="1" si="349"/>
        <v>1.2455248940163017</v>
      </c>
      <c r="Q4097" s="4">
        <f t="shared" ca="1" si="350"/>
        <v>1885.531162799748</v>
      </c>
      <c r="R4097" s="4">
        <f t="shared" ca="1" si="351"/>
        <v>-38.138881200251944</v>
      </c>
      <c r="S4097" s="4">
        <f t="shared" ca="1" si="352"/>
        <v>-18.714162812838712</v>
      </c>
    </row>
    <row r="4098" spans="15:19" x14ac:dyDescent="0.2">
      <c r="O4098" s="4">
        <f t="shared" ca="1" si="348"/>
        <v>0.73768032462342714</v>
      </c>
      <c r="P4098" s="4">
        <f t="shared" ca="1" si="349"/>
        <v>0.63621031518804783</v>
      </c>
      <c r="Q4098" s="4">
        <f t="shared" ca="1" si="350"/>
        <v>1903.9903209123945</v>
      </c>
      <c r="R4098" s="4">
        <f t="shared" ca="1" si="351"/>
        <v>-19.679723087605453</v>
      </c>
      <c r="S4098" s="4">
        <f t="shared" ca="1" si="352"/>
        <v>-9.8044141366078552</v>
      </c>
    </row>
    <row r="4099" spans="15:19" x14ac:dyDescent="0.2">
      <c r="O4099" s="4">
        <f t="shared" ref="O4099:O4162" ca="1" si="353">RAND()</f>
        <v>0.82543967634404358</v>
      </c>
      <c r="P4099" s="4">
        <f t="shared" ref="P4099:P4162" ca="1" si="354">NORMSINV(O4099)</f>
        <v>0.93629631039140493</v>
      </c>
      <c r="Q4099" s="4">
        <f t="shared" ref="Q4099:Q4162" ca="1" si="355">$B$4*(1+$B$17-$B$6/SQRT(252)*P4099)</f>
        <v>1894.8992290112255</v>
      </c>
      <c r="R4099" s="4">
        <f t="shared" ref="R4099:R4162" ca="1" si="356">Q4099-$B$4</f>
        <v>-28.770814988774418</v>
      </c>
      <c r="S4099" s="4">
        <f t="shared" ref="S4099:S4162" ca="1" si="357">R4099*$B$12+0.5*$B$13*R4099^2</f>
        <v>-14.227112815839796</v>
      </c>
    </row>
    <row r="4100" spans="15:19" x14ac:dyDescent="0.2">
      <c r="O4100" s="4">
        <f t="shared" ca="1" si="353"/>
        <v>0.9006066425710616</v>
      </c>
      <c r="P4100" s="4">
        <f t="shared" ca="1" si="354"/>
        <v>1.2850159372723973</v>
      </c>
      <c r="Q4100" s="4">
        <f t="shared" ca="1" si="355"/>
        <v>1884.3347833976673</v>
      </c>
      <c r="R4100" s="4">
        <f t="shared" ca="1" si="356"/>
        <v>-39.33526060233271</v>
      </c>
      <c r="S4100" s="4">
        <f t="shared" ca="1" si="357"/>
        <v>-19.282051161917448</v>
      </c>
    </row>
    <row r="4101" spans="15:19" x14ac:dyDescent="0.2">
      <c r="O4101" s="4">
        <f t="shared" ca="1" si="353"/>
        <v>7.8170203992916076E-2</v>
      </c>
      <c r="P4101" s="4">
        <f t="shared" ca="1" si="354"/>
        <v>-1.4174876315510514</v>
      </c>
      <c r="Q4101" s="4">
        <f t="shared" ca="1" si="355"/>
        <v>1966.2070090267284</v>
      </c>
      <c r="R4101" s="4">
        <f t="shared" ca="1" si="356"/>
        <v>42.536965026728467</v>
      </c>
      <c r="S4101" s="4">
        <f t="shared" ca="1" si="357"/>
        <v>22.269176709891497</v>
      </c>
    </row>
    <row r="4102" spans="15:19" x14ac:dyDescent="0.2">
      <c r="O4102" s="4">
        <f t="shared" ca="1" si="353"/>
        <v>0.16479903276994778</v>
      </c>
      <c r="P4102" s="4">
        <f t="shared" ca="1" si="354"/>
        <v>-0.97492378766002763</v>
      </c>
      <c r="Q4102" s="4">
        <f t="shared" ca="1" si="355"/>
        <v>1952.7995570254404</v>
      </c>
      <c r="R4102" s="4">
        <f t="shared" ca="1" si="356"/>
        <v>29.129513025440474</v>
      </c>
      <c r="S4102" s="4">
        <f t="shared" ca="1" si="357"/>
        <v>15.09105466565536</v>
      </c>
    </row>
    <row r="4103" spans="15:19" x14ac:dyDescent="0.2">
      <c r="O4103" s="4">
        <f t="shared" ca="1" si="353"/>
        <v>0.69110567750873242</v>
      </c>
      <c r="P4103" s="4">
        <f t="shared" ca="1" si="354"/>
        <v>0.49898685431838524</v>
      </c>
      <c r="Q4103" s="4">
        <f t="shared" ca="1" si="355"/>
        <v>1908.1474995668571</v>
      </c>
      <c r="R4103" s="4">
        <f t="shared" ca="1" si="356"/>
        <v>-15.522544433142912</v>
      </c>
      <c r="S4103" s="4">
        <f t="shared" ca="1" si="357"/>
        <v>-7.7595809540432636</v>
      </c>
    </row>
    <row r="4104" spans="15:19" x14ac:dyDescent="0.2">
      <c r="O4104" s="4">
        <f t="shared" ca="1" si="353"/>
        <v>0.77506996752385782</v>
      </c>
      <c r="P4104" s="4">
        <f t="shared" ca="1" si="354"/>
        <v>0.75564834003383952</v>
      </c>
      <c r="Q4104" s="4">
        <f t="shared" ca="1" si="355"/>
        <v>1900.3719512526195</v>
      </c>
      <c r="R4104" s="4">
        <f t="shared" ca="1" si="356"/>
        <v>-23.298092747380451</v>
      </c>
      <c r="S4104" s="4">
        <f t="shared" ca="1" si="357"/>
        <v>-11.572765117388833</v>
      </c>
    </row>
    <row r="4105" spans="15:19" x14ac:dyDescent="0.2">
      <c r="O4105" s="4">
        <f t="shared" ca="1" si="353"/>
        <v>0.2160082924236163</v>
      </c>
      <c r="P4105" s="4">
        <f t="shared" ca="1" si="354"/>
        <v>-0.78574552789771113</v>
      </c>
      <c r="Q4105" s="4">
        <f t="shared" ca="1" si="355"/>
        <v>1947.0684100452656</v>
      </c>
      <c r="R4105" s="4">
        <f t="shared" ca="1" si="356"/>
        <v>23.398366045265675</v>
      </c>
      <c r="S4105" s="4">
        <f t="shared" ca="1" si="357"/>
        <v>12.067345775015074</v>
      </c>
    </row>
    <row r="4106" spans="15:19" x14ac:dyDescent="0.2">
      <c r="O4106" s="4">
        <f t="shared" ca="1" si="353"/>
        <v>0.82711759361760695</v>
      </c>
      <c r="P4106" s="4">
        <f t="shared" ca="1" si="354"/>
        <v>0.94283596473702025</v>
      </c>
      <c r="Q4106" s="4">
        <f t="shared" ca="1" si="355"/>
        <v>1894.7011104731791</v>
      </c>
      <c r="R4106" s="4">
        <f t="shared" ca="1" si="356"/>
        <v>-28.96893352682082</v>
      </c>
      <c r="S4106" s="4">
        <f t="shared" ca="1" si="357"/>
        <v>-14.322745767429142</v>
      </c>
    </row>
    <row r="4107" spans="15:19" x14ac:dyDescent="0.2">
      <c r="O4107" s="4">
        <f t="shared" ca="1" si="353"/>
        <v>4.7068506879117011E-2</v>
      </c>
      <c r="P4107" s="4">
        <f t="shared" ca="1" si="354"/>
        <v>-1.6739673629421454</v>
      </c>
      <c r="Q4107" s="4">
        <f t="shared" ca="1" si="355"/>
        <v>1973.9770511017794</v>
      </c>
      <c r="R4107" s="4">
        <f t="shared" ca="1" si="356"/>
        <v>50.307007101779391</v>
      </c>
      <c r="S4107" s="4">
        <f t="shared" ca="1" si="357"/>
        <v>26.496108493591382</v>
      </c>
    </row>
    <row r="4108" spans="15:19" x14ac:dyDescent="0.2">
      <c r="O4108" s="4">
        <f t="shared" ca="1" si="353"/>
        <v>0.78214121862142727</v>
      </c>
      <c r="P4108" s="4">
        <f t="shared" ca="1" si="354"/>
        <v>0.77944510477853723</v>
      </c>
      <c r="Q4108" s="4">
        <f t="shared" ca="1" si="355"/>
        <v>1899.6510293212314</v>
      </c>
      <c r="R4108" s="4">
        <f t="shared" ca="1" si="356"/>
        <v>-24.019014678768599</v>
      </c>
      <c r="S4108" s="4">
        <f t="shared" ca="1" si="357"/>
        <v>-11.923816939222984</v>
      </c>
    </row>
    <row r="4109" spans="15:19" x14ac:dyDescent="0.2">
      <c r="O4109" s="4">
        <f t="shared" ca="1" si="353"/>
        <v>0.68049092806568046</v>
      </c>
      <c r="P4109" s="4">
        <f t="shared" ca="1" si="354"/>
        <v>0.46907203975475237</v>
      </c>
      <c r="Q4109" s="4">
        <f t="shared" ca="1" si="355"/>
        <v>1909.0537675458745</v>
      </c>
      <c r="R4109" s="4">
        <f t="shared" ca="1" si="356"/>
        <v>-14.616276454125455</v>
      </c>
      <c r="S4109" s="4">
        <f t="shared" ca="1" si="357"/>
        <v>-7.3119378533328421</v>
      </c>
    </row>
    <row r="4110" spans="15:19" x14ac:dyDescent="0.2">
      <c r="O4110" s="4">
        <f t="shared" ca="1" si="353"/>
        <v>0.96210120006785738</v>
      </c>
      <c r="P4110" s="4">
        <f t="shared" ca="1" si="354"/>
        <v>1.7756077007037232</v>
      </c>
      <c r="Q4110" s="4">
        <f t="shared" ca="1" si="355"/>
        <v>1869.4723277062969</v>
      </c>
      <c r="R4110" s="4">
        <f t="shared" ca="1" si="356"/>
        <v>-54.197716293703024</v>
      </c>
      <c r="S4110" s="4">
        <f t="shared" ca="1" si="357"/>
        <v>-26.239692778497112</v>
      </c>
    </row>
    <row r="4111" spans="15:19" x14ac:dyDescent="0.2">
      <c r="O4111" s="4">
        <f t="shared" ca="1" si="353"/>
        <v>0.14374140628603183</v>
      </c>
      <c r="P4111" s="4">
        <f t="shared" ca="1" si="354"/>
        <v>-1.0636598642856103</v>
      </c>
      <c r="Q4111" s="4">
        <f t="shared" ca="1" si="355"/>
        <v>1955.4878125270195</v>
      </c>
      <c r="R4111" s="4">
        <f t="shared" ca="1" si="356"/>
        <v>31.817768527019552</v>
      </c>
      <c r="S4111" s="4">
        <f t="shared" ca="1" si="357"/>
        <v>16.518570912866544</v>
      </c>
    </row>
    <row r="4112" spans="15:19" x14ac:dyDescent="0.2">
      <c r="O4112" s="4">
        <f t="shared" ca="1" si="353"/>
        <v>0.35139962316202444</v>
      </c>
      <c r="P4112" s="4">
        <f t="shared" ca="1" si="354"/>
        <v>-0.3815445152702896</v>
      </c>
      <c r="Q4112" s="4">
        <f t="shared" ca="1" si="355"/>
        <v>1934.823158313837</v>
      </c>
      <c r="R4112" s="4">
        <f t="shared" ca="1" si="356"/>
        <v>11.153114313837023</v>
      </c>
      <c r="S4112" s="4">
        <f t="shared" ca="1" si="357"/>
        <v>5.6964518477601178</v>
      </c>
    </row>
    <row r="4113" spans="15:19" x14ac:dyDescent="0.2">
      <c r="O4113" s="4">
        <f t="shared" ca="1" si="353"/>
        <v>7.8997860578659318E-2</v>
      </c>
      <c r="P4113" s="4">
        <f t="shared" ca="1" si="354"/>
        <v>-1.4118446060593075</v>
      </c>
      <c r="Q4113" s="4">
        <f t="shared" ca="1" si="355"/>
        <v>1966.0360538200007</v>
      </c>
      <c r="R4113" s="4">
        <f t="shared" ca="1" si="356"/>
        <v>42.366009820000727</v>
      </c>
      <c r="S4113" s="4">
        <f t="shared" ca="1" si="357"/>
        <v>22.176729060485634</v>
      </c>
    </row>
    <row r="4114" spans="15:19" x14ac:dyDescent="0.2">
      <c r="O4114" s="4">
        <f t="shared" ca="1" si="353"/>
        <v>0.8252436437069457</v>
      </c>
      <c r="P4114" s="4">
        <f t="shared" ca="1" si="354"/>
        <v>0.9355348876574302</v>
      </c>
      <c r="Q4114" s="4">
        <f t="shared" ca="1" si="355"/>
        <v>1894.922296279145</v>
      </c>
      <c r="R4114" s="4">
        <f t="shared" ca="1" si="356"/>
        <v>-28.747747720854932</v>
      </c>
      <c r="S4114" s="4">
        <f t="shared" ca="1" si="357"/>
        <v>-14.215976036736894</v>
      </c>
    </row>
    <row r="4115" spans="15:19" x14ac:dyDescent="0.2">
      <c r="O4115" s="4">
        <f t="shared" ca="1" si="353"/>
        <v>1.6774300754311411E-2</v>
      </c>
      <c r="P4115" s="4">
        <f t="shared" ca="1" si="354"/>
        <v>-2.1254557634400557</v>
      </c>
      <c r="Q4115" s="4">
        <f t="shared" ca="1" si="355"/>
        <v>1987.6548721492316</v>
      </c>
      <c r="R4115" s="4">
        <f t="shared" ca="1" si="356"/>
        <v>63.984828149231589</v>
      </c>
      <c r="S4115" s="4">
        <f t="shared" ca="1" si="357"/>
        <v>34.056311849606381</v>
      </c>
    </row>
    <row r="4116" spans="15:19" x14ac:dyDescent="0.2">
      <c r="O4116" s="4">
        <f t="shared" ca="1" si="353"/>
        <v>0.4291504427342302</v>
      </c>
      <c r="P4116" s="4">
        <f t="shared" ca="1" si="354"/>
        <v>-0.17853748477921921</v>
      </c>
      <c r="Q4116" s="4">
        <f t="shared" ca="1" si="355"/>
        <v>1928.6730693384186</v>
      </c>
      <c r="R4116" s="4">
        <f t="shared" ca="1" si="356"/>
        <v>5.0030253384186381</v>
      </c>
      <c r="S4116" s="4">
        <f t="shared" ca="1" si="357"/>
        <v>2.542769480058408</v>
      </c>
    </row>
    <row r="4117" spans="15:19" x14ac:dyDescent="0.2">
      <c r="O4117" s="4">
        <f t="shared" ca="1" si="353"/>
        <v>0.19184689839404367</v>
      </c>
      <c r="P4117" s="4">
        <f t="shared" ca="1" si="354"/>
        <v>-0.87111054529740728</v>
      </c>
      <c r="Q4117" s="4">
        <f t="shared" ca="1" si="355"/>
        <v>1949.6545394572686</v>
      </c>
      <c r="R4117" s="4">
        <f t="shared" ca="1" si="356"/>
        <v>25.984495457268622</v>
      </c>
      <c r="S4117" s="4">
        <f t="shared" ca="1" si="357"/>
        <v>13.428456816641068</v>
      </c>
    </row>
    <row r="4118" spans="15:19" x14ac:dyDescent="0.2">
      <c r="O4118" s="4">
        <f t="shared" ca="1" si="353"/>
        <v>0.84960228558633089</v>
      </c>
      <c r="P4118" s="4">
        <f t="shared" ca="1" si="354"/>
        <v>1.034729128279446</v>
      </c>
      <c r="Q4118" s="4">
        <f t="shared" ca="1" si="355"/>
        <v>1891.9172111636258</v>
      </c>
      <c r="R4118" s="4">
        <f t="shared" ca="1" si="356"/>
        <v>-31.752832836374182</v>
      </c>
      <c r="S4118" s="4">
        <f t="shared" ca="1" si="357"/>
        <v>-15.663170547445123</v>
      </c>
    </row>
    <row r="4119" spans="15:19" x14ac:dyDescent="0.2">
      <c r="O4119" s="4">
        <f t="shared" ca="1" si="353"/>
        <v>0.32026144613178165</v>
      </c>
      <c r="P4119" s="4">
        <f t="shared" ca="1" si="354"/>
        <v>-0.46696783305383799</v>
      </c>
      <c r="Q4119" s="4">
        <f t="shared" ca="1" si="355"/>
        <v>1937.4110539333803</v>
      </c>
      <c r="R4119" s="4">
        <f t="shared" ca="1" si="356"/>
        <v>13.741009933380383</v>
      </c>
      <c r="S4119" s="4">
        <f t="shared" ca="1" si="357"/>
        <v>7.0326947401248621</v>
      </c>
    </row>
    <row r="4120" spans="15:19" x14ac:dyDescent="0.2">
      <c r="O4120" s="4">
        <f t="shared" ca="1" si="353"/>
        <v>0.81768045865083228</v>
      </c>
      <c r="P4120" s="4">
        <f t="shared" ca="1" si="354"/>
        <v>0.90656083122261588</v>
      </c>
      <c r="Q4120" s="4">
        <f t="shared" ca="1" si="355"/>
        <v>1895.8000640324185</v>
      </c>
      <c r="R4120" s="4">
        <f t="shared" ca="1" si="356"/>
        <v>-27.869979967581457</v>
      </c>
      <c r="S4120" s="4">
        <f t="shared" ca="1" si="357"/>
        <v>-13.791871609464623</v>
      </c>
    </row>
    <row r="4121" spans="15:19" x14ac:dyDescent="0.2">
      <c r="O4121" s="4">
        <f t="shared" ca="1" si="353"/>
        <v>0.19646538021645199</v>
      </c>
      <c r="P4121" s="4">
        <f t="shared" ca="1" si="354"/>
        <v>-0.85431449051113051</v>
      </c>
      <c r="Q4121" s="4">
        <f t="shared" ca="1" si="355"/>
        <v>1949.145703723246</v>
      </c>
      <c r="R4121" s="4">
        <f t="shared" ca="1" si="356"/>
        <v>25.475659723246054</v>
      </c>
      <c r="S4121" s="4">
        <f t="shared" ca="1" si="357"/>
        <v>13.160220171726856</v>
      </c>
    </row>
    <row r="4122" spans="15:19" x14ac:dyDescent="0.2">
      <c r="O4122" s="4">
        <f t="shared" ca="1" si="353"/>
        <v>0.31606108989438231</v>
      </c>
      <c r="P4122" s="4">
        <f t="shared" ca="1" si="354"/>
        <v>-0.47874200418437118</v>
      </c>
      <c r="Q4122" s="4">
        <f t="shared" ca="1" si="355"/>
        <v>1937.7677519250183</v>
      </c>
      <c r="R4122" s="4">
        <f t="shared" ca="1" si="356"/>
        <v>14.097707925018312</v>
      </c>
      <c r="S4122" s="4">
        <f t="shared" ca="1" si="357"/>
        <v>7.2173009607308147</v>
      </c>
    </row>
    <row r="4123" spans="15:19" x14ac:dyDescent="0.2">
      <c r="O4123" s="4">
        <f t="shared" ca="1" si="353"/>
        <v>0.44671050374252086</v>
      </c>
      <c r="P4123" s="4">
        <f t="shared" ca="1" si="354"/>
        <v>-0.1339766892870734</v>
      </c>
      <c r="Q4123" s="4">
        <f t="shared" ca="1" si="355"/>
        <v>1927.3231020174385</v>
      </c>
      <c r="R4123" s="4">
        <f t="shared" ca="1" si="356"/>
        <v>3.653058017438525</v>
      </c>
      <c r="S4123" s="4">
        <f t="shared" ca="1" si="357"/>
        <v>1.8546460205727473</v>
      </c>
    </row>
    <row r="4124" spans="15:19" x14ac:dyDescent="0.2">
      <c r="O4124" s="4">
        <f t="shared" ca="1" si="353"/>
        <v>0.59932107401466328</v>
      </c>
      <c r="P4124" s="4">
        <f t="shared" ca="1" si="354"/>
        <v>0.2515901771236515</v>
      </c>
      <c r="Q4124" s="4">
        <f t="shared" ca="1" si="355"/>
        <v>1915.6423709183073</v>
      </c>
      <c r="R4124" s="4">
        <f t="shared" ca="1" si="356"/>
        <v>-8.0276730816926829</v>
      </c>
      <c r="S4124" s="4">
        <f t="shared" ca="1" si="357"/>
        <v>-4.0374537643124553</v>
      </c>
    </row>
    <row r="4125" spans="15:19" x14ac:dyDescent="0.2">
      <c r="O4125" s="4">
        <f t="shared" ca="1" si="353"/>
        <v>0.22584777404952527</v>
      </c>
      <c r="P4125" s="4">
        <f t="shared" ca="1" si="354"/>
        <v>-0.75259129854793327</v>
      </c>
      <c r="Q4125" s="4">
        <f t="shared" ca="1" si="355"/>
        <v>1946.0640041391287</v>
      </c>
      <c r="R4125" s="4">
        <f t="shared" ca="1" si="356"/>
        <v>22.393960139128694</v>
      </c>
      <c r="S4125" s="4">
        <f t="shared" ca="1" si="357"/>
        <v>11.540182891563351</v>
      </c>
    </row>
    <row r="4126" spans="15:19" x14ac:dyDescent="0.2">
      <c r="O4126" s="4">
        <f t="shared" ca="1" si="353"/>
        <v>0.61467214772670153</v>
      </c>
      <c r="P4126" s="4">
        <f t="shared" ca="1" si="354"/>
        <v>0.29151731324519292</v>
      </c>
      <c r="Q4126" s="4">
        <f t="shared" ca="1" si="355"/>
        <v>1914.43278010223</v>
      </c>
      <c r="R4126" s="4">
        <f t="shared" ca="1" si="356"/>
        <v>-9.2372638977699353</v>
      </c>
      <c r="S4126" s="4">
        <f t="shared" ca="1" si="357"/>
        <v>-4.6412594493135604</v>
      </c>
    </row>
    <row r="4127" spans="15:19" x14ac:dyDescent="0.2">
      <c r="O4127" s="4">
        <f t="shared" ca="1" si="353"/>
        <v>0.22308582757672346</v>
      </c>
      <c r="P4127" s="4">
        <f t="shared" ca="1" si="354"/>
        <v>-0.76181294176912417</v>
      </c>
      <c r="Q4127" s="4">
        <f t="shared" ca="1" si="355"/>
        <v>1946.3433734110831</v>
      </c>
      <c r="R4127" s="4">
        <f t="shared" ca="1" si="356"/>
        <v>22.673329411083159</v>
      </c>
      <c r="S4127" s="4">
        <f t="shared" ca="1" si="357"/>
        <v>11.686727524262389</v>
      </c>
    </row>
    <row r="4128" spans="15:19" x14ac:dyDescent="0.2">
      <c r="O4128" s="4">
        <f t="shared" ca="1" si="353"/>
        <v>6.3567314219704629E-2</v>
      </c>
      <c r="P4128" s="4">
        <f t="shared" ca="1" si="354"/>
        <v>-1.5254992180475815</v>
      </c>
      <c r="Q4128" s="4">
        <f t="shared" ca="1" si="355"/>
        <v>1969.479215244035</v>
      </c>
      <c r="R4128" s="4">
        <f t="shared" ca="1" si="356"/>
        <v>45.809171244035042</v>
      </c>
      <c r="S4128" s="4">
        <f t="shared" ca="1" si="357"/>
        <v>24.043277878272882</v>
      </c>
    </row>
    <row r="4129" spans="15:19" x14ac:dyDescent="0.2">
      <c r="O4129" s="4">
        <f t="shared" ca="1" si="353"/>
        <v>0.74471350784503532</v>
      </c>
      <c r="P4129" s="4">
        <f t="shared" ca="1" si="354"/>
        <v>0.65794576105552316</v>
      </c>
      <c r="Q4129" s="4">
        <f t="shared" ca="1" si="355"/>
        <v>1903.3318465448713</v>
      </c>
      <c r="R4129" s="4">
        <f t="shared" ca="1" si="356"/>
        <v>-20.338197455128693</v>
      </c>
      <c r="S4129" s="4">
        <f t="shared" ca="1" si="357"/>
        <v>-10.127013721598603</v>
      </c>
    </row>
    <row r="4130" spans="15:19" x14ac:dyDescent="0.2">
      <c r="O4130" s="4">
        <f t="shared" ca="1" si="353"/>
        <v>0.48517624228456524</v>
      </c>
      <c r="P4130" s="4">
        <f t="shared" ca="1" si="354"/>
        <v>-3.7166204898923014E-2</v>
      </c>
      <c r="Q4130" s="4">
        <f t="shared" ca="1" si="355"/>
        <v>1924.3902326911877</v>
      </c>
      <c r="R4130" s="4">
        <f t="shared" ca="1" si="356"/>
        <v>0.72018869118778639</v>
      </c>
      <c r="S4130" s="4">
        <f t="shared" ca="1" si="357"/>
        <v>0.36477770496744844</v>
      </c>
    </row>
    <row r="4131" spans="15:19" x14ac:dyDescent="0.2">
      <c r="O4131" s="4">
        <f t="shared" ca="1" si="353"/>
        <v>0.54149161132183921</v>
      </c>
      <c r="P4131" s="4">
        <f t="shared" ca="1" si="354"/>
        <v>0.10419225850115121</v>
      </c>
      <c r="Q4131" s="4">
        <f t="shared" ca="1" si="355"/>
        <v>1920.1077843186563</v>
      </c>
      <c r="R4131" s="4">
        <f t="shared" ca="1" si="356"/>
        <v>-3.5622596813436758</v>
      </c>
      <c r="S4131" s="4">
        <f t="shared" ca="1" si="357"/>
        <v>-1.7980851587663977</v>
      </c>
    </row>
    <row r="4132" spans="15:19" x14ac:dyDescent="0.2">
      <c r="O4132" s="4">
        <f t="shared" ca="1" si="353"/>
        <v>0.72291870181339601</v>
      </c>
      <c r="P4132" s="4">
        <f t="shared" ca="1" si="354"/>
        <v>0.59153412644858439</v>
      </c>
      <c r="Q4132" s="4">
        <f t="shared" ca="1" si="355"/>
        <v>1905.3437840666786</v>
      </c>
      <c r="R4132" s="4">
        <f t="shared" ca="1" si="356"/>
        <v>-18.326259933321353</v>
      </c>
      <c r="S4132" s="4">
        <f t="shared" ca="1" si="357"/>
        <v>-9.1402173487644074</v>
      </c>
    </row>
    <row r="4133" spans="15:19" x14ac:dyDescent="0.2">
      <c r="O4133" s="4">
        <f t="shared" ca="1" si="353"/>
        <v>4.2005124333770016E-2</v>
      </c>
      <c r="P4133" s="4">
        <f t="shared" ca="1" si="354"/>
        <v>-1.7278771673135749</v>
      </c>
      <c r="Q4133" s="4">
        <f t="shared" ca="1" si="355"/>
        <v>1975.6102462316705</v>
      </c>
      <c r="R4133" s="4">
        <f t="shared" ca="1" si="356"/>
        <v>51.940202231670582</v>
      </c>
      <c r="S4133" s="4">
        <f t="shared" ca="1" si="357"/>
        <v>27.390824210556094</v>
      </c>
    </row>
    <row r="4134" spans="15:19" x14ac:dyDescent="0.2">
      <c r="O4134" s="4">
        <f t="shared" ca="1" si="353"/>
        <v>0.1271372387999149</v>
      </c>
      <c r="P4134" s="4">
        <f t="shared" ca="1" si="354"/>
        <v>-1.1400283804005458</v>
      </c>
      <c r="Q4134" s="4">
        <f t="shared" ca="1" si="355"/>
        <v>1957.801393332036</v>
      </c>
      <c r="R4134" s="4">
        <f t="shared" ca="1" si="356"/>
        <v>34.131349332036052</v>
      </c>
      <c r="S4134" s="4">
        <f t="shared" ca="1" si="357"/>
        <v>17.751838235604129</v>
      </c>
    </row>
    <row r="4135" spans="15:19" x14ac:dyDescent="0.2">
      <c r="O4135" s="4">
        <f t="shared" ca="1" si="353"/>
        <v>0.11948359092123662</v>
      </c>
      <c r="P4135" s="4">
        <f t="shared" ca="1" si="354"/>
        <v>-1.1775722409375078</v>
      </c>
      <c r="Q4135" s="4">
        <f t="shared" ca="1" si="355"/>
        <v>1958.9387829200934</v>
      </c>
      <c r="R4135" s="4">
        <f t="shared" ca="1" si="356"/>
        <v>35.268738920093483</v>
      </c>
      <c r="S4135" s="4">
        <f t="shared" ca="1" si="357"/>
        <v>18.359727969710892</v>
      </c>
    </row>
    <row r="4136" spans="15:19" x14ac:dyDescent="0.2">
      <c r="O4136" s="4">
        <f t="shared" ca="1" si="353"/>
        <v>0.11150626190826107</v>
      </c>
      <c r="P4136" s="4">
        <f t="shared" ca="1" si="354"/>
        <v>-1.218556616148242</v>
      </c>
      <c r="Q4136" s="4">
        <f t="shared" ca="1" si="355"/>
        <v>1960.1804027474379</v>
      </c>
      <c r="R4136" s="4">
        <f t="shared" ca="1" si="356"/>
        <v>36.510358747437976</v>
      </c>
      <c r="S4136" s="4">
        <f t="shared" ca="1" si="357"/>
        <v>19.024527054218545</v>
      </c>
    </row>
    <row r="4137" spans="15:19" x14ac:dyDescent="0.2">
      <c r="O4137" s="4">
        <f t="shared" ca="1" si="353"/>
        <v>0.94194667238447527</v>
      </c>
      <c r="P4137" s="4">
        <f t="shared" ca="1" si="354"/>
        <v>1.5713272477437579</v>
      </c>
      <c r="Q4137" s="4">
        <f t="shared" ca="1" si="355"/>
        <v>1875.6609949588722</v>
      </c>
      <c r="R4137" s="4">
        <f t="shared" ca="1" si="356"/>
        <v>-48.00904904112781</v>
      </c>
      <c r="S4137" s="4">
        <f t="shared" ca="1" si="357"/>
        <v>-23.364409715025094</v>
      </c>
    </row>
    <row r="4138" spans="15:19" x14ac:dyDescent="0.2">
      <c r="O4138" s="4">
        <f t="shared" ca="1" si="353"/>
        <v>0.24818256385551907</v>
      </c>
      <c r="P4138" s="4">
        <f t="shared" ca="1" si="354"/>
        <v>-0.68022006750532737</v>
      </c>
      <c r="Q4138" s="4">
        <f t="shared" ca="1" si="355"/>
        <v>1943.8715209079028</v>
      </c>
      <c r="R4138" s="4">
        <f t="shared" ca="1" si="356"/>
        <v>20.201476907902816</v>
      </c>
      <c r="S4138" s="4">
        <f t="shared" ca="1" si="357"/>
        <v>10.392310298723823</v>
      </c>
    </row>
    <row r="4139" spans="15:19" x14ac:dyDescent="0.2">
      <c r="O4139" s="4">
        <f t="shared" ca="1" si="353"/>
        <v>0.89791483752323042</v>
      </c>
      <c r="P4139" s="4">
        <f t="shared" ca="1" si="354"/>
        <v>1.2697594613438998</v>
      </c>
      <c r="Q4139" s="4">
        <f t="shared" ca="1" si="355"/>
        <v>1884.7969776585489</v>
      </c>
      <c r="R4139" s="4">
        <f t="shared" ca="1" si="356"/>
        <v>-38.873066341451022</v>
      </c>
      <c r="S4139" s="4">
        <f t="shared" ca="1" si="357"/>
        <v>-19.062798410268709</v>
      </c>
    </row>
    <row r="4140" spans="15:19" x14ac:dyDescent="0.2">
      <c r="O4140" s="4">
        <f t="shared" ca="1" si="353"/>
        <v>0.69830906664473236</v>
      </c>
      <c r="P4140" s="4">
        <f t="shared" ca="1" si="354"/>
        <v>0.5195433849653085</v>
      </c>
      <c r="Q4140" s="4">
        <f t="shared" ca="1" si="355"/>
        <v>1907.5247403835976</v>
      </c>
      <c r="R4140" s="4">
        <f t="shared" ca="1" si="356"/>
        <v>-16.145303616402316</v>
      </c>
      <c r="S4140" s="4">
        <f t="shared" ca="1" si="357"/>
        <v>-8.0667997598680881</v>
      </c>
    </row>
    <row r="4141" spans="15:19" x14ac:dyDescent="0.2">
      <c r="O4141" s="4">
        <f t="shared" ca="1" si="353"/>
        <v>0.95467371501872811</v>
      </c>
      <c r="P4141" s="4">
        <f t="shared" ca="1" si="354"/>
        <v>1.6919654050167481</v>
      </c>
      <c r="Q4141" s="4">
        <f t="shared" ca="1" si="355"/>
        <v>1872.0062673405</v>
      </c>
      <c r="R4141" s="4">
        <f t="shared" ca="1" si="356"/>
        <v>-51.663776659499945</v>
      </c>
      <c r="S4141" s="4">
        <f t="shared" ca="1" si="357"/>
        <v>-25.066182665054846</v>
      </c>
    </row>
    <row r="4142" spans="15:19" x14ac:dyDescent="0.2">
      <c r="O4142" s="4">
        <f t="shared" ca="1" si="353"/>
        <v>5.5114749340619551E-2</v>
      </c>
      <c r="P4142" s="4">
        <f t="shared" ca="1" si="354"/>
        <v>-1.5971624581867354</v>
      </c>
      <c r="Q4142" s="4">
        <f t="shared" ca="1" si="355"/>
        <v>1971.6502499222747</v>
      </c>
      <c r="R4142" s="4">
        <f t="shared" ca="1" si="356"/>
        <v>47.980205922274763</v>
      </c>
      <c r="S4142" s="4">
        <f t="shared" ca="1" si="357"/>
        <v>25.225164329263364</v>
      </c>
    </row>
    <row r="4143" spans="15:19" x14ac:dyDescent="0.2">
      <c r="O4143" s="4">
        <f t="shared" ca="1" si="353"/>
        <v>0.77702442380361392</v>
      </c>
      <c r="P4143" s="4">
        <f t="shared" ca="1" si="354"/>
        <v>0.7621823941260929</v>
      </c>
      <c r="Q4143" s="4">
        <f t="shared" ca="1" si="355"/>
        <v>1900.1740023740001</v>
      </c>
      <c r="R4143" s="4">
        <f t="shared" ca="1" si="356"/>
        <v>-23.496041625999851</v>
      </c>
      <c r="S4143" s="4">
        <f t="shared" ca="1" si="357"/>
        <v>-11.669198158914158</v>
      </c>
    </row>
    <row r="4144" spans="15:19" x14ac:dyDescent="0.2">
      <c r="O4144" s="4">
        <f t="shared" ca="1" si="353"/>
        <v>0.33010801457082117</v>
      </c>
      <c r="P4144" s="4">
        <f t="shared" ca="1" si="354"/>
        <v>-0.43961492497370774</v>
      </c>
      <c r="Q4144" s="4">
        <f t="shared" ca="1" si="355"/>
        <v>1936.5823987975341</v>
      </c>
      <c r="R4144" s="4">
        <f t="shared" ca="1" si="356"/>
        <v>12.912354797534135</v>
      </c>
      <c r="S4144" s="4">
        <f t="shared" ca="1" si="357"/>
        <v>6.604230680648552</v>
      </c>
    </row>
    <row r="4145" spans="15:19" x14ac:dyDescent="0.2">
      <c r="O4145" s="4">
        <f t="shared" ca="1" si="353"/>
        <v>0.46299033718034743</v>
      </c>
      <c r="P4145" s="4">
        <f t="shared" ca="1" si="354"/>
        <v>-9.2902934598190934E-2</v>
      </c>
      <c r="Q4145" s="4">
        <f t="shared" ca="1" si="355"/>
        <v>1926.0787744427723</v>
      </c>
      <c r="R4145" s="4">
        <f t="shared" ca="1" si="356"/>
        <v>2.4087304427723666</v>
      </c>
      <c r="S4145" s="4">
        <f t="shared" ca="1" si="357"/>
        <v>1.2216847518795853</v>
      </c>
    </row>
    <row r="4146" spans="15:19" x14ac:dyDescent="0.2">
      <c r="O4146" s="4">
        <f t="shared" ca="1" si="353"/>
        <v>0.46562195729089728</v>
      </c>
      <c r="P4146" s="4">
        <f t="shared" ca="1" si="354"/>
        <v>-8.6279902238162717E-2</v>
      </c>
      <c r="Q4146" s="4">
        <f t="shared" ca="1" si="355"/>
        <v>1925.8781299714815</v>
      </c>
      <c r="R4146" s="4">
        <f t="shared" ca="1" si="356"/>
        <v>2.2080859714815233</v>
      </c>
      <c r="S4146" s="4">
        <f t="shared" ca="1" si="357"/>
        <v>1.1197394712458479</v>
      </c>
    </row>
    <row r="4147" spans="15:19" x14ac:dyDescent="0.2">
      <c r="O4147" s="4">
        <f t="shared" ca="1" si="353"/>
        <v>0.26244195718407803</v>
      </c>
      <c r="P4147" s="4">
        <f t="shared" ca="1" si="354"/>
        <v>-0.63583508890927098</v>
      </c>
      <c r="Q4147" s="4">
        <f t="shared" ca="1" si="355"/>
        <v>1942.5268799519838</v>
      </c>
      <c r="R4147" s="4">
        <f t="shared" ca="1" si="356"/>
        <v>18.85683595198384</v>
      </c>
      <c r="S4147" s="4">
        <f t="shared" ca="1" si="357"/>
        <v>9.6902608418060527</v>
      </c>
    </row>
    <row r="4148" spans="15:19" x14ac:dyDescent="0.2">
      <c r="O4148" s="4">
        <f t="shared" ca="1" si="353"/>
        <v>0.40619031527968108</v>
      </c>
      <c r="P4148" s="4">
        <f t="shared" ca="1" si="354"/>
        <v>-0.23735598812488415</v>
      </c>
      <c r="Q4148" s="4">
        <f t="shared" ca="1" si="355"/>
        <v>1930.4549732857931</v>
      </c>
      <c r="R4148" s="4">
        <f t="shared" ca="1" si="356"/>
        <v>6.7849292857931687</v>
      </c>
      <c r="S4148" s="4">
        <f t="shared" ca="1" si="357"/>
        <v>3.4533372020574471</v>
      </c>
    </row>
    <row r="4149" spans="15:19" x14ac:dyDescent="0.2">
      <c r="O4149" s="4">
        <f t="shared" ca="1" si="353"/>
        <v>8.0356260203994223E-2</v>
      </c>
      <c r="P4149" s="4">
        <f t="shared" ca="1" si="354"/>
        <v>-1.4026792072073082</v>
      </c>
      <c r="Q4149" s="4">
        <f t="shared" ca="1" si="355"/>
        <v>1965.7583884687142</v>
      </c>
      <c r="R4149" s="4">
        <f t="shared" ca="1" si="356"/>
        <v>42.08834446871424</v>
      </c>
      <c r="S4149" s="4">
        <f t="shared" ca="1" si="357"/>
        <v>22.026626347095672</v>
      </c>
    </row>
    <row r="4150" spans="15:19" x14ac:dyDescent="0.2">
      <c r="O4150" s="4">
        <f t="shared" ca="1" si="353"/>
        <v>0.25077662555963631</v>
      </c>
      <c r="P4150" s="4">
        <f t="shared" ca="1" si="354"/>
        <v>-0.67204782400882201</v>
      </c>
      <c r="Q4150" s="4">
        <f t="shared" ca="1" si="355"/>
        <v>1943.6239431540157</v>
      </c>
      <c r="R4150" s="4">
        <f t="shared" ca="1" si="356"/>
        <v>19.953899154015744</v>
      </c>
      <c r="S4150" s="4">
        <f t="shared" ca="1" si="357"/>
        <v>10.262937104323058</v>
      </c>
    </row>
    <row r="4151" spans="15:19" x14ac:dyDescent="0.2">
      <c r="O4151" s="4">
        <f t="shared" ca="1" si="353"/>
        <v>0.99973188831832316</v>
      </c>
      <c r="P4151" s="4">
        <f t="shared" ca="1" si="354"/>
        <v>3.4619768064678653</v>
      </c>
      <c r="Q4151" s="4">
        <f t="shared" ca="1" si="355"/>
        <v>1818.3838505202673</v>
      </c>
      <c r="R4151" s="4">
        <f t="shared" ca="1" si="356"/>
        <v>-105.28619347973267</v>
      </c>
      <c r="S4151" s="4">
        <f t="shared" ca="1" si="357"/>
        <v>-48.784465735139378</v>
      </c>
    </row>
    <row r="4152" spans="15:19" x14ac:dyDescent="0.2">
      <c r="O4152" s="4">
        <f t="shared" ca="1" si="353"/>
        <v>0.93778044936245786</v>
      </c>
      <c r="P4152" s="4">
        <f t="shared" ca="1" si="354"/>
        <v>1.5364049182215826</v>
      </c>
      <c r="Q4152" s="4">
        <f t="shared" ca="1" si="355"/>
        <v>1876.7189653812302</v>
      </c>
      <c r="R4152" s="4">
        <f t="shared" ca="1" si="356"/>
        <v>-46.95107861876977</v>
      </c>
      <c r="S4152" s="4">
        <f t="shared" ca="1" si="357"/>
        <v>-22.869750936862321</v>
      </c>
    </row>
    <row r="4153" spans="15:19" x14ac:dyDescent="0.2">
      <c r="O4153" s="4">
        <f t="shared" ca="1" si="353"/>
        <v>0.36420040902535067</v>
      </c>
      <c r="P4153" s="4">
        <f t="shared" ca="1" si="354"/>
        <v>-0.34725358417961033</v>
      </c>
      <c r="Q4153" s="4">
        <f t="shared" ca="1" si="355"/>
        <v>1933.784316078928</v>
      </c>
      <c r="R4153" s="4">
        <f t="shared" ca="1" si="356"/>
        <v>10.114272078928025</v>
      </c>
      <c r="S4153" s="4">
        <f t="shared" ca="1" si="357"/>
        <v>5.1615861657529907</v>
      </c>
    </row>
    <row r="4154" spans="15:19" x14ac:dyDescent="0.2">
      <c r="O4154" s="4">
        <f t="shared" ca="1" si="353"/>
        <v>0.48167476006968757</v>
      </c>
      <c r="P4154" s="4">
        <f t="shared" ca="1" si="354"/>
        <v>-4.5950730023291982E-2</v>
      </c>
      <c r="Q4154" s="4">
        <f t="shared" ca="1" si="355"/>
        <v>1924.6563594898066</v>
      </c>
      <c r="R4154" s="4">
        <f t="shared" ca="1" si="356"/>
        <v>0.98631548980665684</v>
      </c>
      <c r="S4154" s="4">
        <f t="shared" ca="1" si="357"/>
        <v>0.4996785661770432</v>
      </c>
    </row>
    <row r="4155" spans="15:19" x14ac:dyDescent="0.2">
      <c r="O4155" s="4">
        <f t="shared" ca="1" si="353"/>
        <v>0.5472212080439095</v>
      </c>
      <c r="P4155" s="4">
        <f t="shared" ca="1" si="354"/>
        <v>0.11864377363171384</v>
      </c>
      <c r="Q4155" s="4">
        <f t="shared" ca="1" si="355"/>
        <v>1919.6699763094086</v>
      </c>
      <c r="R4155" s="4">
        <f t="shared" ca="1" si="356"/>
        <v>-4.0000676905913224</v>
      </c>
      <c r="S4155" s="4">
        <f t="shared" ca="1" si="357"/>
        <v>-2.0183601172105354</v>
      </c>
    </row>
    <row r="4156" spans="15:19" x14ac:dyDescent="0.2">
      <c r="O4156" s="4">
        <f t="shared" ca="1" si="353"/>
        <v>0.31068299870924454</v>
      </c>
      <c r="P4156" s="4">
        <f t="shared" ca="1" si="354"/>
        <v>-0.49391530183509502</v>
      </c>
      <c r="Q4156" s="4">
        <f t="shared" ca="1" si="355"/>
        <v>1938.2274263036677</v>
      </c>
      <c r="R4156" s="4">
        <f t="shared" ca="1" si="356"/>
        <v>14.557382303667737</v>
      </c>
      <c r="S4156" s="4">
        <f t="shared" ca="1" si="357"/>
        <v>7.4553545539062895</v>
      </c>
    </row>
    <row r="4157" spans="15:19" x14ac:dyDescent="0.2">
      <c r="O4157" s="4">
        <f t="shared" ca="1" si="353"/>
        <v>0.51943988035010591</v>
      </c>
      <c r="P4157" s="4">
        <f t="shared" ca="1" si="354"/>
        <v>4.8747853881152457E-2</v>
      </c>
      <c r="Q4157" s="4">
        <f t="shared" ca="1" si="355"/>
        <v>1921.7874700949433</v>
      </c>
      <c r="R4157" s="4">
        <f t="shared" ca="1" si="356"/>
        <v>-1.8825739050566881</v>
      </c>
      <c r="S4157" s="4">
        <f t="shared" ca="1" si="357"/>
        <v>-0.95153466263650233</v>
      </c>
    </row>
    <row r="4158" spans="15:19" x14ac:dyDescent="0.2">
      <c r="O4158" s="4">
        <f t="shared" ca="1" si="353"/>
        <v>0.20783444516645544</v>
      </c>
      <c r="P4158" s="4">
        <f t="shared" ca="1" si="354"/>
        <v>-0.81395821252514455</v>
      </c>
      <c r="Q4158" s="4">
        <f t="shared" ca="1" si="355"/>
        <v>1947.9231120734391</v>
      </c>
      <c r="R4158" s="4">
        <f t="shared" ca="1" si="356"/>
        <v>24.253068073439181</v>
      </c>
      <c r="S4158" s="4">
        <f t="shared" ca="1" si="357"/>
        <v>12.516583338208596</v>
      </c>
    </row>
    <row r="4159" spans="15:19" x14ac:dyDescent="0.2">
      <c r="O4159" s="4">
        <f t="shared" ca="1" si="353"/>
        <v>0.61050171084957316</v>
      </c>
      <c r="P4159" s="4">
        <f t="shared" ca="1" si="354"/>
        <v>0.28062690424976938</v>
      </c>
      <c r="Q4159" s="4">
        <f t="shared" ca="1" si="355"/>
        <v>1914.762704559223</v>
      </c>
      <c r="R4159" s="4">
        <f t="shared" ca="1" si="356"/>
        <v>-8.9073394407769229</v>
      </c>
      <c r="S4159" s="4">
        <f t="shared" ca="1" si="357"/>
        <v>-4.4766853158145388</v>
      </c>
    </row>
    <row r="4160" spans="15:19" x14ac:dyDescent="0.2">
      <c r="O4160" s="4">
        <f t="shared" ca="1" si="353"/>
        <v>0.74244124670519218</v>
      </c>
      <c r="P4160" s="4">
        <f t="shared" ca="1" si="354"/>
        <v>0.65088998536623976</v>
      </c>
      <c r="Q4160" s="4">
        <f t="shared" ca="1" si="355"/>
        <v>1903.5456009561087</v>
      </c>
      <c r="R4160" s="4">
        <f t="shared" ca="1" si="356"/>
        <v>-20.124443043891233</v>
      </c>
      <c r="S4160" s="4">
        <f t="shared" ca="1" si="357"/>
        <v>-10.022329914298075</v>
      </c>
    </row>
    <row r="4161" spans="15:19" x14ac:dyDescent="0.2">
      <c r="O4161" s="4">
        <f t="shared" ca="1" si="353"/>
        <v>0.36287389562781092</v>
      </c>
      <c r="P4161" s="4">
        <f t="shared" ca="1" si="354"/>
        <v>-0.35078747913829522</v>
      </c>
      <c r="Q4161" s="4">
        <f t="shared" ca="1" si="355"/>
        <v>1933.8913752697999</v>
      </c>
      <c r="R4161" s="4">
        <f t="shared" ca="1" si="356"/>
        <v>10.221331269799975</v>
      </c>
      <c r="S4161" s="4">
        <f t="shared" ca="1" si="357"/>
        <v>5.2166668126081275</v>
      </c>
    </row>
    <row r="4162" spans="15:19" x14ac:dyDescent="0.2">
      <c r="O4162" s="4">
        <f t="shared" ca="1" si="353"/>
        <v>0.86157305414534369</v>
      </c>
      <c r="P4162" s="4">
        <f t="shared" ca="1" si="354"/>
        <v>1.0874139887326131</v>
      </c>
      <c r="Q4162" s="4">
        <f t="shared" ca="1" si="355"/>
        <v>1890.3211256553518</v>
      </c>
      <c r="R4162" s="4">
        <f t="shared" ca="1" si="356"/>
        <v>-33.348918344648155</v>
      </c>
      <c r="S4162" s="4">
        <f t="shared" ca="1" si="357"/>
        <v>-16.428826931754735</v>
      </c>
    </row>
    <row r="4163" spans="15:19" x14ac:dyDescent="0.2">
      <c r="O4163" s="4">
        <f t="shared" ref="O4163:O4226" ca="1" si="358">RAND()</f>
        <v>0.82996567115232489</v>
      </c>
      <c r="P4163" s="4">
        <f t="shared" ref="P4163:P4226" ca="1" si="359">NORMSINV(O4163)</f>
        <v>0.95402960348717547</v>
      </c>
      <c r="Q4163" s="4">
        <f t="shared" ref="Q4163:Q4226" ca="1" si="360">$B$4*(1+$B$17-$B$6/SQRT(252)*P4163)</f>
        <v>1894.3619996842297</v>
      </c>
      <c r="R4163" s="4">
        <f t="shared" ref="R4163:R4226" ca="1" si="361">Q4163-$B$4</f>
        <v>-29.308044315770303</v>
      </c>
      <c r="S4163" s="4">
        <f t="shared" ref="S4163:S4226" ca="1" si="362">R4163*$B$12+0.5*$B$13*R4163^2</f>
        <v>-14.486362325053166</v>
      </c>
    </row>
    <row r="4164" spans="15:19" x14ac:dyDescent="0.2">
      <c r="O4164" s="4">
        <f t="shared" ca="1" si="358"/>
        <v>0.41526957049159607</v>
      </c>
      <c r="P4164" s="4">
        <f t="shared" ca="1" si="359"/>
        <v>-0.21401015129557999</v>
      </c>
      <c r="Q4164" s="4">
        <f t="shared" ca="1" si="360"/>
        <v>1929.747712195581</v>
      </c>
      <c r="R4164" s="4">
        <f t="shared" ca="1" si="361"/>
        <v>6.0776681955810545</v>
      </c>
      <c r="S4164" s="4">
        <f t="shared" ca="1" si="362"/>
        <v>3.0916115144851468</v>
      </c>
    </row>
    <row r="4165" spans="15:19" x14ac:dyDescent="0.2">
      <c r="O4165" s="4">
        <f t="shared" ca="1" si="358"/>
        <v>0.99354836654452638</v>
      </c>
      <c r="P4165" s="4">
        <f t="shared" ca="1" si="359"/>
        <v>2.4864280210662502</v>
      </c>
      <c r="Q4165" s="4">
        <f t="shared" ca="1" si="360"/>
        <v>1847.9380576606227</v>
      </c>
      <c r="R4165" s="4">
        <f t="shared" ca="1" si="361"/>
        <v>-75.731986339377272</v>
      </c>
      <c r="S4165" s="4">
        <f t="shared" ca="1" si="362"/>
        <v>-36.001595401717168</v>
      </c>
    </row>
    <row r="4166" spans="15:19" x14ac:dyDescent="0.2">
      <c r="O4166" s="4">
        <f t="shared" ca="1" si="358"/>
        <v>0.2953700806316053</v>
      </c>
      <c r="P4166" s="4">
        <f t="shared" ca="1" si="359"/>
        <v>-0.53776374989600773</v>
      </c>
      <c r="Q4166" s="4">
        <f t="shared" ca="1" si="360"/>
        <v>1939.555813090846</v>
      </c>
      <c r="R4166" s="4">
        <f t="shared" ca="1" si="361"/>
        <v>15.885769090845997</v>
      </c>
      <c r="S4166" s="4">
        <f t="shared" ca="1" si="362"/>
        <v>8.1442589504963987</v>
      </c>
    </row>
    <row r="4167" spans="15:19" x14ac:dyDescent="0.2">
      <c r="O4167" s="4">
        <f t="shared" ca="1" si="358"/>
        <v>3.4674963086565258E-2</v>
      </c>
      <c r="P4167" s="4">
        <f t="shared" ca="1" si="359"/>
        <v>-1.8161333031127367</v>
      </c>
      <c r="Q4167" s="4">
        <f t="shared" ca="1" si="360"/>
        <v>1978.2839619472222</v>
      </c>
      <c r="R4167" s="4">
        <f t="shared" ca="1" si="361"/>
        <v>54.613917947222262</v>
      </c>
      <c r="S4167" s="4">
        <f t="shared" ca="1" si="362"/>
        <v>28.860257454906595</v>
      </c>
    </row>
    <row r="4168" spans="15:19" x14ac:dyDescent="0.2">
      <c r="O4168" s="4">
        <f t="shared" ca="1" si="358"/>
        <v>0.9203685959121406</v>
      </c>
      <c r="P4168" s="4">
        <f t="shared" ca="1" si="359"/>
        <v>1.4075552435851524</v>
      </c>
      <c r="Q4168" s="4">
        <f t="shared" ca="1" si="360"/>
        <v>1880.6224605535444</v>
      </c>
      <c r="R4168" s="4">
        <f t="shared" ca="1" si="361"/>
        <v>-43.047583446455519</v>
      </c>
      <c r="S4168" s="4">
        <f t="shared" ca="1" si="362"/>
        <v>-21.036770668471661</v>
      </c>
    </row>
    <row r="4169" spans="15:19" x14ac:dyDescent="0.2">
      <c r="O4169" s="4">
        <f t="shared" ca="1" si="358"/>
        <v>0.74082609639164754</v>
      </c>
      <c r="P4169" s="4">
        <f t="shared" ca="1" si="359"/>
        <v>0.64589430631508149</v>
      </c>
      <c r="Q4169" s="4">
        <f t="shared" ca="1" si="360"/>
        <v>1903.6969448311604</v>
      </c>
      <c r="R4169" s="4">
        <f t="shared" ca="1" si="361"/>
        <v>-19.973099168839553</v>
      </c>
      <c r="S4169" s="4">
        <f t="shared" ca="1" si="362"/>
        <v>-9.9481884690348643</v>
      </c>
    </row>
    <row r="4170" spans="15:19" x14ac:dyDescent="0.2">
      <c r="O4170" s="4">
        <f t="shared" ca="1" si="358"/>
        <v>0.59373446464306856</v>
      </c>
      <c r="P4170" s="4">
        <f t="shared" ca="1" si="359"/>
        <v>0.23716205708397894</v>
      </c>
      <c r="Q4170" s="4">
        <f t="shared" ca="1" si="360"/>
        <v>1916.0794701743152</v>
      </c>
      <c r="R4170" s="4">
        <f t="shared" ca="1" si="361"/>
        <v>-7.5905738256847144</v>
      </c>
      <c r="S4170" s="4">
        <f t="shared" ca="1" si="362"/>
        <v>-3.8189687888703734</v>
      </c>
    </row>
    <row r="4171" spans="15:19" x14ac:dyDescent="0.2">
      <c r="O4171" s="4">
        <f t="shared" ca="1" si="358"/>
        <v>0.65346237327959067</v>
      </c>
      <c r="P4171" s="4">
        <f t="shared" ca="1" si="359"/>
        <v>0.3946851636076148</v>
      </c>
      <c r="Q4171" s="4">
        <f t="shared" ca="1" si="360"/>
        <v>1911.3073146560494</v>
      </c>
      <c r="R4171" s="4">
        <f t="shared" ca="1" si="361"/>
        <v>-12.362729343950605</v>
      </c>
      <c r="S4171" s="4">
        <f t="shared" ca="1" si="362"/>
        <v>-6.1959194151438783</v>
      </c>
    </row>
    <row r="4172" spans="15:19" x14ac:dyDescent="0.2">
      <c r="O4172" s="4">
        <f t="shared" ca="1" si="358"/>
        <v>0.10493220827773153</v>
      </c>
      <c r="P4172" s="4">
        <f t="shared" ca="1" si="359"/>
        <v>-1.2539383441543279</v>
      </c>
      <c r="Q4172" s="4">
        <f t="shared" ca="1" si="360"/>
        <v>1961.2522906264687</v>
      </c>
      <c r="R4172" s="4">
        <f t="shared" ca="1" si="361"/>
        <v>37.582246626468759</v>
      </c>
      <c r="S4172" s="4">
        <f t="shared" ca="1" si="362"/>
        <v>19.599456214470166</v>
      </c>
    </row>
    <row r="4173" spans="15:19" x14ac:dyDescent="0.2">
      <c r="O4173" s="4">
        <f t="shared" ca="1" si="358"/>
        <v>0.26925100429808391</v>
      </c>
      <c r="P4173" s="4">
        <f t="shared" ca="1" si="359"/>
        <v>-0.61507981953691016</v>
      </c>
      <c r="Q4173" s="4">
        <f t="shared" ca="1" si="360"/>
        <v>1941.8980999878615</v>
      </c>
      <c r="R4173" s="4">
        <f t="shared" ca="1" si="361"/>
        <v>18.22805598786158</v>
      </c>
      <c r="S4173" s="4">
        <f t="shared" ca="1" si="362"/>
        <v>9.3624741284365243</v>
      </c>
    </row>
    <row r="4174" spans="15:19" x14ac:dyDescent="0.2">
      <c r="O4174" s="4">
        <f t="shared" ca="1" si="358"/>
        <v>0.83440665589497742</v>
      </c>
      <c r="P4174" s="4">
        <f t="shared" ca="1" si="359"/>
        <v>0.97172638237881792</v>
      </c>
      <c r="Q4174" s="4">
        <f t="shared" ca="1" si="360"/>
        <v>1893.8258765534265</v>
      </c>
      <c r="R4174" s="4">
        <f t="shared" ca="1" si="361"/>
        <v>-29.844167446573465</v>
      </c>
      <c r="S4174" s="4">
        <f t="shared" ca="1" si="362"/>
        <v>-14.744843772126224</v>
      </c>
    </row>
    <row r="4175" spans="15:19" x14ac:dyDescent="0.2">
      <c r="O4175" s="4">
        <f t="shared" ca="1" si="358"/>
        <v>0.3008614743558754</v>
      </c>
      <c r="P4175" s="4">
        <f t="shared" ca="1" si="359"/>
        <v>-0.52192442887160062</v>
      </c>
      <c r="Q4175" s="4">
        <f t="shared" ca="1" si="360"/>
        <v>1939.0759615636614</v>
      </c>
      <c r="R4175" s="4">
        <f t="shared" ca="1" si="361"/>
        <v>15.405917563661433</v>
      </c>
      <c r="S4175" s="4">
        <f t="shared" ca="1" si="362"/>
        <v>7.8952411148885586</v>
      </c>
    </row>
    <row r="4176" spans="15:19" x14ac:dyDescent="0.2">
      <c r="O4176" s="4">
        <f t="shared" ca="1" si="358"/>
        <v>0.24859299929062972</v>
      </c>
      <c r="P4176" s="4">
        <f t="shared" ca="1" si="359"/>
        <v>-0.67892403068297558</v>
      </c>
      <c r="Q4176" s="4">
        <f t="shared" ca="1" si="360"/>
        <v>1943.8322575299128</v>
      </c>
      <c r="R4176" s="4">
        <f t="shared" ca="1" si="361"/>
        <v>20.162213529912833</v>
      </c>
      <c r="S4176" s="4">
        <f t="shared" ca="1" si="362"/>
        <v>10.371789662856518</v>
      </c>
    </row>
    <row r="4177" spans="15:19" x14ac:dyDescent="0.2">
      <c r="O4177" s="4">
        <f t="shared" ca="1" si="358"/>
        <v>0.84744142862611116</v>
      </c>
      <c r="P4177" s="4">
        <f t="shared" ca="1" si="359"/>
        <v>1.0255215918139817</v>
      </c>
      <c r="Q4177" s="4">
        <f t="shared" ca="1" si="360"/>
        <v>1892.1961530720416</v>
      </c>
      <c r="R4177" s="4">
        <f t="shared" ca="1" si="361"/>
        <v>-31.473890927958337</v>
      </c>
      <c r="S4177" s="4">
        <f t="shared" ca="1" si="362"/>
        <v>-15.529146731377571</v>
      </c>
    </row>
    <row r="4178" spans="15:19" x14ac:dyDescent="0.2">
      <c r="O4178" s="4">
        <f t="shared" ca="1" si="358"/>
        <v>0.29892966932282927</v>
      </c>
      <c r="P4178" s="4">
        <f t="shared" ca="1" si="359"/>
        <v>-0.52748138696222291</v>
      </c>
      <c r="Q4178" s="4">
        <f t="shared" ca="1" si="360"/>
        <v>1939.2443093622937</v>
      </c>
      <c r="R4178" s="4">
        <f t="shared" ca="1" si="361"/>
        <v>15.574265362293772</v>
      </c>
      <c r="S4178" s="4">
        <f t="shared" ca="1" si="362"/>
        <v>7.9825834669079576</v>
      </c>
    </row>
    <row r="4179" spans="15:19" x14ac:dyDescent="0.2">
      <c r="O4179" s="4">
        <f t="shared" ca="1" si="358"/>
        <v>7.4224462928851764E-2</v>
      </c>
      <c r="P4179" s="4">
        <f t="shared" ca="1" si="359"/>
        <v>-1.4450318989322519</v>
      </c>
      <c r="Q4179" s="4">
        <f t="shared" ca="1" si="360"/>
        <v>1967.0414613841042</v>
      </c>
      <c r="R4179" s="4">
        <f t="shared" ca="1" si="361"/>
        <v>43.371417384104234</v>
      </c>
      <c r="S4179" s="4">
        <f t="shared" ca="1" si="362"/>
        <v>22.720766015178114</v>
      </c>
    </row>
    <row r="4180" spans="15:19" x14ac:dyDescent="0.2">
      <c r="O4180" s="4">
        <f t="shared" ca="1" si="358"/>
        <v>0.92931072268849868</v>
      </c>
      <c r="P4180" s="4">
        <f t="shared" ca="1" si="359"/>
        <v>1.4706767580108462</v>
      </c>
      <c r="Q4180" s="4">
        <f t="shared" ca="1" si="360"/>
        <v>1878.71019707655</v>
      </c>
      <c r="R4180" s="4">
        <f t="shared" ca="1" si="361"/>
        <v>-44.959846923449959</v>
      </c>
      <c r="S4180" s="4">
        <f t="shared" ca="1" si="362"/>
        <v>-21.936270109049051</v>
      </c>
    </row>
    <row r="4181" spans="15:19" x14ac:dyDescent="0.2">
      <c r="O4181" s="4">
        <f t="shared" ca="1" si="358"/>
        <v>0.66094320349278979</v>
      </c>
      <c r="P4181" s="4">
        <f t="shared" ca="1" si="359"/>
        <v>0.41503867258052429</v>
      </c>
      <c r="Q4181" s="4">
        <f t="shared" ca="1" si="360"/>
        <v>1910.6907060053904</v>
      </c>
      <c r="R4181" s="4">
        <f t="shared" ca="1" si="361"/>
        <v>-12.979337994609523</v>
      </c>
      <c r="S4181" s="4">
        <f t="shared" ca="1" si="362"/>
        <v>-6.5016918338557872</v>
      </c>
    </row>
    <row r="4182" spans="15:19" x14ac:dyDescent="0.2">
      <c r="O4182" s="4">
        <f t="shared" ca="1" si="358"/>
        <v>0.12733549559834001</v>
      </c>
      <c r="P4182" s="4">
        <f t="shared" ca="1" si="359"/>
        <v>-1.1390771161336652</v>
      </c>
      <c r="Q4182" s="4">
        <f t="shared" ca="1" si="360"/>
        <v>1957.7725748233063</v>
      </c>
      <c r="R4182" s="4">
        <f t="shared" ca="1" si="361"/>
        <v>34.102530823306324</v>
      </c>
      <c r="S4182" s="4">
        <f t="shared" ca="1" si="362"/>
        <v>17.736449563826124</v>
      </c>
    </row>
    <row r="4183" spans="15:19" x14ac:dyDescent="0.2">
      <c r="O4183" s="4">
        <f t="shared" ca="1" si="358"/>
        <v>0.70153747163595637</v>
      </c>
      <c r="P4183" s="4">
        <f t="shared" ca="1" si="359"/>
        <v>0.5288275898336019</v>
      </c>
      <c r="Q4183" s="4">
        <f t="shared" ca="1" si="360"/>
        <v>1907.243475809322</v>
      </c>
      <c r="R4183" s="4">
        <f t="shared" ca="1" si="361"/>
        <v>-16.426568190677926</v>
      </c>
      <c r="S4183" s="4">
        <f t="shared" ca="1" si="362"/>
        <v>-8.2054493534692039</v>
      </c>
    </row>
    <row r="4184" spans="15:19" x14ac:dyDescent="0.2">
      <c r="O4184" s="4">
        <f t="shared" ca="1" si="358"/>
        <v>0.95413110408163926</v>
      </c>
      <c r="P4184" s="4">
        <f t="shared" ca="1" si="359"/>
        <v>1.6863012426263255</v>
      </c>
      <c r="Q4184" s="4">
        <f t="shared" ca="1" si="360"/>
        <v>1872.1778628886348</v>
      </c>
      <c r="R4184" s="4">
        <f t="shared" ca="1" si="361"/>
        <v>-51.492181111365198</v>
      </c>
      <c r="S4184" s="4">
        <f t="shared" ca="1" si="362"/>
        <v>-24.986524892167321</v>
      </c>
    </row>
    <row r="4185" spans="15:19" x14ac:dyDescent="0.2">
      <c r="O4185" s="4">
        <f t="shared" ca="1" si="358"/>
        <v>7.8258752547667898E-2</v>
      </c>
      <c r="P4185" s="4">
        <f t="shared" ca="1" si="359"/>
        <v>-1.4168817431698575</v>
      </c>
      <c r="Q4185" s="4">
        <f t="shared" ca="1" si="360"/>
        <v>1966.1886536651211</v>
      </c>
      <c r="R4185" s="4">
        <f t="shared" ca="1" si="361"/>
        <v>42.518609665121176</v>
      </c>
      <c r="S4185" s="4">
        <f t="shared" ca="1" si="362"/>
        <v>22.259249519066969</v>
      </c>
    </row>
    <row r="4186" spans="15:19" x14ac:dyDescent="0.2">
      <c r="O4186" s="4">
        <f t="shared" ca="1" si="358"/>
        <v>0.57958526977582148</v>
      </c>
      <c r="P4186" s="4">
        <f t="shared" ca="1" si="359"/>
        <v>0.20083261364219754</v>
      </c>
      <c r="Q4186" s="4">
        <f t="shared" ca="1" si="360"/>
        <v>1917.1800690503933</v>
      </c>
      <c r="R4186" s="4">
        <f t="shared" ca="1" si="361"/>
        <v>-6.4899749496066761</v>
      </c>
      <c r="S4186" s="4">
        <f t="shared" ca="1" si="362"/>
        <v>-3.2681432240471575</v>
      </c>
    </row>
    <row r="4187" spans="15:19" x14ac:dyDescent="0.2">
      <c r="O4187" s="4">
        <f t="shared" ca="1" si="358"/>
        <v>3.8078254823264879E-2</v>
      </c>
      <c r="P4187" s="4">
        <f t="shared" ca="1" si="359"/>
        <v>-1.7734358699252639</v>
      </c>
      <c r="Q4187" s="4">
        <f t="shared" ca="1" si="360"/>
        <v>1976.9904451045311</v>
      </c>
      <c r="R4187" s="4">
        <f t="shared" ca="1" si="361"/>
        <v>53.320401104531129</v>
      </c>
      <c r="S4187" s="4">
        <f t="shared" ca="1" si="362"/>
        <v>28.148633646464077</v>
      </c>
    </row>
    <row r="4188" spans="15:19" x14ac:dyDescent="0.2">
      <c r="O4188" s="4">
        <f t="shared" ca="1" si="358"/>
        <v>0.12455915945354534</v>
      </c>
      <c r="P4188" s="4">
        <f t="shared" ca="1" si="359"/>
        <v>-1.1524935495034774</v>
      </c>
      <c r="Q4188" s="4">
        <f t="shared" ca="1" si="360"/>
        <v>1958.1790250765685</v>
      </c>
      <c r="R4188" s="4">
        <f t="shared" ca="1" si="361"/>
        <v>34.508981076568489</v>
      </c>
      <c r="S4188" s="4">
        <f t="shared" ca="1" si="362"/>
        <v>17.953550670398805</v>
      </c>
    </row>
    <row r="4189" spans="15:19" x14ac:dyDescent="0.2">
      <c r="O4189" s="4">
        <f t="shared" ca="1" si="358"/>
        <v>0.73557922483378668</v>
      </c>
      <c r="P4189" s="4">
        <f t="shared" ca="1" si="359"/>
        <v>0.62977538842819769</v>
      </c>
      <c r="Q4189" s="4">
        <f t="shared" ca="1" si="360"/>
        <v>1904.1852667328799</v>
      </c>
      <c r="R4189" s="4">
        <f t="shared" ca="1" si="361"/>
        <v>-19.48477726712008</v>
      </c>
      <c r="S4189" s="4">
        <f t="shared" ca="1" si="362"/>
        <v>-9.7088386082894793</v>
      </c>
    </row>
    <row r="4190" spans="15:19" x14ac:dyDescent="0.2">
      <c r="O4190" s="4">
        <f t="shared" ca="1" si="358"/>
        <v>0.47438493820393912</v>
      </c>
      <c r="P4190" s="4">
        <f t="shared" ca="1" si="359"/>
        <v>-6.4251618803096253E-2</v>
      </c>
      <c r="Q4190" s="4">
        <f t="shared" ca="1" si="360"/>
        <v>1925.2107841028496</v>
      </c>
      <c r="R4190" s="4">
        <f t="shared" ca="1" si="361"/>
        <v>1.5407401028496679</v>
      </c>
      <c r="S4190" s="4">
        <f t="shared" ca="1" si="362"/>
        <v>0.78090406498598153</v>
      </c>
    </row>
    <row r="4191" spans="15:19" x14ac:dyDescent="0.2">
      <c r="O4191" s="4">
        <f t="shared" ca="1" si="358"/>
        <v>0.16941573363054885</v>
      </c>
      <c r="P4191" s="4">
        <f t="shared" ca="1" si="359"/>
        <v>-0.9564766668559217</v>
      </c>
      <c r="Q4191" s="4">
        <f t="shared" ca="1" si="360"/>
        <v>1952.2407023197138</v>
      </c>
      <c r="R4191" s="4">
        <f t="shared" ca="1" si="361"/>
        <v>28.570658319713857</v>
      </c>
      <c r="S4191" s="4">
        <f t="shared" ca="1" si="362"/>
        <v>14.795030580436828</v>
      </c>
    </row>
    <row r="4192" spans="15:19" x14ac:dyDescent="0.2">
      <c r="O4192" s="4">
        <f t="shared" ca="1" si="358"/>
        <v>0.34592135154826664</v>
      </c>
      <c r="P4192" s="4">
        <f t="shared" ca="1" si="359"/>
        <v>-0.39635561705290395</v>
      </c>
      <c r="Q4192" s="4">
        <f t="shared" ca="1" si="360"/>
        <v>1935.2718599847433</v>
      </c>
      <c r="R4192" s="4">
        <f t="shared" ca="1" si="361"/>
        <v>11.601815984743325</v>
      </c>
      <c r="S4192" s="4">
        <f t="shared" ca="1" si="362"/>
        <v>5.9277452766954362</v>
      </c>
    </row>
    <row r="4193" spans="15:19" x14ac:dyDescent="0.2">
      <c r="O4193" s="4">
        <f t="shared" ca="1" si="358"/>
        <v>0.67400726938269073</v>
      </c>
      <c r="P4193" s="4">
        <f t="shared" ca="1" si="359"/>
        <v>0.45100567169287709</v>
      </c>
      <c r="Q4193" s="4">
        <f t="shared" ca="1" si="360"/>
        <v>1909.6010873641803</v>
      </c>
      <c r="R4193" s="4">
        <f t="shared" ca="1" si="361"/>
        <v>-14.068956635819632</v>
      </c>
      <c r="S4193" s="4">
        <f t="shared" ca="1" si="362"/>
        <v>-7.041270185805387</v>
      </c>
    </row>
    <row r="4194" spans="15:19" x14ac:dyDescent="0.2">
      <c r="O4194" s="4">
        <f t="shared" ca="1" si="358"/>
        <v>0.84456658024868692</v>
      </c>
      <c r="P4194" s="4">
        <f t="shared" ca="1" si="359"/>
        <v>1.0134048170101808</v>
      </c>
      <c r="Q4194" s="4">
        <f t="shared" ca="1" si="360"/>
        <v>1892.56323022675</v>
      </c>
      <c r="R4194" s="4">
        <f t="shared" ca="1" si="361"/>
        <v>-31.106813773249996</v>
      </c>
      <c r="S4194" s="4">
        <f t="shared" ca="1" si="362"/>
        <v>-15.352679852865714</v>
      </c>
    </row>
    <row r="4195" spans="15:19" x14ac:dyDescent="0.2">
      <c r="O4195" s="4">
        <f t="shared" ca="1" si="358"/>
        <v>0.51674368564304896</v>
      </c>
      <c r="P4195" s="4">
        <f t="shared" ca="1" si="359"/>
        <v>4.1982525188222132E-2</v>
      </c>
      <c r="Q4195" s="4">
        <f t="shared" ca="1" si="360"/>
        <v>1921.9924254273219</v>
      </c>
      <c r="R4195" s="4">
        <f t="shared" ca="1" si="361"/>
        <v>-1.6776185726780568</v>
      </c>
      <c r="S4195" s="4">
        <f t="shared" ca="1" si="362"/>
        <v>-0.84808129631706908</v>
      </c>
    </row>
    <row r="4196" spans="15:19" x14ac:dyDescent="0.2">
      <c r="O4196" s="4">
        <f t="shared" ca="1" si="358"/>
        <v>0.27853830094850573</v>
      </c>
      <c r="P4196" s="4">
        <f t="shared" ca="1" si="359"/>
        <v>-0.58718926411945616</v>
      </c>
      <c r="Q4196" s="4">
        <f t="shared" ca="1" si="360"/>
        <v>1941.0531568498025</v>
      </c>
      <c r="R4196" s="4">
        <f t="shared" ca="1" si="361"/>
        <v>17.383112849802501</v>
      </c>
      <c r="S4196" s="4">
        <f t="shared" ca="1" si="362"/>
        <v>8.9225071618629705</v>
      </c>
    </row>
    <row r="4197" spans="15:19" x14ac:dyDescent="0.2">
      <c r="O4197" s="4">
        <f t="shared" ca="1" si="358"/>
        <v>0.35755796811246499</v>
      </c>
      <c r="P4197" s="4">
        <f t="shared" ca="1" si="359"/>
        <v>-0.36499393144803566</v>
      </c>
      <c r="Q4197" s="4">
        <f t="shared" ca="1" si="360"/>
        <v>1934.3217591117711</v>
      </c>
      <c r="R4197" s="4">
        <f t="shared" ca="1" si="361"/>
        <v>10.651715111771182</v>
      </c>
      <c r="S4197" s="4">
        <f t="shared" ca="1" si="362"/>
        <v>5.4381882035783473</v>
      </c>
    </row>
    <row r="4198" spans="15:19" x14ac:dyDescent="0.2">
      <c r="O4198" s="4">
        <f t="shared" ca="1" si="358"/>
        <v>0.69759923008886093</v>
      </c>
      <c r="P4198" s="4">
        <f t="shared" ca="1" si="359"/>
        <v>0.51750806592142073</v>
      </c>
      <c r="Q4198" s="4">
        <f t="shared" ca="1" si="360"/>
        <v>1907.5864002836663</v>
      </c>
      <c r="R4198" s="4">
        <f t="shared" ca="1" si="361"/>
        <v>-16.083643716333654</v>
      </c>
      <c r="S4198" s="4">
        <f t="shared" ca="1" si="362"/>
        <v>-8.0363958561725894</v>
      </c>
    </row>
    <row r="4199" spans="15:19" x14ac:dyDescent="0.2">
      <c r="O4199" s="4">
        <f t="shared" ca="1" si="358"/>
        <v>0.61009506384144507</v>
      </c>
      <c r="P4199" s="4">
        <f t="shared" ca="1" si="359"/>
        <v>0.27956681200303146</v>
      </c>
      <c r="Q4199" s="4">
        <f t="shared" ca="1" si="360"/>
        <v>1914.794820006771</v>
      </c>
      <c r="R4199" s="4">
        <f t="shared" ca="1" si="361"/>
        <v>-8.8752239932289285</v>
      </c>
      <c r="S4199" s="4">
        <f t="shared" ca="1" si="362"/>
        <v>-4.4606606368906156</v>
      </c>
    </row>
    <row r="4200" spans="15:19" x14ac:dyDescent="0.2">
      <c r="O4200" s="4">
        <f t="shared" ca="1" si="358"/>
        <v>0.48114298692817148</v>
      </c>
      <c r="P4200" s="4">
        <f t="shared" ca="1" si="359"/>
        <v>-4.7285136914374908E-2</v>
      </c>
      <c r="Q4200" s="4">
        <f t="shared" ca="1" si="360"/>
        <v>1924.6967852873256</v>
      </c>
      <c r="R4200" s="4">
        <f t="shared" ca="1" si="361"/>
        <v>1.026741287325649</v>
      </c>
      <c r="S4200" s="4">
        <f t="shared" ca="1" si="362"/>
        <v>0.52017562790781813</v>
      </c>
    </row>
    <row r="4201" spans="15:19" x14ac:dyDescent="0.2">
      <c r="O4201" s="4">
        <f t="shared" ca="1" si="358"/>
        <v>0.62614140879479041</v>
      </c>
      <c r="P4201" s="4">
        <f t="shared" ca="1" si="359"/>
        <v>0.32165089502872168</v>
      </c>
      <c r="Q4201" s="4">
        <f t="shared" ca="1" si="360"/>
        <v>1913.5198845799989</v>
      </c>
      <c r="R4201" s="4">
        <f t="shared" ca="1" si="361"/>
        <v>-10.150159420001046</v>
      </c>
      <c r="S4201" s="4">
        <f t="shared" ca="1" si="362"/>
        <v>-5.096171511570085</v>
      </c>
    </row>
    <row r="4202" spans="15:19" x14ac:dyDescent="0.2">
      <c r="O4202" s="4">
        <f t="shared" ca="1" si="358"/>
        <v>0.62245609711008976</v>
      </c>
      <c r="P4202" s="4">
        <f t="shared" ca="1" si="359"/>
        <v>0.31193778520974597</v>
      </c>
      <c r="Q4202" s="4">
        <f t="shared" ca="1" si="360"/>
        <v>1913.8141428107124</v>
      </c>
      <c r="R4202" s="4">
        <f t="shared" ca="1" si="361"/>
        <v>-9.8559011892875787</v>
      </c>
      <c r="S4202" s="4">
        <f t="shared" ca="1" si="362"/>
        <v>-4.9496115083150238</v>
      </c>
    </row>
    <row r="4203" spans="15:19" x14ac:dyDescent="0.2">
      <c r="O4203" s="4">
        <f t="shared" ca="1" si="358"/>
        <v>0.76210126409810508</v>
      </c>
      <c r="P4203" s="4">
        <f t="shared" ca="1" si="359"/>
        <v>0.71307803297645245</v>
      </c>
      <c r="Q4203" s="4">
        <f t="shared" ca="1" si="360"/>
        <v>1901.6616168148444</v>
      </c>
      <c r="R4203" s="4">
        <f t="shared" ca="1" si="361"/>
        <v>-22.008427185155597</v>
      </c>
      <c r="S4203" s="4">
        <f t="shared" ca="1" si="362"/>
        <v>-10.943708937725756</v>
      </c>
    </row>
    <row r="4204" spans="15:19" x14ac:dyDescent="0.2">
      <c r="O4204" s="4">
        <f t="shared" ca="1" si="358"/>
        <v>0.7538949645566968</v>
      </c>
      <c r="P4204" s="4">
        <f t="shared" ca="1" si="359"/>
        <v>0.68679793560088354</v>
      </c>
      <c r="Q4204" s="4">
        <f t="shared" ca="1" si="360"/>
        <v>1902.4577711980271</v>
      </c>
      <c r="R4204" s="4">
        <f t="shared" ca="1" si="361"/>
        <v>-21.212272801972858</v>
      </c>
      <c r="S4204" s="4">
        <f t="shared" ca="1" si="362"/>
        <v>-10.554695185127139</v>
      </c>
    </row>
    <row r="4205" spans="15:19" x14ac:dyDescent="0.2">
      <c r="O4205" s="4">
        <f t="shared" ca="1" si="358"/>
        <v>0.32643628346510722</v>
      </c>
      <c r="P4205" s="4">
        <f t="shared" ca="1" si="359"/>
        <v>-0.44977516500687753</v>
      </c>
      <c r="Q4205" s="4">
        <f t="shared" ca="1" si="360"/>
        <v>1936.8902028182345</v>
      </c>
      <c r="R4205" s="4">
        <f t="shared" ca="1" si="361"/>
        <v>13.220158818234495</v>
      </c>
      <c r="S4205" s="4">
        <f t="shared" ca="1" si="362"/>
        <v>6.763318430622979</v>
      </c>
    </row>
    <row r="4206" spans="15:19" x14ac:dyDescent="0.2">
      <c r="O4206" s="4">
        <f t="shared" ca="1" si="358"/>
        <v>0.89267973438104997</v>
      </c>
      <c r="P4206" s="4">
        <f t="shared" ca="1" si="359"/>
        <v>1.2409058505097073</v>
      </c>
      <c r="Q4206" s="4">
        <f t="shared" ca="1" si="360"/>
        <v>1885.6710965176992</v>
      </c>
      <c r="R4206" s="4">
        <f t="shared" ca="1" si="361"/>
        <v>-37.998947482300764</v>
      </c>
      <c r="S4206" s="4">
        <f t="shared" ca="1" si="362"/>
        <v>-18.64766401124632</v>
      </c>
    </row>
    <row r="4207" spans="15:19" x14ac:dyDescent="0.2">
      <c r="O4207" s="4">
        <f t="shared" ca="1" si="358"/>
        <v>0.69618490171462333</v>
      </c>
      <c r="P4207" s="4">
        <f t="shared" ca="1" si="359"/>
        <v>0.51345912447999309</v>
      </c>
      <c r="Q4207" s="4">
        <f t="shared" ca="1" si="360"/>
        <v>1907.7090627848654</v>
      </c>
      <c r="R4207" s="4">
        <f t="shared" ca="1" si="361"/>
        <v>-15.960981215134552</v>
      </c>
      <c r="S4207" s="4">
        <f t="shared" ca="1" si="362"/>
        <v>-7.9759029529563144</v>
      </c>
    </row>
    <row r="4208" spans="15:19" x14ac:dyDescent="0.2">
      <c r="O4208" s="4">
        <f t="shared" ca="1" si="358"/>
        <v>0.87868330411334905</v>
      </c>
      <c r="P4208" s="4">
        <f t="shared" ca="1" si="359"/>
        <v>1.168429920565959</v>
      </c>
      <c r="Q4208" s="4">
        <f t="shared" ca="1" si="360"/>
        <v>1887.8667515974867</v>
      </c>
      <c r="R4208" s="4">
        <f t="shared" ca="1" si="361"/>
        <v>-35.803292402513307</v>
      </c>
      <c r="S4208" s="4">
        <f t="shared" ca="1" si="362"/>
        <v>-17.602165136258051</v>
      </c>
    </row>
    <row r="4209" spans="15:19" x14ac:dyDescent="0.2">
      <c r="O4209" s="4">
        <f t="shared" ca="1" si="358"/>
        <v>0.67591855857197536</v>
      </c>
      <c r="P4209" s="4">
        <f t="shared" ca="1" si="359"/>
        <v>0.4563158291466401</v>
      </c>
      <c r="Q4209" s="4">
        <f t="shared" ca="1" si="360"/>
        <v>1909.4402163798843</v>
      </c>
      <c r="R4209" s="4">
        <f t="shared" ca="1" si="361"/>
        <v>-14.229827620115657</v>
      </c>
      <c r="S4209" s="4">
        <f t="shared" ca="1" si="362"/>
        <v>-7.1208514901412121</v>
      </c>
    </row>
    <row r="4210" spans="15:19" x14ac:dyDescent="0.2">
      <c r="O4210" s="4">
        <f t="shared" ca="1" si="358"/>
        <v>2.3671438304039061E-2</v>
      </c>
      <c r="P4210" s="4">
        <f t="shared" ca="1" si="359"/>
        <v>-1.983219858703442</v>
      </c>
      <c r="Q4210" s="4">
        <f t="shared" ca="1" si="360"/>
        <v>1983.3458417303673</v>
      </c>
      <c r="R4210" s="4">
        <f t="shared" ca="1" si="361"/>
        <v>59.675797730367321</v>
      </c>
      <c r="S4210" s="4">
        <f t="shared" ca="1" si="362"/>
        <v>31.65812859638649</v>
      </c>
    </row>
    <row r="4211" spans="15:19" x14ac:dyDescent="0.2">
      <c r="O4211" s="4">
        <f t="shared" ca="1" si="358"/>
        <v>0.38284632403316088</v>
      </c>
      <c r="P4211" s="4">
        <f t="shared" ca="1" si="359"/>
        <v>-0.29801377769788961</v>
      </c>
      <c r="Q4211" s="4">
        <f t="shared" ca="1" si="360"/>
        <v>1932.2925983277621</v>
      </c>
      <c r="R4211" s="4">
        <f t="shared" ca="1" si="361"/>
        <v>8.6225543277621455</v>
      </c>
      <c r="S4211" s="4">
        <f t="shared" ca="1" si="362"/>
        <v>4.3950864209989726</v>
      </c>
    </row>
    <row r="4212" spans="15:19" x14ac:dyDescent="0.2">
      <c r="O4212" s="4">
        <f t="shared" ca="1" si="358"/>
        <v>0.32734096515297062</v>
      </c>
      <c r="P4212" s="4">
        <f t="shared" ca="1" si="359"/>
        <v>-0.44726749932814308</v>
      </c>
      <c r="Q4212" s="4">
        <f t="shared" ca="1" si="360"/>
        <v>1936.8142331978354</v>
      </c>
      <c r="R4212" s="4">
        <f t="shared" ca="1" si="361"/>
        <v>13.144189197835431</v>
      </c>
      <c r="S4212" s="4">
        <f t="shared" ca="1" si="362"/>
        <v>6.7240465499793158</v>
      </c>
    </row>
    <row r="4213" spans="15:19" x14ac:dyDescent="0.2">
      <c r="O4213" s="4">
        <f t="shared" ca="1" si="358"/>
        <v>0.53678089705460863</v>
      </c>
      <c r="P4213" s="4">
        <f t="shared" ca="1" si="359"/>
        <v>9.232703926278911E-2</v>
      </c>
      <c r="Q4213" s="4">
        <f t="shared" ca="1" si="360"/>
        <v>1920.4672406086788</v>
      </c>
      <c r="R4213" s="4">
        <f t="shared" ca="1" si="361"/>
        <v>-3.2028033913211402</v>
      </c>
      <c r="S4213" s="4">
        <f t="shared" ca="1" si="362"/>
        <v>-1.6171147522567697</v>
      </c>
    </row>
    <row r="4214" spans="15:19" x14ac:dyDescent="0.2">
      <c r="O4214" s="4">
        <f t="shared" ca="1" si="358"/>
        <v>0.67723596626366034</v>
      </c>
      <c r="P4214" s="4">
        <f t="shared" ca="1" si="359"/>
        <v>0.45998349505781055</v>
      </c>
      <c r="Q4214" s="4">
        <f t="shared" ca="1" si="360"/>
        <v>1909.329104603946</v>
      </c>
      <c r="R4214" s="4">
        <f t="shared" ca="1" si="361"/>
        <v>-14.340939396053955</v>
      </c>
      <c r="S4214" s="4">
        <f t="shared" ca="1" si="362"/>
        <v>-7.1758050983841883</v>
      </c>
    </row>
    <row r="4215" spans="15:19" x14ac:dyDescent="0.2">
      <c r="O4215" s="4">
        <f t="shared" ca="1" si="358"/>
        <v>0.3822798556107001</v>
      </c>
      <c r="P4215" s="4">
        <f t="shared" ca="1" si="359"/>
        <v>-0.29949850673881456</v>
      </c>
      <c r="Q4215" s="4">
        <f t="shared" ca="1" si="360"/>
        <v>1932.3375781281363</v>
      </c>
      <c r="R4215" s="4">
        <f t="shared" ca="1" si="361"/>
        <v>8.6675341281363671</v>
      </c>
      <c r="S4215" s="4">
        <f t="shared" ca="1" si="362"/>
        <v>4.4181722161824446</v>
      </c>
    </row>
    <row r="4216" spans="15:19" x14ac:dyDescent="0.2">
      <c r="O4216" s="4">
        <f t="shared" ca="1" si="358"/>
        <v>0.84882765293225948</v>
      </c>
      <c r="P4216" s="4">
        <f t="shared" ca="1" si="359"/>
        <v>1.0314183185036365</v>
      </c>
      <c r="Q4216" s="4">
        <f t="shared" ca="1" si="360"/>
        <v>1892.0175119987873</v>
      </c>
      <c r="R4216" s="4">
        <f t="shared" ca="1" si="361"/>
        <v>-31.652532001212649</v>
      </c>
      <c r="S4216" s="4">
        <f t="shared" ca="1" si="362"/>
        <v>-15.614986084193987</v>
      </c>
    </row>
    <row r="4217" spans="15:19" x14ac:dyDescent="0.2">
      <c r="O4217" s="4">
        <f t="shared" ca="1" si="358"/>
        <v>0.41477657634003484</v>
      </c>
      <c r="P4217" s="4">
        <f t="shared" ca="1" si="359"/>
        <v>-0.21527470127877313</v>
      </c>
      <c r="Q4217" s="4">
        <f t="shared" ca="1" si="360"/>
        <v>1929.7860216811766</v>
      </c>
      <c r="R4217" s="4">
        <f t="shared" ca="1" si="361"/>
        <v>6.1159776811766733</v>
      </c>
      <c r="S4217" s="4">
        <f t="shared" ca="1" si="362"/>
        <v>3.1111943065155501</v>
      </c>
    </row>
    <row r="4218" spans="15:19" x14ac:dyDescent="0.2">
      <c r="O4218" s="4">
        <f t="shared" ca="1" si="358"/>
        <v>0.80989792461355925</v>
      </c>
      <c r="P4218" s="4">
        <f t="shared" ca="1" si="359"/>
        <v>0.87752020220571625</v>
      </c>
      <c r="Q4218" s="4">
        <f t="shared" ca="1" si="360"/>
        <v>1896.6798485991108</v>
      </c>
      <c r="R4218" s="4">
        <f t="shared" ca="1" si="361"/>
        <v>-26.990195400889206</v>
      </c>
      <c r="S4218" s="4">
        <f t="shared" ca="1" si="362"/>
        <v>-13.366163295783062</v>
      </c>
    </row>
    <row r="4219" spans="15:19" x14ac:dyDescent="0.2">
      <c r="O4219" s="4">
        <f t="shared" ca="1" si="358"/>
        <v>0.32830389763905421</v>
      </c>
      <c r="P4219" s="4">
        <f t="shared" ca="1" si="359"/>
        <v>-0.44460145573791787</v>
      </c>
      <c r="Q4219" s="4">
        <f t="shared" ca="1" si="360"/>
        <v>1936.7334655256391</v>
      </c>
      <c r="R4219" s="4">
        <f t="shared" ca="1" si="361"/>
        <v>13.063421525639114</v>
      </c>
      <c r="S4219" s="4">
        <f t="shared" ca="1" si="362"/>
        <v>6.6822995084910355</v>
      </c>
    </row>
    <row r="4220" spans="15:19" x14ac:dyDescent="0.2">
      <c r="O4220" s="4">
        <f t="shared" ca="1" si="358"/>
        <v>9.1041776808905905E-2</v>
      </c>
      <c r="P4220" s="4">
        <f t="shared" ca="1" si="359"/>
        <v>-1.3343671707888112</v>
      </c>
      <c r="Q4220" s="4">
        <f t="shared" ca="1" si="360"/>
        <v>1963.6888783584016</v>
      </c>
      <c r="R4220" s="4">
        <f t="shared" ca="1" si="361"/>
        <v>40.018834358401591</v>
      </c>
      <c r="S4220" s="4">
        <f t="shared" ca="1" si="362"/>
        <v>20.909850189508195</v>
      </c>
    </row>
    <row r="4221" spans="15:19" x14ac:dyDescent="0.2">
      <c r="O4221" s="4">
        <f t="shared" ca="1" si="358"/>
        <v>0.37291327863242452</v>
      </c>
      <c r="P4221" s="4">
        <f t="shared" ca="1" si="359"/>
        <v>-0.32414724843546611</v>
      </c>
      <c r="Q4221" s="4">
        <f t="shared" ca="1" si="360"/>
        <v>1933.084310663457</v>
      </c>
      <c r="R4221" s="4">
        <f t="shared" ca="1" si="361"/>
        <v>9.414266663457056</v>
      </c>
      <c r="S4221" s="4">
        <f t="shared" ca="1" si="362"/>
        <v>4.8016718979027475</v>
      </c>
    </row>
    <row r="4222" spans="15:19" x14ac:dyDescent="0.2">
      <c r="O4222" s="4">
        <f t="shared" ca="1" si="358"/>
        <v>2.5087547913715813E-4</v>
      </c>
      <c r="P4222" s="4">
        <f t="shared" ca="1" si="359"/>
        <v>-3.4798198973649956</v>
      </c>
      <c r="Q4222" s="4">
        <f t="shared" ca="1" si="360"/>
        <v>2028.6852734540798</v>
      </c>
      <c r="R4222" s="4">
        <f t="shared" ca="1" si="361"/>
        <v>105.01522945407987</v>
      </c>
      <c r="S4222" s="4">
        <f t="shared" ca="1" si="362"/>
        <v>57.648977954838486</v>
      </c>
    </row>
    <row r="4223" spans="15:19" x14ac:dyDescent="0.2">
      <c r="O4223" s="4">
        <f t="shared" ca="1" si="358"/>
        <v>0.43823217687836435</v>
      </c>
      <c r="P4223" s="4">
        <f t="shared" ca="1" si="359"/>
        <v>-0.15545281001822087</v>
      </c>
      <c r="Q4223" s="4">
        <f t="shared" ca="1" si="360"/>
        <v>1927.9737201414703</v>
      </c>
      <c r="R4223" s="4">
        <f t="shared" ca="1" si="361"/>
        <v>4.3036761414703051</v>
      </c>
      <c r="S4223" s="4">
        <f t="shared" ca="1" si="362"/>
        <v>2.1861026018170144</v>
      </c>
    </row>
    <row r="4224" spans="15:19" x14ac:dyDescent="0.2">
      <c r="O4224" s="4">
        <f t="shared" ca="1" si="358"/>
        <v>0.98641186887675525</v>
      </c>
      <c r="P4224" s="4">
        <f t="shared" ca="1" si="359"/>
        <v>2.2089766905201</v>
      </c>
      <c r="Q4224" s="4">
        <f t="shared" ca="1" si="360"/>
        <v>1856.3434334009578</v>
      </c>
      <c r="R4224" s="4">
        <f t="shared" ca="1" si="361"/>
        <v>-67.326610599042169</v>
      </c>
      <c r="S4224" s="4">
        <f t="shared" ca="1" si="362"/>
        <v>-32.236196846241192</v>
      </c>
    </row>
    <row r="4225" spans="15:19" x14ac:dyDescent="0.2">
      <c r="O4225" s="4">
        <f t="shared" ca="1" si="358"/>
        <v>0.58379734463030442</v>
      </c>
      <c r="P4225" s="4">
        <f t="shared" ca="1" si="359"/>
        <v>0.21161768553313931</v>
      </c>
      <c r="Q4225" s="4">
        <f t="shared" ca="1" si="360"/>
        <v>1916.8533357763033</v>
      </c>
      <c r="R4225" s="4">
        <f t="shared" ca="1" si="361"/>
        <v>-6.8167082236966507</v>
      </c>
      <c r="S4225" s="4">
        <f t="shared" ca="1" si="362"/>
        <v>-3.4317689781204948</v>
      </c>
    </row>
    <row r="4226" spans="15:19" x14ac:dyDescent="0.2">
      <c r="O4226" s="4">
        <f t="shared" ca="1" si="358"/>
        <v>0.20889406666377719</v>
      </c>
      <c r="P4226" s="4">
        <f t="shared" ca="1" si="359"/>
        <v>-0.81026457057653922</v>
      </c>
      <c r="Q4226" s="4">
        <f t="shared" ca="1" si="360"/>
        <v>1947.8112133545999</v>
      </c>
      <c r="R4226" s="4">
        <f t="shared" ca="1" si="361"/>
        <v>24.141169354599924</v>
      </c>
      <c r="S4226" s="4">
        <f t="shared" ca="1" si="362"/>
        <v>12.457734727780799</v>
      </c>
    </row>
    <row r="4227" spans="15:19" x14ac:dyDescent="0.2">
      <c r="O4227" s="4">
        <f t="shared" ref="O4227:O4290" ca="1" si="363">RAND()</f>
        <v>0.86604140580269129</v>
      </c>
      <c r="P4227" s="4">
        <f t="shared" ref="P4227:P4290" ca="1" si="364">NORMSINV(O4227)</f>
        <v>1.1078717943879586</v>
      </c>
      <c r="Q4227" s="4">
        <f t="shared" ref="Q4227:Q4290" ca="1" si="365">$B$4*(1+$B$17-$B$6/SQRT(252)*P4227)</f>
        <v>1889.7013573413292</v>
      </c>
      <c r="R4227" s="4">
        <f t="shared" ref="R4227:R4290" ca="1" si="366">Q4227-$B$4</f>
        <v>-33.968686658670777</v>
      </c>
      <c r="S4227" s="4">
        <f t="shared" ref="S4227:S4290" ca="1" si="367">R4227*$B$12+0.5*$B$13*R4227^2</f>
        <v>-16.725576258043553</v>
      </c>
    </row>
    <row r="4228" spans="15:19" x14ac:dyDescent="0.2">
      <c r="O4228" s="4">
        <f t="shared" ca="1" si="363"/>
        <v>0.99564173178998339</v>
      </c>
      <c r="P4228" s="4">
        <f t="shared" ca="1" si="364"/>
        <v>2.6229761887937513</v>
      </c>
      <c r="Q4228" s="4">
        <f t="shared" ca="1" si="365"/>
        <v>1843.8013369819196</v>
      </c>
      <c r="R4228" s="4">
        <f t="shared" ca="1" si="366"/>
        <v>-79.868707018080386</v>
      </c>
      <c r="S4228" s="4">
        <f t="shared" ca="1" si="367"/>
        <v>-37.833622990507024</v>
      </c>
    </row>
    <row r="4229" spans="15:19" x14ac:dyDescent="0.2">
      <c r="O4229" s="4">
        <f t="shared" ca="1" si="363"/>
        <v>0.46143533884941523</v>
      </c>
      <c r="P4229" s="4">
        <f t="shared" ca="1" si="364"/>
        <v>-9.6818316635460172E-2</v>
      </c>
      <c r="Q4229" s="4">
        <f t="shared" ca="1" si="365"/>
        <v>1926.1973907677523</v>
      </c>
      <c r="R4229" s="4">
        <f t="shared" ca="1" si="366"/>
        <v>2.5273467677523058</v>
      </c>
      <c r="S4229" s="4">
        <f t="shared" ca="1" si="367"/>
        <v>1.28196783618252</v>
      </c>
    </row>
    <row r="4230" spans="15:19" x14ac:dyDescent="0.2">
      <c r="O4230" s="4">
        <f t="shared" ca="1" si="363"/>
        <v>0.3590118793436744</v>
      </c>
      <c r="P4230" s="4">
        <f t="shared" ca="1" si="364"/>
        <v>-0.36110125021272022</v>
      </c>
      <c r="Q4230" s="4">
        <f t="shared" ca="1" si="365"/>
        <v>1934.2038305065787</v>
      </c>
      <c r="R4230" s="4">
        <f t="shared" ca="1" si="366"/>
        <v>10.533786506578735</v>
      </c>
      <c r="S4230" s="4">
        <f t="shared" ca="1" si="367"/>
        <v>5.3774745762793872</v>
      </c>
    </row>
    <row r="4231" spans="15:19" x14ac:dyDescent="0.2">
      <c r="O4231" s="4">
        <f t="shared" ca="1" si="363"/>
        <v>0.41389782498524652</v>
      </c>
      <c r="P4231" s="4">
        <f t="shared" ca="1" si="364"/>
        <v>-0.21752958946129994</v>
      </c>
      <c r="Q4231" s="4">
        <f t="shared" ca="1" si="365"/>
        <v>1929.8543334185517</v>
      </c>
      <c r="R4231" s="4">
        <f t="shared" ca="1" si="366"/>
        <v>6.1842894185517707</v>
      </c>
      <c r="S4231" s="4">
        <f t="shared" ca="1" si="367"/>
        <v>3.1461164180635497</v>
      </c>
    </row>
    <row r="4232" spans="15:19" x14ac:dyDescent="0.2">
      <c r="O4232" s="4">
        <f t="shared" ca="1" si="363"/>
        <v>1.1463011407295776E-2</v>
      </c>
      <c r="P4232" s="4">
        <f t="shared" ca="1" si="364"/>
        <v>-2.2746651798215218</v>
      </c>
      <c r="Q4232" s="4">
        <f t="shared" ca="1" si="365"/>
        <v>1992.1751647937599</v>
      </c>
      <c r="R4232" s="4">
        <f t="shared" ca="1" si="366"/>
        <v>68.505120793759943</v>
      </c>
      <c r="S4232" s="4">
        <f t="shared" ca="1" si="367"/>
        <v>36.588319310999452</v>
      </c>
    </row>
    <row r="4233" spans="15:19" x14ac:dyDescent="0.2">
      <c r="O4233" s="4">
        <f t="shared" ca="1" si="363"/>
        <v>0.61675670239986591</v>
      </c>
      <c r="P4233" s="4">
        <f t="shared" ca="1" si="364"/>
        <v>0.29697369081302044</v>
      </c>
      <c r="Q4233" s="4">
        <f t="shared" ca="1" si="365"/>
        <v>1914.2674793860704</v>
      </c>
      <c r="R4233" s="4">
        <f t="shared" ca="1" si="366"/>
        <v>-9.4025646139295986</v>
      </c>
      <c r="S4233" s="4">
        <f t="shared" ca="1" si="367"/>
        <v>-4.7236820386018907</v>
      </c>
    </row>
    <row r="4234" spans="15:19" x14ac:dyDescent="0.2">
      <c r="O4234" s="4">
        <f t="shared" ca="1" si="363"/>
        <v>5.9277622204015001E-2</v>
      </c>
      <c r="P4234" s="4">
        <f t="shared" ca="1" si="364"/>
        <v>-1.5608665362213827</v>
      </c>
      <c r="Q4234" s="4">
        <f t="shared" ca="1" si="365"/>
        <v>1970.5506665778366</v>
      </c>
      <c r="R4234" s="4">
        <f t="shared" ca="1" si="366"/>
        <v>46.880622577836675</v>
      </c>
      <c r="S4234" s="4">
        <f t="shared" ca="1" si="367"/>
        <v>24.626084142706013</v>
      </c>
    </row>
    <row r="4235" spans="15:19" x14ac:dyDescent="0.2">
      <c r="O4235" s="4">
        <f t="shared" ca="1" si="363"/>
        <v>0.15718967240872572</v>
      </c>
      <c r="P4235" s="4">
        <f t="shared" ca="1" si="364"/>
        <v>-1.0060753092891059</v>
      </c>
      <c r="Q4235" s="4">
        <f t="shared" ca="1" si="365"/>
        <v>1953.743290990097</v>
      </c>
      <c r="R4235" s="4">
        <f t="shared" ca="1" si="366"/>
        <v>30.073246990097005</v>
      </c>
      <c r="S4235" s="4">
        <f t="shared" ca="1" si="367"/>
        <v>15.591525673864888</v>
      </c>
    </row>
    <row r="4236" spans="15:19" x14ac:dyDescent="0.2">
      <c r="O4236" s="4">
        <f t="shared" ca="1" si="363"/>
        <v>0.21416131004570771</v>
      </c>
      <c r="P4236" s="4">
        <f t="shared" ca="1" si="364"/>
        <v>-0.79206526864034232</v>
      </c>
      <c r="Q4236" s="4">
        <f t="shared" ca="1" si="365"/>
        <v>1947.2598663104734</v>
      </c>
      <c r="R4236" s="4">
        <f t="shared" ca="1" si="366"/>
        <v>23.589822310473437</v>
      </c>
      <c r="S4236" s="4">
        <f t="shared" ca="1" si="367"/>
        <v>12.16792488102856</v>
      </c>
    </row>
    <row r="4237" spans="15:19" x14ac:dyDescent="0.2">
      <c r="O4237" s="4">
        <f t="shared" ca="1" si="363"/>
        <v>0.18675490862725785</v>
      </c>
      <c r="P4237" s="4">
        <f t="shared" ca="1" si="364"/>
        <v>-0.88991818756334296</v>
      </c>
      <c r="Q4237" s="4">
        <f t="shared" ca="1" si="365"/>
        <v>1950.2243161446747</v>
      </c>
      <c r="R4237" s="4">
        <f t="shared" ca="1" si="366"/>
        <v>26.554272144674769</v>
      </c>
      <c r="S4237" s="4">
        <f t="shared" ca="1" si="367"/>
        <v>13.729069122552984</v>
      </c>
    </row>
    <row r="4238" spans="15:19" x14ac:dyDescent="0.2">
      <c r="O4238" s="4">
        <f t="shared" ca="1" si="363"/>
        <v>0.68001016871937181</v>
      </c>
      <c r="P4238" s="4">
        <f t="shared" ca="1" si="364"/>
        <v>0.46772723444906206</v>
      </c>
      <c r="Q4238" s="4">
        <f t="shared" ca="1" si="365"/>
        <v>1909.0945083629024</v>
      </c>
      <c r="R4238" s="4">
        <f t="shared" ca="1" si="366"/>
        <v>-14.575535637097573</v>
      </c>
      <c r="S4238" s="4">
        <f t="shared" ca="1" si="367"/>
        <v>-7.2917985794288942</v>
      </c>
    </row>
    <row r="4239" spans="15:19" x14ac:dyDescent="0.2">
      <c r="O4239" s="4">
        <f t="shared" ca="1" si="363"/>
        <v>0.78900639069616374</v>
      </c>
      <c r="P4239" s="4">
        <f t="shared" ca="1" si="364"/>
        <v>0.80297840118443264</v>
      </c>
      <c r="Q4239" s="4">
        <f t="shared" ca="1" si="365"/>
        <v>1898.9380891514695</v>
      </c>
      <c r="R4239" s="4">
        <f t="shared" ca="1" si="366"/>
        <v>-24.731954848530449</v>
      </c>
      <c r="S4239" s="4">
        <f t="shared" ca="1" si="367"/>
        <v>-12.270565924824384</v>
      </c>
    </row>
    <row r="4240" spans="15:19" x14ac:dyDescent="0.2">
      <c r="O4240" s="4">
        <f t="shared" ca="1" si="363"/>
        <v>0.92220198921475982</v>
      </c>
      <c r="P4240" s="4">
        <f t="shared" ca="1" si="364"/>
        <v>1.4200400504374344</v>
      </c>
      <c r="Q4240" s="4">
        <f t="shared" ca="1" si="365"/>
        <v>1880.2442338842675</v>
      </c>
      <c r="R4240" s="4">
        <f t="shared" ca="1" si="366"/>
        <v>-43.425810115732475</v>
      </c>
      <c r="S4240" s="4">
        <f t="shared" ca="1" si="367"/>
        <v>-21.214918885763076</v>
      </c>
    </row>
    <row r="4241" spans="15:19" x14ac:dyDescent="0.2">
      <c r="O4241" s="4">
        <f t="shared" ca="1" si="363"/>
        <v>0.47257242515882558</v>
      </c>
      <c r="P4241" s="4">
        <f t="shared" ca="1" si="364"/>
        <v>-6.8804984648607959E-2</v>
      </c>
      <c r="Q4241" s="4">
        <f t="shared" ca="1" si="365"/>
        <v>1925.3487281189743</v>
      </c>
      <c r="R4241" s="4">
        <f t="shared" ca="1" si="366"/>
        <v>1.6786841189743882</v>
      </c>
      <c r="S4241" s="4">
        <f t="shared" ca="1" si="367"/>
        <v>0.85091345666493345</v>
      </c>
    </row>
    <row r="4242" spans="15:19" x14ac:dyDescent="0.2">
      <c r="O4242" s="4">
        <f t="shared" ca="1" si="363"/>
        <v>0.5289787840897594</v>
      </c>
      <c r="P4242" s="4">
        <f t="shared" ca="1" si="364"/>
        <v>7.270303693762771E-2</v>
      </c>
      <c r="Q4242" s="4">
        <f t="shared" ca="1" si="365"/>
        <v>1921.0617488878336</v>
      </c>
      <c r="R4242" s="4">
        <f t="shared" ca="1" si="366"/>
        <v>-2.6082951121663882</v>
      </c>
      <c r="S4242" s="4">
        <f t="shared" ca="1" si="367"/>
        <v>-1.3175751590453024</v>
      </c>
    </row>
    <row r="4243" spans="15:19" x14ac:dyDescent="0.2">
      <c r="O4243" s="4">
        <f t="shared" ca="1" si="363"/>
        <v>0.74992030033814128</v>
      </c>
      <c r="P4243" s="4">
        <f t="shared" ca="1" si="364"/>
        <v>0.6742389673218343</v>
      </c>
      <c r="Q4243" s="4">
        <f t="shared" ca="1" si="365"/>
        <v>1902.8382445844352</v>
      </c>
      <c r="R4243" s="4">
        <f t="shared" ca="1" si="366"/>
        <v>-20.831799415564774</v>
      </c>
      <c r="S4243" s="4">
        <f t="shared" ca="1" si="367"/>
        <v>-10.368607574374094</v>
      </c>
    </row>
    <row r="4244" spans="15:19" x14ac:dyDescent="0.2">
      <c r="O4244" s="4">
        <f t="shared" ca="1" si="363"/>
        <v>0.7476577902139977</v>
      </c>
      <c r="P4244" s="4">
        <f t="shared" ca="1" si="364"/>
        <v>0.66713732652216595</v>
      </c>
      <c r="Q4244" s="4">
        <f t="shared" ca="1" si="365"/>
        <v>1903.0533884771555</v>
      </c>
      <c r="R4244" s="4">
        <f t="shared" ca="1" si="366"/>
        <v>-20.616655522844439</v>
      </c>
      <c r="S4244" s="4">
        <f t="shared" ca="1" si="367"/>
        <v>-10.263329620327937</v>
      </c>
    </row>
    <row r="4245" spans="15:19" x14ac:dyDescent="0.2">
      <c r="O4245" s="4">
        <f t="shared" ca="1" si="363"/>
        <v>0.48147927845102745</v>
      </c>
      <c r="P4245" s="4">
        <f t="shared" ca="1" si="364"/>
        <v>-4.644125290654507E-2</v>
      </c>
      <c r="Q4245" s="4">
        <f t="shared" ca="1" si="365"/>
        <v>1924.6712198587761</v>
      </c>
      <c r="R4245" s="4">
        <f t="shared" ca="1" si="366"/>
        <v>1.0011758587761506</v>
      </c>
      <c r="S4245" s="4">
        <f t="shared" ca="1" si="367"/>
        <v>0.50721305323577059</v>
      </c>
    </row>
    <row r="4246" spans="15:19" x14ac:dyDescent="0.2">
      <c r="O4246" s="4">
        <f t="shared" ca="1" si="363"/>
        <v>0.74929198878097036</v>
      </c>
      <c r="P4246" s="4">
        <f t="shared" ca="1" si="364"/>
        <v>0.67226340500234605</v>
      </c>
      <c r="Q4246" s="4">
        <f t="shared" ca="1" si="365"/>
        <v>1902.8980941571913</v>
      </c>
      <c r="R4246" s="4">
        <f t="shared" ca="1" si="366"/>
        <v>-20.771949842808681</v>
      </c>
      <c r="S4246" s="4">
        <f t="shared" ca="1" si="367"/>
        <v>-10.339324723207406</v>
      </c>
    </row>
    <row r="4247" spans="15:19" x14ac:dyDescent="0.2">
      <c r="O4247" s="4">
        <f t="shared" ca="1" si="363"/>
        <v>0.42818591249794613</v>
      </c>
      <c r="P4247" s="4">
        <f t="shared" ca="1" si="364"/>
        <v>-0.18099458674425897</v>
      </c>
      <c r="Q4247" s="4">
        <f t="shared" ca="1" si="365"/>
        <v>1928.7475071333563</v>
      </c>
      <c r="R4247" s="4">
        <f t="shared" ca="1" si="366"/>
        <v>5.077463133356332</v>
      </c>
      <c r="S4247" s="4">
        <f t="shared" ca="1" si="367"/>
        <v>2.5807560732307282</v>
      </c>
    </row>
    <row r="4248" spans="15:19" x14ac:dyDescent="0.2">
      <c r="O4248" s="4">
        <f t="shared" ca="1" si="363"/>
        <v>0.41296415098024275</v>
      </c>
      <c r="P4248" s="4">
        <f t="shared" ca="1" si="364"/>
        <v>-0.21992662269635752</v>
      </c>
      <c r="Q4248" s="4">
        <f t="shared" ca="1" si="365"/>
        <v>1929.9269514339819</v>
      </c>
      <c r="R4248" s="4">
        <f t="shared" ca="1" si="366"/>
        <v>6.2569074339819508</v>
      </c>
      <c r="S4248" s="4">
        <f t="shared" ca="1" si="367"/>
        <v>3.1832441374984146</v>
      </c>
    </row>
    <row r="4249" spans="15:19" x14ac:dyDescent="0.2">
      <c r="O4249" s="4">
        <f t="shared" ca="1" si="363"/>
        <v>0.88305444692180468</v>
      </c>
      <c r="P4249" s="4">
        <f t="shared" ca="1" si="364"/>
        <v>1.190395181190862</v>
      </c>
      <c r="Q4249" s="4">
        <f t="shared" ca="1" si="365"/>
        <v>1887.2013150020907</v>
      </c>
      <c r="R4249" s="4">
        <f t="shared" ca="1" si="366"/>
        <v>-36.468728997909238</v>
      </c>
      <c r="S4249" s="4">
        <f t="shared" ca="1" si="367"/>
        <v>-17.919438703220855</v>
      </c>
    </row>
    <row r="4250" spans="15:19" x14ac:dyDescent="0.2">
      <c r="O4250" s="4">
        <f t="shared" ca="1" si="363"/>
        <v>0.93429964846034208</v>
      </c>
      <c r="P4250" s="4">
        <f t="shared" ca="1" si="364"/>
        <v>1.5086012948649805</v>
      </c>
      <c r="Q4250" s="4">
        <f t="shared" ca="1" si="365"/>
        <v>1877.5612749163654</v>
      </c>
      <c r="R4250" s="4">
        <f t="shared" ca="1" si="366"/>
        <v>-46.10876908363457</v>
      </c>
      <c r="S4250" s="4">
        <f t="shared" ca="1" si="367"/>
        <v>-22.475273801309815</v>
      </c>
    </row>
    <row r="4251" spans="15:19" x14ac:dyDescent="0.2">
      <c r="O4251" s="4">
        <f t="shared" ca="1" si="363"/>
        <v>0.81709456058567975</v>
      </c>
      <c r="P4251" s="4">
        <f t="shared" ca="1" si="364"/>
        <v>0.90434804383009626</v>
      </c>
      <c r="Q4251" s="4">
        <f t="shared" ca="1" si="365"/>
        <v>1895.8671003282293</v>
      </c>
      <c r="R4251" s="4">
        <f t="shared" ca="1" si="366"/>
        <v>-27.802943671770663</v>
      </c>
      <c r="S4251" s="4">
        <f t="shared" ca="1" si="367"/>
        <v>-13.759456405645967</v>
      </c>
    </row>
    <row r="4252" spans="15:19" x14ac:dyDescent="0.2">
      <c r="O4252" s="4">
        <f t="shared" ca="1" si="363"/>
        <v>0.69214955375891307</v>
      </c>
      <c r="P4252" s="4">
        <f t="shared" ca="1" si="364"/>
        <v>0.50195255914481918</v>
      </c>
      <c r="Q4252" s="4">
        <f t="shared" ca="1" si="365"/>
        <v>1908.0576536708145</v>
      </c>
      <c r="R4252" s="4">
        <f t="shared" ca="1" si="366"/>
        <v>-15.612390329185473</v>
      </c>
      <c r="S4252" s="4">
        <f t="shared" ca="1" si="367"/>
        <v>-7.8039231131361717</v>
      </c>
    </row>
    <row r="4253" spans="15:19" x14ac:dyDescent="0.2">
      <c r="O4253" s="4">
        <f t="shared" ca="1" si="363"/>
        <v>0.8040802412173067</v>
      </c>
      <c r="P4253" s="4">
        <f t="shared" ca="1" si="364"/>
        <v>0.85628615481263326</v>
      </c>
      <c r="Q4253" s="4">
        <f t="shared" ca="1" si="365"/>
        <v>1897.3231331221139</v>
      </c>
      <c r="R4253" s="4">
        <f t="shared" ca="1" si="366"/>
        <v>-26.346910877886103</v>
      </c>
      <c r="S4253" s="4">
        <f t="shared" ca="1" si="367"/>
        <v>-13.054493295060539</v>
      </c>
    </row>
    <row r="4254" spans="15:19" x14ac:dyDescent="0.2">
      <c r="O4254" s="4">
        <f t="shared" ca="1" si="363"/>
        <v>0.28877500389877087</v>
      </c>
      <c r="P4254" s="4">
        <f t="shared" ca="1" si="364"/>
        <v>-0.55696695370275873</v>
      </c>
      <c r="Q4254" s="4">
        <f t="shared" ca="1" si="365"/>
        <v>1940.1375732975687</v>
      </c>
      <c r="R4254" s="4">
        <f t="shared" ca="1" si="366"/>
        <v>16.467529297568717</v>
      </c>
      <c r="S4254" s="4">
        <f t="shared" ca="1" si="367"/>
        <v>8.4464134660371446</v>
      </c>
    </row>
    <row r="4255" spans="15:19" x14ac:dyDescent="0.2">
      <c r="O4255" s="4">
        <f t="shared" ca="1" si="363"/>
        <v>0.18655859447331091</v>
      </c>
      <c r="P4255" s="4">
        <f t="shared" ca="1" si="364"/>
        <v>-0.89064958532063665</v>
      </c>
      <c r="Q4255" s="4">
        <f t="shared" ca="1" si="365"/>
        <v>1950.2464738072583</v>
      </c>
      <c r="R4255" s="4">
        <f t="shared" ca="1" si="366"/>
        <v>26.576429807258364</v>
      </c>
      <c r="S4255" s="4">
        <f t="shared" ca="1" si="367"/>
        <v>13.740764771512991</v>
      </c>
    </row>
    <row r="4256" spans="15:19" x14ac:dyDescent="0.2">
      <c r="O4256" s="4">
        <f t="shared" ca="1" si="363"/>
        <v>0.23663884127884149</v>
      </c>
      <c r="P4256" s="4">
        <f t="shared" ca="1" si="364"/>
        <v>-0.7171562636041291</v>
      </c>
      <c r="Q4256" s="4">
        <f t="shared" ca="1" si="365"/>
        <v>1944.9905013287862</v>
      </c>
      <c r="R4256" s="4">
        <f t="shared" ca="1" si="366"/>
        <v>21.320457328786233</v>
      </c>
      <c r="S4256" s="4">
        <f t="shared" ca="1" si="367"/>
        <v>10.97766249266375</v>
      </c>
    </row>
    <row r="4257" spans="15:19" x14ac:dyDescent="0.2">
      <c r="O4257" s="4">
        <f t="shared" ca="1" si="363"/>
        <v>0.7296561769921921</v>
      </c>
      <c r="P4257" s="4">
        <f t="shared" ca="1" si="364"/>
        <v>0.61177346818236766</v>
      </c>
      <c r="Q4257" s="4">
        <f t="shared" ca="1" si="365"/>
        <v>1904.73063410746</v>
      </c>
      <c r="R4257" s="4">
        <f t="shared" ca="1" si="366"/>
        <v>-18.93940989253997</v>
      </c>
      <c r="S4257" s="4">
        <f t="shared" ca="1" si="367"/>
        <v>-9.4412985584161504</v>
      </c>
    </row>
    <row r="4258" spans="15:19" x14ac:dyDescent="0.2">
      <c r="O4258" s="4">
        <f t="shared" ca="1" si="363"/>
        <v>0.53662200549509387</v>
      </c>
      <c r="P4258" s="4">
        <f t="shared" ca="1" si="364"/>
        <v>9.1927063404696113E-2</v>
      </c>
      <c r="Q4258" s="4">
        <f t="shared" ca="1" si="365"/>
        <v>1920.4793578595413</v>
      </c>
      <c r="R4258" s="4">
        <f t="shared" ca="1" si="366"/>
        <v>-3.190686140458638</v>
      </c>
      <c r="S4258" s="4">
        <f t="shared" ca="1" si="367"/>
        <v>-1.6110124174531002</v>
      </c>
    </row>
    <row r="4259" spans="15:19" x14ac:dyDescent="0.2">
      <c r="O4259" s="4">
        <f t="shared" ca="1" si="363"/>
        <v>0.4518262149897927</v>
      </c>
      <c r="P4259" s="4">
        <f t="shared" ca="1" si="364"/>
        <v>-0.12104874010405606</v>
      </c>
      <c r="Q4259" s="4">
        <f t="shared" ca="1" si="365"/>
        <v>1926.9314503709272</v>
      </c>
      <c r="R4259" s="4">
        <f t="shared" ca="1" si="366"/>
        <v>3.2614063709272614</v>
      </c>
      <c r="S4259" s="4">
        <f t="shared" ca="1" si="367"/>
        <v>1.6552857524758535</v>
      </c>
    </row>
    <row r="4260" spans="15:19" x14ac:dyDescent="0.2">
      <c r="O4260" s="4">
        <f t="shared" ca="1" si="363"/>
        <v>0.4594954163366165</v>
      </c>
      <c r="P4260" s="4">
        <f t="shared" ca="1" si="364"/>
        <v>-0.10170500079380441</v>
      </c>
      <c r="Q4260" s="4">
        <f t="shared" ca="1" si="365"/>
        <v>1926.3454326473652</v>
      </c>
      <c r="R4260" s="4">
        <f t="shared" ca="1" si="366"/>
        <v>2.6753886473652528</v>
      </c>
      <c r="S4260" s="4">
        <f t="shared" ca="1" si="367"/>
        <v>1.3572216196691422</v>
      </c>
    </row>
    <row r="4261" spans="15:19" x14ac:dyDescent="0.2">
      <c r="O4261" s="4">
        <f t="shared" ca="1" si="363"/>
        <v>0.2242827461296274</v>
      </c>
      <c r="P4261" s="4">
        <f t="shared" ca="1" si="364"/>
        <v>-0.75780873519404202</v>
      </c>
      <c r="Q4261" s="4">
        <f t="shared" ca="1" si="365"/>
        <v>1946.2220661506735</v>
      </c>
      <c r="R4261" s="4">
        <f t="shared" ca="1" si="366"/>
        <v>22.552022150673565</v>
      </c>
      <c r="S4261" s="4">
        <f t="shared" ca="1" si="367"/>
        <v>11.623087352522127</v>
      </c>
    </row>
    <row r="4262" spans="15:19" x14ac:dyDescent="0.2">
      <c r="O4262" s="4">
        <f t="shared" ca="1" si="363"/>
        <v>0.3996609933299915</v>
      </c>
      <c r="P4262" s="4">
        <f t="shared" ca="1" si="364"/>
        <v>-0.25422467775254204</v>
      </c>
      <c r="Q4262" s="4">
        <f t="shared" ca="1" si="365"/>
        <v>1930.9660094891099</v>
      </c>
      <c r="R4262" s="4">
        <f t="shared" ca="1" si="366"/>
        <v>7.2959654891099035</v>
      </c>
      <c r="S4262" s="4">
        <f t="shared" ca="1" si="367"/>
        <v>3.7149579415965075</v>
      </c>
    </row>
    <row r="4263" spans="15:19" x14ac:dyDescent="0.2">
      <c r="O4263" s="4">
        <f t="shared" ca="1" si="363"/>
        <v>0.37534469190488839</v>
      </c>
      <c r="P4263" s="4">
        <f t="shared" ca="1" si="364"/>
        <v>-0.31773048641478457</v>
      </c>
      <c r="Q4263" s="4">
        <f t="shared" ca="1" si="365"/>
        <v>1932.8899151429384</v>
      </c>
      <c r="R4263" s="4">
        <f t="shared" ca="1" si="366"/>
        <v>9.219871142938473</v>
      </c>
      <c r="S4263" s="4">
        <f t="shared" ca="1" si="367"/>
        <v>4.7017924166499547</v>
      </c>
    </row>
    <row r="4264" spans="15:19" x14ac:dyDescent="0.2">
      <c r="O4264" s="4">
        <f t="shared" ca="1" si="363"/>
        <v>0.71262296771155254</v>
      </c>
      <c r="P4264" s="4">
        <f t="shared" ca="1" si="364"/>
        <v>0.56106377114203554</v>
      </c>
      <c r="Q4264" s="4">
        <f t="shared" ca="1" si="365"/>
        <v>1906.2668821278373</v>
      </c>
      <c r="R4264" s="4">
        <f t="shared" ca="1" si="366"/>
        <v>-17.403161872162627</v>
      </c>
      <c r="S4264" s="4">
        <f t="shared" ca="1" si="367"/>
        <v>-8.6863619280520386</v>
      </c>
    </row>
    <row r="4265" spans="15:19" x14ac:dyDescent="0.2">
      <c r="O4265" s="4">
        <f t="shared" ca="1" si="363"/>
        <v>0.92705980085009188</v>
      </c>
      <c r="P4265" s="4">
        <f t="shared" ca="1" si="364"/>
        <v>1.454237764438798</v>
      </c>
      <c r="Q4265" s="4">
        <f t="shared" ca="1" si="365"/>
        <v>1879.2082156569402</v>
      </c>
      <c r="R4265" s="4">
        <f t="shared" ca="1" si="366"/>
        <v>-44.461828343059778</v>
      </c>
      <c r="S4265" s="4">
        <f t="shared" ca="1" si="367"/>
        <v>-21.702296506384869</v>
      </c>
    </row>
    <row r="4266" spans="15:19" x14ac:dyDescent="0.2">
      <c r="O4266" s="4">
        <f t="shared" ca="1" si="363"/>
        <v>0.33805268906749719</v>
      </c>
      <c r="P4266" s="4">
        <f t="shared" ca="1" si="364"/>
        <v>-0.41778355139706019</v>
      </c>
      <c r="Q4266" s="4">
        <f t="shared" ca="1" si="365"/>
        <v>1935.921018304321</v>
      </c>
      <c r="R4266" s="4">
        <f t="shared" ca="1" si="366"/>
        <v>12.250974304321062</v>
      </c>
      <c r="S4266" s="4">
        <f t="shared" ca="1" si="367"/>
        <v>6.2626587329830441</v>
      </c>
    </row>
    <row r="4267" spans="15:19" x14ac:dyDescent="0.2">
      <c r="O4267" s="4">
        <f t="shared" ca="1" si="363"/>
        <v>0.99777174364624177</v>
      </c>
      <c r="P4267" s="4">
        <f t="shared" ca="1" si="364"/>
        <v>2.8438993220386535</v>
      </c>
      <c r="Q4267" s="4">
        <f t="shared" ca="1" si="365"/>
        <v>1837.1084804690306</v>
      </c>
      <c r="R4267" s="4">
        <f t="shared" ca="1" si="366"/>
        <v>-86.561563530969352</v>
      </c>
      <c r="S4267" s="4">
        <f t="shared" ca="1" si="367"/>
        <v>-40.768180577591089</v>
      </c>
    </row>
    <row r="4268" spans="15:19" x14ac:dyDescent="0.2">
      <c r="O4268" s="4">
        <f t="shared" ca="1" si="363"/>
        <v>0.65728033012891618</v>
      </c>
      <c r="P4268" s="4">
        <f t="shared" ca="1" si="364"/>
        <v>0.40505192995320621</v>
      </c>
      <c r="Q4268" s="4">
        <f t="shared" ca="1" si="365"/>
        <v>1910.9932539298838</v>
      </c>
      <c r="R4268" s="4">
        <f t="shared" ca="1" si="366"/>
        <v>-12.676790070116112</v>
      </c>
      <c r="S4268" s="4">
        <f t="shared" ca="1" si="367"/>
        <v>-6.3516988671701382</v>
      </c>
    </row>
    <row r="4269" spans="15:19" x14ac:dyDescent="0.2">
      <c r="O4269" s="4">
        <f t="shared" ca="1" si="363"/>
        <v>0.87386969529639658</v>
      </c>
      <c r="P4269" s="4">
        <f t="shared" ca="1" si="364"/>
        <v>1.1448758013008211</v>
      </c>
      <c r="Q4269" s="4">
        <f t="shared" ca="1" si="365"/>
        <v>1888.5803225948448</v>
      </c>
      <c r="R4269" s="4">
        <f t="shared" ca="1" si="366"/>
        <v>-35.08972140515516</v>
      </c>
      <c r="S4269" s="4">
        <f t="shared" ca="1" si="367"/>
        <v>-17.261540999788092</v>
      </c>
    </row>
    <row r="4270" spans="15:19" x14ac:dyDescent="0.2">
      <c r="O4270" s="4">
        <f t="shared" ca="1" si="363"/>
        <v>0.84211872107644614</v>
      </c>
      <c r="P4270" s="4">
        <f t="shared" ca="1" si="364"/>
        <v>1.0032037628218045</v>
      </c>
      <c r="Q4270" s="4">
        <f t="shared" ca="1" si="365"/>
        <v>1892.8722707104705</v>
      </c>
      <c r="R4270" s="4">
        <f t="shared" ca="1" si="366"/>
        <v>-30.797773289529459</v>
      </c>
      <c r="S4270" s="4">
        <f t="shared" ca="1" si="367"/>
        <v>-15.20402818392003</v>
      </c>
    </row>
    <row r="4271" spans="15:19" x14ac:dyDescent="0.2">
      <c r="O4271" s="4">
        <f t="shared" ca="1" si="363"/>
        <v>0.90520991931121919</v>
      </c>
      <c r="P4271" s="4">
        <f t="shared" ca="1" si="364"/>
        <v>1.3118221148336275</v>
      </c>
      <c r="Q4271" s="4">
        <f t="shared" ca="1" si="365"/>
        <v>1883.5226914386171</v>
      </c>
      <c r="R4271" s="4">
        <f t="shared" ca="1" si="366"/>
        <v>-40.147352561382831</v>
      </c>
      <c r="S4271" s="4">
        <f t="shared" ca="1" si="367"/>
        <v>-19.666864890875008</v>
      </c>
    </row>
    <row r="4272" spans="15:19" x14ac:dyDescent="0.2">
      <c r="O4272" s="4">
        <f t="shared" ca="1" si="363"/>
        <v>0.14371187593433588</v>
      </c>
      <c r="P4272" s="4">
        <f t="shared" ca="1" si="364"/>
        <v>-1.0637901998788393</v>
      </c>
      <c r="Q4272" s="4">
        <f t="shared" ca="1" si="365"/>
        <v>1955.4917610380296</v>
      </c>
      <c r="R4272" s="4">
        <f t="shared" ca="1" si="366"/>
        <v>31.821717038029647</v>
      </c>
      <c r="S4272" s="4">
        <f t="shared" ca="1" si="367"/>
        <v>16.520671976662513</v>
      </c>
    </row>
    <row r="4273" spans="15:19" x14ac:dyDescent="0.2">
      <c r="O4273" s="4">
        <f t="shared" ca="1" si="363"/>
        <v>0.89074534409301498</v>
      </c>
      <c r="P4273" s="4">
        <f t="shared" ca="1" si="364"/>
        <v>1.230501643837729</v>
      </c>
      <c r="Q4273" s="4">
        <f t="shared" ca="1" si="365"/>
        <v>1885.9862914968908</v>
      </c>
      <c r="R4273" s="4">
        <f t="shared" ca="1" si="366"/>
        <v>-37.68375250310919</v>
      </c>
      <c r="S4273" s="4">
        <f t="shared" ca="1" si="367"/>
        <v>-18.497819783309144</v>
      </c>
    </row>
    <row r="4274" spans="15:19" x14ac:dyDescent="0.2">
      <c r="O4274" s="4">
        <f t="shared" ca="1" si="363"/>
        <v>0.60603772875296602</v>
      </c>
      <c r="P4274" s="4">
        <f t="shared" ca="1" si="364"/>
        <v>0.26900667960854291</v>
      </c>
      <c r="Q4274" s="4">
        <f t="shared" ca="1" si="365"/>
        <v>1915.1147387488029</v>
      </c>
      <c r="R4274" s="4">
        <f t="shared" ca="1" si="366"/>
        <v>-8.5553052511970691</v>
      </c>
      <c r="S4274" s="4">
        <f t="shared" ca="1" si="367"/>
        <v>-4.3009845977938248</v>
      </c>
    </row>
    <row r="4275" spans="15:19" x14ac:dyDescent="0.2">
      <c r="O4275" s="4">
        <f t="shared" ca="1" si="363"/>
        <v>0.83665757010744213</v>
      </c>
      <c r="P4275" s="4">
        <f t="shared" ca="1" si="364"/>
        <v>0.9808132159480063</v>
      </c>
      <c r="Q4275" s="4">
        <f t="shared" ca="1" si="365"/>
        <v>1893.5505913338943</v>
      </c>
      <c r="R4275" s="4">
        <f t="shared" ca="1" si="366"/>
        <v>-30.119452666105644</v>
      </c>
      <c r="S4275" s="4">
        <f t="shared" ca="1" si="367"/>
        <v>-14.877476314911203</v>
      </c>
    </row>
    <row r="4276" spans="15:19" x14ac:dyDescent="0.2">
      <c r="O4276" s="4">
        <f t="shared" ca="1" si="363"/>
        <v>0.91612272465943878</v>
      </c>
      <c r="P4276" s="4">
        <f t="shared" ca="1" si="364"/>
        <v>1.3794548730773293</v>
      </c>
      <c r="Q4276" s="4">
        <f t="shared" ca="1" si="365"/>
        <v>1881.4737600304506</v>
      </c>
      <c r="R4276" s="4">
        <f t="shared" ca="1" si="366"/>
        <v>-42.196283969549313</v>
      </c>
      <c r="S4276" s="4">
        <f t="shared" ca="1" si="367"/>
        <v>-20.635374758755333</v>
      </c>
    </row>
    <row r="4277" spans="15:19" x14ac:dyDescent="0.2">
      <c r="O4277" s="4">
        <f t="shared" ca="1" si="363"/>
        <v>0.80982084843157909</v>
      </c>
      <c r="P4277" s="4">
        <f t="shared" ca="1" si="364"/>
        <v>0.8772363001964204</v>
      </c>
      <c r="Q4277" s="4">
        <f t="shared" ca="1" si="365"/>
        <v>1896.6884493978775</v>
      </c>
      <c r="R4277" s="4">
        <f t="shared" ca="1" si="366"/>
        <v>-26.981594602122414</v>
      </c>
      <c r="S4277" s="4">
        <f t="shared" ca="1" si="367"/>
        <v>-13.361998448943414</v>
      </c>
    </row>
    <row r="4278" spans="15:19" x14ac:dyDescent="0.2">
      <c r="O4278" s="4">
        <f t="shared" ca="1" si="363"/>
        <v>0.63446768314675073</v>
      </c>
      <c r="P4278" s="4">
        <f t="shared" ca="1" si="364"/>
        <v>0.34370967592865925</v>
      </c>
      <c r="Q4278" s="4">
        <f t="shared" ca="1" si="365"/>
        <v>1912.8516147920229</v>
      </c>
      <c r="R4278" s="4">
        <f t="shared" ca="1" si="366"/>
        <v>-10.818429207977033</v>
      </c>
      <c r="S4278" s="4">
        <f t="shared" ca="1" si="367"/>
        <v>-5.4287520954147261</v>
      </c>
    </row>
    <row r="4279" spans="15:19" x14ac:dyDescent="0.2">
      <c r="O4279" s="4">
        <f t="shared" ca="1" si="363"/>
        <v>7.1219152605281E-2</v>
      </c>
      <c r="P4279" s="4">
        <f t="shared" ca="1" si="364"/>
        <v>-1.4667712054655326</v>
      </c>
      <c r="Q4279" s="4">
        <f t="shared" ca="1" si="365"/>
        <v>1967.7000527103266</v>
      </c>
      <c r="R4279" s="4">
        <f t="shared" ca="1" si="366"/>
        <v>44.030008710326683</v>
      </c>
      <c r="S4279" s="4">
        <f t="shared" ca="1" si="367"/>
        <v>23.077583041308841</v>
      </c>
    </row>
    <row r="4280" spans="15:19" x14ac:dyDescent="0.2">
      <c r="O4280" s="4">
        <f t="shared" ca="1" si="363"/>
        <v>0.18539369706750064</v>
      </c>
      <c r="P4280" s="4">
        <f t="shared" ca="1" si="364"/>
        <v>-0.89499942727504178</v>
      </c>
      <c r="Q4280" s="4">
        <f t="shared" ca="1" si="365"/>
        <v>1950.3782520761388</v>
      </c>
      <c r="R4280" s="4">
        <f t="shared" ca="1" si="366"/>
        <v>26.708208076138817</v>
      </c>
      <c r="S4280" s="4">
        <f t="shared" ca="1" si="367"/>
        <v>13.810330563298894</v>
      </c>
    </row>
    <row r="4281" spans="15:19" x14ac:dyDescent="0.2">
      <c r="O4281" s="4">
        <f t="shared" ca="1" si="363"/>
        <v>0.41391503823440945</v>
      </c>
      <c r="P4281" s="4">
        <f t="shared" ca="1" si="364"/>
        <v>-0.21748540944014177</v>
      </c>
      <c r="Q4281" s="4">
        <f t="shared" ca="1" si="365"/>
        <v>1929.8529949867725</v>
      </c>
      <c r="R4281" s="4">
        <f t="shared" ca="1" si="366"/>
        <v>6.1829509867725392</v>
      </c>
      <c r="S4281" s="4">
        <f t="shared" ca="1" si="367"/>
        <v>3.1454321526892315</v>
      </c>
    </row>
    <row r="4282" spans="15:19" x14ac:dyDescent="0.2">
      <c r="O4282" s="4">
        <f t="shared" ca="1" si="363"/>
        <v>9.1044910481678065E-2</v>
      </c>
      <c r="P4282" s="4">
        <f t="shared" ca="1" si="364"/>
        <v>-1.3343480380801149</v>
      </c>
      <c r="Q4282" s="4">
        <f t="shared" ca="1" si="365"/>
        <v>1963.6882987338413</v>
      </c>
      <c r="R4282" s="4">
        <f t="shared" ca="1" si="366"/>
        <v>40.018254733841331</v>
      </c>
      <c r="S4282" s="4">
        <f t="shared" ca="1" si="367"/>
        <v>20.909537893341675</v>
      </c>
    </row>
    <row r="4283" spans="15:19" x14ac:dyDescent="0.2">
      <c r="O4283" s="4">
        <f t="shared" ca="1" si="363"/>
        <v>0.50293290138381852</v>
      </c>
      <c r="P4283" s="4">
        <f t="shared" ca="1" si="364"/>
        <v>7.3517597599541892E-3</v>
      </c>
      <c r="Q4283" s="4">
        <f t="shared" ca="1" si="365"/>
        <v>1923.0415629284</v>
      </c>
      <c r="R4283" s="4">
        <f t="shared" ca="1" si="366"/>
        <v>-0.6284810715999356</v>
      </c>
      <c r="S4283" s="4">
        <f t="shared" ca="1" si="367"/>
        <v>-0.31798248671105156</v>
      </c>
    </row>
    <row r="4284" spans="15:19" x14ac:dyDescent="0.2">
      <c r="O4284" s="4">
        <f t="shared" ca="1" si="363"/>
        <v>2.4963027590664599E-2</v>
      </c>
      <c r="P4284" s="4">
        <f t="shared" ca="1" si="364"/>
        <v>-1.9605969780753454</v>
      </c>
      <c r="Q4284" s="4">
        <f t="shared" ca="1" si="365"/>
        <v>1982.6604825661723</v>
      </c>
      <c r="R4284" s="4">
        <f t="shared" ca="1" si="366"/>
        <v>58.990438566172315</v>
      </c>
      <c r="S4284" s="4">
        <f t="shared" ca="1" si="367"/>
        <v>31.278086544425541</v>
      </c>
    </row>
    <row r="4285" spans="15:19" x14ac:dyDescent="0.2">
      <c r="O4285" s="4">
        <f t="shared" ca="1" si="363"/>
        <v>7.1984180198888525E-2</v>
      </c>
      <c r="P4285" s="4">
        <f t="shared" ca="1" si="364"/>
        <v>-1.4611715796157594</v>
      </c>
      <c r="Q4285" s="4">
        <f t="shared" ca="1" si="365"/>
        <v>1967.5304122938255</v>
      </c>
      <c r="R4285" s="4">
        <f t="shared" ca="1" si="366"/>
        <v>43.860368293825559</v>
      </c>
      <c r="S4285" s="4">
        <f t="shared" ca="1" si="367"/>
        <v>22.985640096339381</v>
      </c>
    </row>
    <row r="4286" spans="15:19" x14ac:dyDescent="0.2">
      <c r="O4286" s="4">
        <f t="shared" ca="1" si="363"/>
        <v>0.6607533563549034</v>
      </c>
      <c r="P4286" s="4">
        <f t="shared" ca="1" si="364"/>
        <v>0.41452004880771093</v>
      </c>
      <c r="Q4286" s="4">
        <f t="shared" ca="1" si="365"/>
        <v>1910.7064176895615</v>
      </c>
      <c r="R4286" s="4">
        <f t="shared" ca="1" si="366"/>
        <v>-12.963626310438485</v>
      </c>
      <c r="S4286" s="4">
        <f t="shared" ca="1" si="367"/>
        <v>-6.4939043499691653</v>
      </c>
    </row>
    <row r="4287" spans="15:19" x14ac:dyDescent="0.2">
      <c r="O4287" s="4">
        <f t="shared" ca="1" si="363"/>
        <v>0.88947419352235291</v>
      </c>
      <c r="P4287" s="4">
        <f t="shared" ca="1" si="364"/>
        <v>1.2237365868751686</v>
      </c>
      <c r="Q4287" s="4">
        <f t="shared" ca="1" si="365"/>
        <v>1886.1912385972096</v>
      </c>
      <c r="R4287" s="4">
        <f t="shared" ca="1" si="366"/>
        <v>-37.478805402790385</v>
      </c>
      <c r="S4287" s="4">
        <f t="shared" ca="1" si="367"/>
        <v>-18.400344189823784</v>
      </c>
    </row>
    <row r="4288" spans="15:19" x14ac:dyDescent="0.2">
      <c r="O4288" s="4">
        <f t="shared" ca="1" si="363"/>
        <v>0.94917082472690506</v>
      </c>
      <c r="P4288" s="4">
        <f t="shared" ca="1" si="364"/>
        <v>1.6368665787555539</v>
      </c>
      <c r="Q4288" s="4">
        <f t="shared" ca="1" si="365"/>
        <v>1873.6754838357501</v>
      </c>
      <c r="R4288" s="4">
        <f t="shared" ca="1" si="366"/>
        <v>-49.994560164249833</v>
      </c>
      <c r="S4288" s="4">
        <f t="shared" ca="1" si="367"/>
        <v>-24.29028440973142</v>
      </c>
    </row>
    <row r="4289" spans="15:19" x14ac:dyDescent="0.2">
      <c r="O4289" s="4">
        <f t="shared" ca="1" si="363"/>
        <v>0.27788540967089137</v>
      </c>
      <c r="P4289" s="4">
        <f t="shared" ca="1" si="364"/>
        <v>-0.58913484634619417</v>
      </c>
      <c r="Q4289" s="4">
        <f t="shared" ca="1" si="365"/>
        <v>1941.1120981769795</v>
      </c>
      <c r="R4289" s="4">
        <f t="shared" ca="1" si="366"/>
        <v>17.442054176979582</v>
      </c>
      <c r="S4289" s="4">
        <f t="shared" ca="1" si="367"/>
        <v>8.9531794062167851</v>
      </c>
    </row>
    <row r="4290" spans="15:19" x14ac:dyDescent="0.2">
      <c r="O4290" s="4">
        <f t="shared" ca="1" si="363"/>
        <v>0.42146192593024068</v>
      </c>
      <c r="P4290" s="4">
        <f t="shared" ca="1" si="364"/>
        <v>-0.19815492617302188</v>
      </c>
      <c r="Q4290" s="4">
        <f t="shared" ca="1" si="365"/>
        <v>1929.2673788544489</v>
      </c>
      <c r="R4290" s="4">
        <f t="shared" ca="1" si="366"/>
        <v>5.5973348544489454</v>
      </c>
      <c r="S4290" s="4">
        <f t="shared" ca="1" si="367"/>
        <v>2.8461792716322427</v>
      </c>
    </row>
    <row r="4291" spans="15:19" x14ac:dyDescent="0.2">
      <c r="O4291" s="4">
        <f t="shared" ref="O4291:O4354" ca="1" si="368">RAND()</f>
        <v>5.7137451610191459E-2</v>
      </c>
      <c r="P4291" s="4">
        <f t="shared" ref="P4291:P4354" ca="1" si="369">NORMSINV(O4291)</f>
        <v>-1.5792666707875596</v>
      </c>
      <c r="Q4291" s="4">
        <f t="shared" ref="Q4291:Q4354" ca="1" si="370">$B$4*(1+$B$17-$B$6/SQRT(252)*P4291)</f>
        <v>1971.1080978375719</v>
      </c>
      <c r="R4291" s="4">
        <f t="shared" ref="R4291:R4354" ca="1" si="371">Q4291-$B$4</f>
        <v>47.438053837571942</v>
      </c>
      <c r="S4291" s="4">
        <f t="shared" ref="S4291:S4354" ca="1" si="372">R4291*$B$12+0.5*$B$13*R4291^2</f>
        <v>24.929663450689507</v>
      </c>
    </row>
    <row r="4292" spans="15:19" x14ac:dyDescent="0.2">
      <c r="O4292" s="4">
        <f t="shared" ca="1" si="368"/>
        <v>6.6956465264053966E-2</v>
      </c>
      <c r="P4292" s="4">
        <f t="shared" ca="1" si="369"/>
        <v>-1.4988485335899813</v>
      </c>
      <c r="Q4292" s="4">
        <f t="shared" ca="1" si="370"/>
        <v>1968.6718339416557</v>
      </c>
      <c r="R4292" s="4">
        <f t="shared" ca="1" si="371"/>
        <v>45.001789941655716</v>
      </c>
      <c r="S4292" s="4">
        <f t="shared" ca="1" si="372"/>
        <v>23.604727616868797</v>
      </c>
    </row>
    <row r="4293" spans="15:19" x14ac:dyDescent="0.2">
      <c r="O4293" s="4">
        <f t="shared" ca="1" si="368"/>
        <v>3.9861500290626184E-2</v>
      </c>
      <c r="P4293" s="4">
        <f t="shared" ca="1" si="369"/>
        <v>-1.7522955514839007</v>
      </c>
      <c r="Q4293" s="4">
        <f t="shared" ca="1" si="370"/>
        <v>1976.3500000959586</v>
      </c>
      <c r="R4293" s="4">
        <f t="shared" ca="1" si="371"/>
        <v>52.679956095958687</v>
      </c>
      <c r="S4293" s="4">
        <f t="shared" ca="1" si="372"/>
        <v>27.796799238803395</v>
      </c>
    </row>
    <row r="4294" spans="15:19" x14ac:dyDescent="0.2">
      <c r="O4294" s="4">
        <f t="shared" ca="1" si="368"/>
        <v>0.67286573613475209</v>
      </c>
      <c r="P4294" s="4">
        <f t="shared" ca="1" si="369"/>
        <v>0.44784020130154428</v>
      </c>
      <c r="Q4294" s="4">
        <f t="shared" ca="1" si="370"/>
        <v>1909.6969851491422</v>
      </c>
      <c r="R4294" s="4">
        <f t="shared" ca="1" si="371"/>
        <v>-13.973058850857797</v>
      </c>
      <c r="S4294" s="4">
        <f t="shared" ca="1" si="372"/>
        <v>-6.993820464946146</v>
      </c>
    </row>
    <row r="4295" spans="15:19" x14ac:dyDescent="0.2">
      <c r="O4295" s="4">
        <f t="shared" ca="1" si="368"/>
        <v>0.4203342482968222</v>
      </c>
      <c r="P4295" s="4">
        <f t="shared" ca="1" si="369"/>
        <v>-0.20103846590379834</v>
      </c>
      <c r="Q4295" s="4">
        <f t="shared" ca="1" si="370"/>
        <v>1929.3547355625665</v>
      </c>
      <c r="R4295" s="4">
        <f t="shared" ca="1" si="371"/>
        <v>5.6846915625665133</v>
      </c>
      <c r="S4295" s="4">
        <f t="shared" ca="1" si="372"/>
        <v>2.8908012843585071</v>
      </c>
    </row>
    <row r="4296" spans="15:19" x14ac:dyDescent="0.2">
      <c r="O4296" s="4">
        <f t="shared" ca="1" si="368"/>
        <v>0.8924543767371379</v>
      </c>
      <c r="P4296" s="4">
        <f t="shared" ca="1" si="369"/>
        <v>1.239686840085737</v>
      </c>
      <c r="Q4296" s="4">
        <f t="shared" ca="1" si="370"/>
        <v>1885.7080263843707</v>
      </c>
      <c r="R4296" s="4">
        <f t="shared" ca="1" si="371"/>
        <v>-37.962017615629293</v>
      </c>
      <c r="S4296" s="4">
        <f t="shared" ca="1" si="372"/>
        <v>-18.630111673130166</v>
      </c>
    </row>
    <row r="4297" spans="15:19" x14ac:dyDescent="0.2">
      <c r="O4297" s="4">
        <f t="shared" ca="1" si="368"/>
        <v>0.28892405864552273</v>
      </c>
      <c r="P4297" s="4">
        <f t="shared" ca="1" si="369"/>
        <v>-0.55653069438522196</v>
      </c>
      <c r="Q4297" s="4">
        <f t="shared" ca="1" si="370"/>
        <v>1940.1243568409134</v>
      </c>
      <c r="R4297" s="4">
        <f t="shared" ca="1" si="371"/>
        <v>16.454312840913417</v>
      </c>
      <c r="S4297" s="4">
        <f t="shared" ca="1" si="372"/>
        <v>8.4395460462929215</v>
      </c>
    </row>
    <row r="4298" spans="15:19" x14ac:dyDescent="0.2">
      <c r="O4298" s="4">
        <f t="shared" ca="1" si="368"/>
        <v>8.9188523991929891E-2</v>
      </c>
      <c r="P4298" s="4">
        <f t="shared" ca="1" si="369"/>
        <v>-1.3457689314581642</v>
      </c>
      <c r="Q4298" s="4">
        <f t="shared" ca="1" si="370"/>
        <v>1964.0342941916529</v>
      </c>
      <c r="R4298" s="4">
        <f t="shared" ca="1" si="371"/>
        <v>40.3642501916529</v>
      </c>
      <c r="S4298" s="4">
        <f t="shared" ca="1" si="372"/>
        <v>21.096005584891291</v>
      </c>
    </row>
    <row r="4299" spans="15:19" x14ac:dyDescent="0.2">
      <c r="O4299" s="4">
        <f t="shared" ca="1" si="368"/>
        <v>0.15266427481638545</v>
      </c>
      <c r="P4299" s="4">
        <f t="shared" ca="1" si="369"/>
        <v>-1.025073412468235</v>
      </c>
      <c r="Q4299" s="4">
        <f t="shared" ca="1" si="370"/>
        <v>1954.3188376824119</v>
      </c>
      <c r="R4299" s="4">
        <f t="shared" ca="1" si="371"/>
        <v>30.648793682411906</v>
      </c>
      <c r="S4299" s="4">
        <f t="shared" ca="1" si="372"/>
        <v>15.897099452718065</v>
      </c>
    </row>
    <row r="4300" spans="15:19" x14ac:dyDescent="0.2">
      <c r="O4300" s="4">
        <f t="shared" ca="1" si="368"/>
        <v>0.15192553840045886</v>
      </c>
      <c r="P4300" s="4">
        <f t="shared" ca="1" si="369"/>
        <v>-1.028209954677638</v>
      </c>
      <c r="Q4300" s="4">
        <f t="shared" ca="1" si="370"/>
        <v>1954.4138590893863</v>
      </c>
      <c r="R4300" s="4">
        <f t="shared" ca="1" si="371"/>
        <v>30.743815089386317</v>
      </c>
      <c r="S4300" s="4">
        <f t="shared" ca="1" si="372"/>
        <v>15.947574903600042</v>
      </c>
    </row>
    <row r="4301" spans="15:19" x14ac:dyDescent="0.2">
      <c r="O4301" s="4">
        <f t="shared" ca="1" si="368"/>
        <v>0.20709050996116529</v>
      </c>
      <c r="P4301" s="4">
        <f t="shared" ca="1" si="369"/>
        <v>-0.81655807932345448</v>
      </c>
      <c r="Q4301" s="4">
        <f t="shared" ca="1" si="370"/>
        <v>1948.0018749226624</v>
      </c>
      <c r="R4301" s="4">
        <f t="shared" ca="1" si="371"/>
        <v>24.331830922662448</v>
      </c>
      <c r="S4301" s="4">
        <f t="shared" ca="1" si="372"/>
        <v>12.558011589690331</v>
      </c>
    </row>
    <row r="4302" spans="15:19" x14ac:dyDescent="0.2">
      <c r="O4302" s="4">
        <f t="shared" ca="1" si="368"/>
        <v>0.91243345120693475</v>
      </c>
      <c r="P4302" s="4">
        <f t="shared" ca="1" si="369"/>
        <v>1.3558933691431498</v>
      </c>
      <c r="Q4302" s="4">
        <f t="shared" ca="1" si="370"/>
        <v>1882.1875547460297</v>
      </c>
      <c r="R4302" s="4">
        <f t="shared" ca="1" si="371"/>
        <v>-41.482489253970243</v>
      </c>
      <c r="S4302" s="4">
        <f t="shared" ca="1" si="372"/>
        <v>-20.298358909709602</v>
      </c>
    </row>
    <row r="4303" spans="15:19" x14ac:dyDescent="0.2">
      <c r="O4303" s="4">
        <f t="shared" ca="1" si="368"/>
        <v>0.38954636345360005</v>
      </c>
      <c r="P4303" s="4">
        <f t="shared" ca="1" si="369"/>
        <v>-0.28050156244105995</v>
      </c>
      <c r="Q4303" s="4">
        <f t="shared" ca="1" si="370"/>
        <v>1931.7620665440813</v>
      </c>
      <c r="R4303" s="4">
        <f t="shared" ca="1" si="371"/>
        <v>8.0920225440813738</v>
      </c>
      <c r="S4303" s="4">
        <f t="shared" ca="1" si="372"/>
        <v>4.1229163027115376</v>
      </c>
    </row>
    <row r="4304" spans="15:19" x14ac:dyDescent="0.2">
      <c r="O4304" s="4">
        <f t="shared" ca="1" si="368"/>
        <v>0.76125167944005656</v>
      </c>
      <c r="P4304" s="4">
        <f t="shared" ca="1" si="369"/>
        <v>0.71033464414054914</v>
      </c>
      <c r="Q4304" s="4">
        <f t="shared" ca="1" si="370"/>
        <v>1901.7447276578241</v>
      </c>
      <c r="R4304" s="4">
        <f t="shared" ca="1" si="371"/>
        <v>-21.925316342175847</v>
      </c>
      <c r="S4304" s="4">
        <f t="shared" ca="1" si="372"/>
        <v>-10.903123775492492</v>
      </c>
    </row>
    <row r="4305" spans="15:19" x14ac:dyDescent="0.2">
      <c r="O4305" s="4">
        <f t="shared" ca="1" si="368"/>
        <v>0.69827465224349361</v>
      </c>
      <c r="P4305" s="4">
        <f t="shared" ca="1" si="369"/>
        <v>0.51944465873487811</v>
      </c>
      <c r="Q4305" s="4">
        <f t="shared" ca="1" si="370"/>
        <v>1907.5277312903652</v>
      </c>
      <c r="R4305" s="4">
        <f t="shared" ca="1" si="371"/>
        <v>-16.14231270963478</v>
      </c>
      <c r="S4305" s="4">
        <f t="shared" ca="1" si="372"/>
        <v>-8.0653250439366122</v>
      </c>
    </row>
    <row r="4306" spans="15:19" x14ac:dyDescent="0.2">
      <c r="O4306" s="4">
        <f t="shared" ca="1" si="368"/>
        <v>0.81130832690846133</v>
      </c>
      <c r="P4306" s="4">
        <f t="shared" ca="1" si="369"/>
        <v>0.88272782203850619</v>
      </c>
      <c r="Q4306" s="4">
        <f t="shared" ca="1" si="370"/>
        <v>1896.5220839874896</v>
      </c>
      <c r="R4306" s="4">
        <f t="shared" ca="1" si="371"/>
        <v>-27.147960012510339</v>
      </c>
      <c r="S4306" s="4">
        <f t="shared" ca="1" si="372"/>
        <v>-13.442548474591762</v>
      </c>
    </row>
    <row r="4307" spans="15:19" x14ac:dyDescent="0.2">
      <c r="O4307" s="4">
        <f t="shared" ca="1" si="368"/>
        <v>0.94564868570953542</v>
      </c>
      <c r="P4307" s="4">
        <f t="shared" ca="1" si="369"/>
        <v>1.6040518294834294</v>
      </c>
      <c r="Q4307" s="4">
        <f t="shared" ca="1" si="370"/>
        <v>1874.6696052080072</v>
      </c>
      <c r="R4307" s="4">
        <f t="shared" ca="1" si="371"/>
        <v>-49.000438791992792</v>
      </c>
      <c r="S4307" s="4">
        <f t="shared" ca="1" si="372"/>
        <v>-23.827111355478067</v>
      </c>
    </row>
    <row r="4308" spans="15:19" x14ac:dyDescent="0.2">
      <c r="O4308" s="4">
        <f t="shared" ca="1" si="368"/>
        <v>0.28344345541533422</v>
      </c>
      <c r="P4308" s="4">
        <f t="shared" ca="1" si="369"/>
        <v>-0.5726423028059896</v>
      </c>
      <c r="Q4308" s="4">
        <f t="shared" ca="1" si="370"/>
        <v>1940.6124573026814</v>
      </c>
      <c r="R4308" s="4">
        <f t="shared" ca="1" si="371"/>
        <v>16.942413302681416</v>
      </c>
      <c r="S4308" s="4">
        <f t="shared" ca="1" si="372"/>
        <v>8.6932628990665162</v>
      </c>
    </row>
    <row r="4309" spans="15:19" x14ac:dyDescent="0.2">
      <c r="O4309" s="4">
        <f t="shared" ca="1" si="368"/>
        <v>0.53505469365815728</v>
      </c>
      <c r="P4309" s="4">
        <f t="shared" ca="1" si="369"/>
        <v>8.7982465388021583E-2</v>
      </c>
      <c r="Q4309" s="4">
        <f t="shared" ca="1" si="370"/>
        <v>1920.5988592813201</v>
      </c>
      <c r="R4309" s="4">
        <f t="shared" ca="1" si="371"/>
        <v>-3.0711847186798877</v>
      </c>
      <c r="S4309" s="4">
        <f t="shared" ca="1" si="372"/>
        <v>-1.5508242381509145</v>
      </c>
    </row>
    <row r="4310" spans="15:19" x14ac:dyDescent="0.2">
      <c r="O4310" s="4">
        <f t="shared" ca="1" si="368"/>
        <v>0.40993965913902819</v>
      </c>
      <c r="P4310" s="4">
        <f t="shared" ca="1" si="369"/>
        <v>-0.22770019828527877</v>
      </c>
      <c r="Q4310" s="4">
        <f t="shared" ca="1" si="370"/>
        <v>1930.1624515613094</v>
      </c>
      <c r="R4310" s="4">
        <f t="shared" ca="1" si="371"/>
        <v>6.4924075613093919</v>
      </c>
      <c r="S4310" s="4">
        <f t="shared" ca="1" si="372"/>
        <v>3.3036788198799276</v>
      </c>
    </row>
    <row r="4311" spans="15:19" x14ac:dyDescent="0.2">
      <c r="O4311" s="4">
        <f t="shared" ca="1" si="368"/>
        <v>0.41726911711199333</v>
      </c>
      <c r="P4311" s="4">
        <f t="shared" ca="1" si="369"/>
        <v>-0.20888471807278403</v>
      </c>
      <c r="Q4311" s="4">
        <f t="shared" ca="1" si="370"/>
        <v>1929.5924374236602</v>
      </c>
      <c r="R4311" s="4">
        <f t="shared" ca="1" si="371"/>
        <v>5.9223934236601963</v>
      </c>
      <c r="S4311" s="4">
        <f t="shared" ca="1" si="372"/>
        <v>3.0122514091681176</v>
      </c>
    </row>
    <row r="4312" spans="15:19" x14ac:dyDescent="0.2">
      <c r="O4312" s="4">
        <f t="shared" ca="1" si="368"/>
        <v>0.91567625021485166</v>
      </c>
      <c r="P4312" s="4">
        <f t="shared" ca="1" si="369"/>
        <v>1.3765626680671064</v>
      </c>
      <c r="Q4312" s="4">
        <f t="shared" ca="1" si="370"/>
        <v>1881.5613792528245</v>
      </c>
      <c r="R4312" s="4">
        <f t="shared" ca="1" si="371"/>
        <v>-42.108664747175453</v>
      </c>
      <c r="S4312" s="4">
        <f t="shared" ca="1" si="372"/>
        <v>-20.594027962277625</v>
      </c>
    </row>
    <row r="4313" spans="15:19" x14ac:dyDescent="0.2">
      <c r="O4313" s="4">
        <f t="shared" ca="1" si="368"/>
        <v>0.41330011166267566</v>
      </c>
      <c r="P4313" s="4">
        <f t="shared" ca="1" si="369"/>
        <v>-0.21906396170260084</v>
      </c>
      <c r="Q4313" s="4">
        <f t="shared" ca="1" si="370"/>
        <v>1929.9008171574774</v>
      </c>
      <c r="R4313" s="4">
        <f t="shared" ca="1" si="371"/>
        <v>6.2307731574774152</v>
      </c>
      <c r="S4313" s="4">
        <f t="shared" ca="1" si="372"/>
        <v>3.169881861062311</v>
      </c>
    </row>
    <row r="4314" spans="15:19" x14ac:dyDescent="0.2">
      <c r="O4314" s="4">
        <f t="shared" ca="1" si="368"/>
        <v>0.23327684916494651</v>
      </c>
      <c r="P4314" s="4">
        <f t="shared" ca="1" si="369"/>
        <v>-0.72809783618453872</v>
      </c>
      <c r="Q4314" s="4">
        <f t="shared" ca="1" si="370"/>
        <v>1945.3219757843146</v>
      </c>
      <c r="R4314" s="4">
        <f t="shared" ca="1" si="371"/>
        <v>21.651931784314684</v>
      </c>
      <c r="S4314" s="4">
        <f t="shared" ca="1" si="372"/>
        <v>11.151256504340376</v>
      </c>
    </row>
    <row r="4315" spans="15:19" x14ac:dyDescent="0.2">
      <c r="O4315" s="4">
        <f t="shared" ca="1" si="368"/>
        <v>0.14488218745939019</v>
      </c>
      <c r="P4315" s="4">
        <f t="shared" ca="1" si="369"/>
        <v>-1.0586386562734813</v>
      </c>
      <c r="Q4315" s="4">
        <f t="shared" ca="1" si="370"/>
        <v>1955.3356952532288</v>
      </c>
      <c r="R4315" s="4">
        <f t="shared" ca="1" si="371"/>
        <v>31.665651253228816</v>
      </c>
      <c r="S4315" s="4">
        <f t="shared" ca="1" si="372"/>
        <v>16.437636622019294</v>
      </c>
    </row>
    <row r="4316" spans="15:19" x14ac:dyDescent="0.2">
      <c r="O4316" s="4">
        <f t="shared" ca="1" si="368"/>
        <v>0.18281487625259973</v>
      </c>
      <c r="P4316" s="4">
        <f t="shared" ca="1" si="369"/>
        <v>-0.90468978830065416</v>
      </c>
      <c r="Q4316" s="4">
        <f t="shared" ca="1" si="370"/>
        <v>1950.6718211331672</v>
      </c>
      <c r="R4316" s="4">
        <f t="shared" ca="1" si="371"/>
        <v>27.001777133167252</v>
      </c>
      <c r="S4316" s="4">
        <f t="shared" ca="1" si="372"/>
        <v>13.965356595983115</v>
      </c>
    </row>
    <row r="4317" spans="15:19" x14ac:dyDescent="0.2">
      <c r="O4317" s="4">
        <f t="shared" ca="1" si="368"/>
        <v>0.44791296576163464</v>
      </c>
      <c r="P4317" s="4">
        <f t="shared" ca="1" si="369"/>
        <v>-0.13093600558771556</v>
      </c>
      <c r="Q4317" s="4">
        <f t="shared" ca="1" si="370"/>
        <v>1927.2309846397698</v>
      </c>
      <c r="R4317" s="4">
        <f t="shared" ca="1" si="371"/>
        <v>3.5609406397697967</v>
      </c>
      <c r="S4317" s="4">
        <f t="shared" ca="1" si="372"/>
        <v>1.807744790114941</v>
      </c>
    </row>
    <row r="4318" spans="15:19" x14ac:dyDescent="0.2">
      <c r="O4318" s="4">
        <f t="shared" ca="1" si="368"/>
        <v>0.65308660859862755</v>
      </c>
      <c r="P4318" s="4">
        <f t="shared" ca="1" si="369"/>
        <v>0.39366716982072442</v>
      </c>
      <c r="Q4318" s="4">
        <f t="shared" ca="1" si="370"/>
        <v>1911.3381547326255</v>
      </c>
      <c r="R4318" s="4">
        <f t="shared" ca="1" si="371"/>
        <v>-12.331889267374436</v>
      </c>
      <c r="S4318" s="4">
        <f t="shared" ca="1" si="372"/>
        <v>-6.1806178836856915</v>
      </c>
    </row>
    <row r="4319" spans="15:19" x14ac:dyDescent="0.2">
      <c r="O4319" s="4">
        <f t="shared" ca="1" si="368"/>
        <v>2.6596598551953732E-2</v>
      </c>
      <c r="P4319" s="4">
        <f t="shared" ca="1" si="369"/>
        <v>-1.933349180740489</v>
      </c>
      <c r="Q4319" s="4">
        <f t="shared" ca="1" si="370"/>
        <v>1981.8350117556877</v>
      </c>
      <c r="R4319" s="4">
        <f t="shared" ca="1" si="371"/>
        <v>58.164967755687712</v>
      </c>
      <c r="S4319" s="4">
        <f t="shared" ca="1" si="372"/>
        <v>30.820858134181041</v>
      </c>
    </row>
    <row r="4320" spans="15:19" x14ac:dyDescent="0.2">
      <c r="O4320" s="4">
        <f t="shared" ca="1" si="368"/>
        <v>0.66755316138277998</v>
      </c>
      <c r="P4320" s="4">
        <f t="shared" ca="1" si="369"/>
        <v>0.43316668860206242</v>
      </c>
      <c r="Q4320" s="4">
        <f t="shared" ca="1" si="370"/>
        <v>1910.1415185648839</v>
      </c>
      <c r="R4320" s="4">
        <f t="shared" ca="1" si="371"/>
        <v>-13.52852543511608</v>
      </c>
      <c r="S4320" s="4">
        <f t="shared" ca="1" si="372"/>
        <v>-6.7737698689381007</v>
      </c>
    </row>
    <row r="4321" spans="15:19" x14ac:dyDescent="0.2">
      <c r="O4321" s="4">
        <f t="shared" ca="1" si="368"/>
        <v>0.23620673907428824</v>
      </c>
      <c r="P4321" s="4">
        <f t="shared" ca="1" si="369"/>
        <v>-0.71855770989106171</v>
      </c>
      <c r="Q4321" s="4">
        <f t="shared" ca="1" si="370"/>
        <v>1945.0329580818259</v>
      </c>
      <c r="R4321" s="4">
        <f t="shared" ca="1" si="371"/>
        <v>21.36291408182592</v>
      </c>
      <c r="S4321" s="4">
        <f t="shared" ca="1" si="372"/>
        <v>10.999892206688074</v>
      </c>
    </row>
    <row r="4322" spans="15:19" x14ac:dyDescent="0.2">
      <c r="O4322" s="4">
        <f t="shared" ca="1" si="368"/>
        <v>0.25212734258306746</v>
      </c>
      <c r="P4322" s="4">
        <f t="shared" ca="1" si="369"/>
        <v>-0.66781030905081951</v>
      </c>
      <c r="Q4322" s="4">
        <f t="shared" ca="1" si="370"/>
        <v>1943.4955678265046</v>
      </c>
      <c r="R4322" s="4">
        <f t="shared" ca="1" si="371"/>
        <v>19.82552382650465</v>
      </c>
      <c r="S4322" s="4">
        <f t="shared" ca="1" si="372"/>
        <v>10.195873477141445</v>
      </c>
    </row>
    <row r="4323" spans="15:19" x14ac:dyDescent="0.2">
      <c r="O4323" s="4">
        <f t="shared" ca="1" si="368"/>
        <v>1.5857683214463125E-2</v>
      </c>
      <c r="P4323" s="4">
        <f t="shared" ca="1" si="369"/>
        <v>-2.1479797215917786</v>
      </c>
      <c r="Q4323" s="4">
        <f t="shared" ca="1" si="370"/>
        <v>1988.3372344613972</v>
      </c>
      <c r="R4323" s="4">
        <f t="shared" ca="1" si="371"/>
        <v>64.66719046139724</v>
      </c>
      <c r="S4323" s="4">
        <f t="shared" ca="1" si="372"/>
        <v>34.437465839414003</v>
      </c>
    </row>
    <row r="4324" spans="15:19" x14ac:dyDescent="0.2">
      <c r="O4324" s="4">
        <f t="shared" ca="1" si="368"/>
        <v>0.12070901396621159</v>
      </c>
      <c r="P4324" s="4">
        <f t="shared" ca="1" si="369"/>
        <v>-1.1714497922319989</v>
      </c>
      <c r="Q4324" s="4">
        <f t="shared" ca="1" si="370"/>
        <v>1958.753303608391</v>
      </c>
      <c r="R4324" s="4">
        <f t="shared" ca="1" si="371"/>
        <v>35.083259608391018</v>
      </c>
      <c r="S4324" s="4">
        <f t="shared" ca="1" si="372"/>
        <v>18.260524744071844</v>
      </c>
    </row>
    <row r="4325" spans="15:19" x14ac:dyDescent="0.2">
      <c r="O4325" s="4">
        <f t="shared" ca="1" si="368"/>
        <v>0.71690398885003082</v>
      </c>
      <c r="P4325" s="4">
        <f t="shared" ca="1" si="369"/>
        <v>0.57366868599827525</v>
      </c>
      <c r="Q4325" s="4">
        <f t="shared" ca="1" si="370"/>
        <v>1905.8850167919131</v>
      </c>
      <c r="R4325" s="4">
        <f t="shared" ca="1" si="371"/>
        <v>-17.785027208086831</v>
      </c>
      <c r="S4325" s="4">
        <f t="shared" ca="1" si="372"/>
        <v>-8.8741960513302356</v>
      </c>
    </row>
    <row r="4326" spans="15:19" x14ac:dyDescent="0.2">
      <c r="O4326" s="4">
        <f t="shared" ca="1" si="368"/>
        <v>0.28127672201003628</v>
      </c>
      <c r="P4326" s="4">
        <f t="shared" ca="1" si="369"/>
        <v>-0.57905295244196553</v>
      </c>
      <c r="Q4326" s="4">
        <f t="shared" ca="1" si="370"/>
        <v>1940.806667648777</v>
      </c>
      <c r="R4326" s="4">
        <f t="shared" ca="1" si="371"/>
        <v>17.136623648777004</v>
      </c>
      <c r="S4326" s="4">
        <f t="shared" ca="1" si="372"/>
        <v>8.7942682668379977</v>
      </c>
    </row>
    <row r="4327" spans="15:19" x14ac:dyDescent="0.2">
      <c r="O4327" s="4">
        <f t="shared" ca="1" si="368"/>
        <v>0.17546411070121937</v>
      </c>
      <c r="P4327" s="4">
        <f t="shared" ca="1" si="369"/>
        <v>-0.9327903562609744</v>
      </c>
      <c r="Q4327" s="4">
        <f t="shared" ca="1" si="370"/>
        <v>1951.5231265918881</v>
      </c>
      <c r="R4327" s="4">
        <f t="shared" ca="1" si="371"/>
        <v>27.853082591888096</v>
      </c>
      <c r="S4327" s="4">
        <f t="shared" ca="1" si="372"/>
        <v>14.41530517466318</v>
      </c>
    </row>
    <row r="4328" spans="15:19" x14ac:dyDescent="0.2">
      <c r="O4328" s="4">
        <f t="shared" ca="1" si="368"/>
        <v>8.9330468595559265E-2</v>
      </c>
      <c r="P4328" s="4">
        <f t="shared" ca="1" si="369"/>
        <v>-1.3448894515757077</v>
      </c>
      <c r="Q4328" s="4">
        <f t="shared" ca="1" si="370"/>
        <v>1964.0076503876619</v>
      </c>
      <c r="R4328" s="4">
        <f t="shared" ca="1" si="371"/>
        <v>40.337606387661936</v>
      </c>
      <c r="S4328" s="4">
        <f t="shared" ca="1" si="372"/>
        <v>21.081642948277548</v>
      </c>
    </row>
    <row r="4329" spans="15:19" x14ac:dyDescent="0.2">
      <c r="O4329" s="4">
        <f t="shared" ca="1" si="368"/>
        <v>0.98905202025727523</v>
      </c>
      <c r="P4329" s="4">
        <f t="shared" ca="1" si="369"/>
        <v>2.2921678480316516</v>
      </c>
      <c r="Q4329" s="4">
        <f t="shared" ca="1" si="370"/>
        <v>1853.8231609777492</v>
      </c>
      <c r="R4329" s="4">
        <f t="shared" ca="1" si="371"/>
        <v>-69.846883022250722</v>
      </c>
      <c r="S4329" s="4">
        <f t="shared" ca="1" si="372"/>
        <v>-33.371253669075529</v>
      </c>
    </row>
    <row r="4330" spans="15:19" x14ac:dyDescent="0.2">
      <c r="O4330" s="4">
        <f t="shared" ca="1" si="368"/>
        <v>0.85179551348842419</v>
      </c>
      <c r="P4330" s="4">
        <f t="shared" ca="1" si="369"/>
        <v>1.0441651816282029</v>
      </c>
      <c r="Q4330" s="4">
        <f t="shared" ca="1" si="370"/>
        <v>1891.6313463463764</v>
      </c>
      <c r="R4330" s="4">
        <f t="shared" ca="1" si="371"/>
        <v>-32.038697653623558</v>
      </c>
      <c r="S4330" s="4">
        <f t="shared" ca="1" si="372"/>
        <v>-15.800454903610524</v>
      </c>
    </row>
    <row r="4331" spans="15:19" x14ac:dyDescent="0.2">
      <c r="O4331" s="4">
        <f t="shared" ca="1" si="368"/>
        <v>0.9090298622793973</v>
      </c>
      <c r="P4331" s="4">
        <f t="shared" ca="1" si="369"/>
        <v>1.3348046981248531</v>
      </c>
      <c r="Q4331" s="4">
        <f t="shared" ca="1" si="370"/>
        <v>1882.8264350982131</v>
      </c>
      <c r="R4331" s="4">
        <f t="shared" ca="1" si="371"/>
        <v>-40.843608901786865</v>
      </c>
      <c r="S4331" s="4">
        <f t="shared" ca="1" si="372"/>
        <v>-19.996361845014292</v>
      </c>
    </row>
    <row r="4332" spans="15:19" x14ac:dyDescent="0.2">
      <c r="O4332" s="4">
        <f t="shared" ca="1" si="368"/>
        <v>0.9511214642317859</v>
      </c>
      <c r="P4332" s="4">
        <f t="shared" ca="1" si="369"/>
        <v>1.6558259473580406</v>
      </c>
      <c r="Q4332" s="4">
        <f t="shared" ca="1" si="370"/>
        <v>1873.1011106057147</v>
      </c>
      <c r="R4332" s="4">
        <f t="shared" ca="1" si="371"/>
        <v>-50.568933394285295</v>
      </c>
      <c r="S4332" s="4">
        <f t="shared" ca="1" si="372"/>
        <v>-24.557525047862981</v>
      </c>
    </row>
    <row r="4333" spans="15:19" x14ac:dyDescent="0.2">
      <c r="O4333" s="4">
        <f t="shared" ca="1" si="368"/>
        <v>0.52913774629219745</v>
      </c>
      <c r="P4333" s="4">
        <f t="shared" ca="1" si="369"/>
        <v>7.3102556368557128E-2</v>
      </c>
      <c r="Q4333" s="4">
        <f t="shared" ca="1" si="370"/>
        <v>1921.0496454644119</v>
      </c>
      <c r="R4333" s="4">
        <f t="shared" ca="1" si="371"/>
        <v>-2.6203985355880377</v>
      </c>
      <c r="S4333" s="4">
        <f t="shared" ca="1" si="372"/>
        <v>-1.3236762691193562</v>
      </c>
    </row>
    <row r="4334" spans="15:19" x14ac:dyDescent="0.2">
      <c r="O4334" s="4">
        <f t="shared" ca="1" si="368"/>
        <v>0.15431578775702737</v>
      </c>
      <c r="P4334" s="4">
        <f t="shared" ca="1" si="369"/>
        <v>-1.018097600586066</v>
      </c>
      <c r="Q4334" s="4">
        <f t="shared" ca="1" si="370"/>
        <v>1954.107505771161</v>
      </c>
      <c r="R4334" s="4">
        <f t="shared" ca="1" si="371"/>
        <v>30.437461771160997</v>
      </c>
      <c r="S4334" s="4">
        <f t="shared" ca="1" si="372"/>
        <v>15.784866119226628</v>
      </c>
    </row>
    <row r="4335" spans="15:19" x14ac:dyDescent="0.2">
      <c r="O4335" s="4">
        <f t="shared" ca="1" si="368"/>
        <v>0.53496567560453989</v>
      </c>
      <c r="P4335" s="4">
        <f t="shared" ca="1" si="369"/>
        <v>8.7758467114687988E-2</v>
      </c>
      <c r="Q4335" s="4">
        <f t="shared" ca="1" si="370"/>
        <v>1920.6056452990656</v>
      </c>
      <c r="R4335" s="4">
        <f t="shared" ca="1" si="371"/>
        <v>-3.0643987009343618</v>
      </c>
      <c r="S4335" s="4">
        <f t="shared" ca="1" si="372"/>
        <v>-1.5474060383064534</v>
      </c>
    </row>
    <row r="4336" spans="15:19" x14ac:dyDescent="0.2">
      <c r="O4336" s="4">
        <f t="shared" ca="1" si="368"/>
        <v>0.69429571023894332</v>
      </c>
      <c r="P4336" s="4">
        <f t="shared" ca="1" si="369"/>
        <v>0.50806383086855489</v>
      </c>
      <c r="Q4336" s="4">
        <f t="shared" ca="1" si="370"/>
        <v>1907.8725129652782</v>
      </c>
      <c r="R4336" s="4">
        <f t="shared" ca="1" si="371"/>
        <v>-15.797531034721715</v>
      </c>
      <c r="S4336" s="4">
        <f t="shared" ca="1" si="372"/>
        <v>-7.8952759403631658</v>
      </c>
    </row>
    <row r="4337" spans="15:19" x14ac:dyDescent="0.2">
      <c r="O4337" s="4">
        <f t="shared" ca="1" si="368"/>
        <v>0.86851375477246362</v>
      </c>
      <c r="P4337" s="4">
        <f t="shared" ca="1" si="369"/>
        <v>1.1193930598092476</v>
      </c>
      <c r="Q4337" s="4">
        <f t="shared" ca="1" si="370"/>
        <v>1889.352321116924</v>
      </c>
      <c r="R4337" s="4">
        <f t="shared" ca="1" si="371"/>
        <v>-34.31772288307593</v>
      </c>
      <c r="S4337" s="4">
        <f t="shared" ca="1" si="372"/>
        <v>-16.892559550418564</v>
      </c>
    </row>
    <row r="4338" spans="15:19" x14ac:dyDescent="0.2">
      <c r="O4338" s="4">
        <f t="shared" ca="1" si="368"/>
        <v>0.72059271695472438</v>
      </c>
      <c r="P4338" s="4">
        <f t="shared" ca="1" si="369"/>
        <v>0.58460318428170965</v>
      </c>
      <c r="Q4338" s="4">
        <f t="shared" ca="1" si="370"/>
        <v>1905.5537566518972</v>
      </c>
      <c r="R4338" s="4">
        <f t="shared" ca="1" si="371"/>
        <v>-18.116287348102787</v>
      </c>
      <c r="S4338" s="4">
        <f t="shared" ca="1" si="372"/>
        <v>-9.0370420370729114</v>
      </c>
    </row>
    <row r="4339" spans="15:19" x14ac:dyDescent="0.2">
      <c r="O4339" s="4">
        <f t="shared" ca="1" si="368"/>
        <v>0.37368009233271204</v>
      </c>
      <c r="P4339" s="4">
        <f t="shared" ca="1" si="369"/>
        <v>-0.32212211559939335</v>
      </c>
      <c r="Q4339" s="4">
        <f t="shared" ca="1" si="370"/>
        <v>1933.0229593541021</v>
      </c>
      <c r="R4339" s="4">
        <f t="shared" ca="1" si="371"/>
        <v>9.3529153541021515</v>
      </c>
      <c r="S4339" s="4">
        <f t="shared" ca="1" si="372"/>
        <v>4.7701465682569237</v>
      </c>
    </row>
    <row r="4340" spans="15:19" x14ac:dyDescent="0.2">
      <c r="O4340" s="4">
        <f t="shared" ca="1" si="368"/>
        <v>0.73757151182685887</v>
      </c>
      <c r="P4340" s="4">
        <f t="shared" ca="1" si="369"/>
        <v>0.63587641468282907</v>
      </c>
      <c r="Q4340" s="4">
        <f t="shared" ca="1" si="370"/>
        <v>1904.0004364133752</v>
      </c>
      <c r="R4340" s="4">
        <f t="shared" ca="1" si="371"/>
        <v>-19.669607586624807</v>
      </c>
      <c r="S4340" s="4">
        <f t="shared" ca="1" si="372"/>
        <v>-9.7994556000301216</v>
      </c>
    </row>
    <row r="4341" spans="15:19" x14ac:dyDescent="0.2">
      <c r="O4341" s="4">
        <f t="shared" ca="1" si="368"/>
        <v>0.74044876502067691</v>
      </c>
      <c r="P4341" s="4">
        <f t="shared" ca="1" si="369"/>
        <v>0.64472953963115798</v>
      </c>
      <c r="Q4341" s="4">
        <f t="shared" ca="1" si="370"/>
        <v>1903.7322313861353</v>
      </c>
      <c r="R4341" s="4">
        <f t="shared" ca="1" si="371"/>
        <v>-19.937812613864708</v>
      </c>
      <c r="S4341" s="4">
        <f t="shared" ca="1" si="372"/>
        <v>-9.9308993524331779</v>
      </c>
    </row>
    <row r="4342" spans="15:19" x14ac:dyDescent="0.2">
      <c r="O4342" s="4">
        <f t="shared" ca="1" si="368"/>
        <v>0.2669974472424671</v>
      </c>
      <c r="P4342" s="4">
        <f t="shared" ca="1" si="369"/>
        <v>-0.62191935961524303</v>
      </c>
      <c r="Q4342" s="4">
        <f t="shared" ca="1" si="370"/>
        <v>1942.105303550866</v>
      </c>
      <c r="R4342" s="4">
        <f t="shared" ca="1" si="371"/>
        <v>18.435259550866022</v>
      </c>
      <c r="S4342" s="4">
        <f t="shared" ca="1" si="372"/>
        <v>9.4704550126923639</v>
      </c>
    </row>
    <row r="4343" spans="15:19" x14ac:dyDescent="0.2">
      <c r="O4343" s="4">
        <f t="shared" ca="1" si="368"/>
        <v>0.73591775766669565</v>
      </c>
      <c r="P4343" s="4">
        <f t="shared" ca="1" si="369"/>
        <v>0.63081042725404823</v>
      </c>
      <c r="Q4343" s="4">
        <f t="shared" ca="1" si="370"/>
        <v>1904.1539102776053</v>
      </c>
      <c r="R4343" s="4">
        <f t="shared" ca="1" si="371"/>
        <v>-19.51613372239467</v>
      </c>
      <c r="S4343" s="4">
        <f t="shared" ca="1" si="372"/>
        <v>-9.724213735784053</v>
      </c>
    </row>
    <row r="4344" spans="15:19" x14ac:dyDescent="0.2">
      <c r="O4344" s="4">
        <f t="shared" ca="1" si="368"/>
        <v>0.84336311941125408</v>
      </c>
      <c r="P4344" s="4">
        <f t="shared" ca="1" si="369"/>
        <v>1.0083764770722425</v>
      </c>
      <c r="Q4344" s="4">
        <f t="shared" ca="1" si="370"/>
        <v>1892.7155635619165</v>
      </c>
      <c r="R4344" s="4">
        <f t="shared" ca="1" si="371"/>
        <v>-30.954480438083465</v>
      </c>
      <c r="S4344" s="4">
        <f t="shared" ca="1" si="372"/>
        <v>-15.279415660574449</v>
      </c>
    </row>
    <row r="4345" spans="15:19" x14ac:dyDescent="0.2">
      <c r="O4345" s="4">
        <f t="shared" ca="1" si="368"/>
        <v>0.50883797414082765</v>
      </c>
      <c r="P4345" s="4">
        <f t="shared" ca="1" si="369"/>
        <v>2.2155328260536088E-2</v>
      </c>
      <c r="Q4345" s="4">
        <f t="shared" ca="1" si="370"/>
        <v>1922.5930894779385</v>
      </c>
      <c r="R4345" s="4">
        <f t="shared" ca="1" si="371"/>
        <v>-1.0769545220614418</v>
      </c>
      <c r="S4345" s="4">
        <f t="shared" ca="1" si="372"/>
        <v>-0.54469279621073508</v>
      </c>
    </row>
    <row r="4346" spans="15:19" x14ac:dyDescent="0.2">
      <c r="O4346" s="4">
        <f t="shared" ca="1" si="368"/>
        <v>0.34180010982547826</v>
      </c>
      <c r="P4346" s="4">
        <f t="shared" ca="1" si="369"/>
        <v>-0.40755525563697609</v>
      </c>
      <c r="Q4346" s="4">
        <f t="shared" ca="1" si="370"/>
        <v>1935.6111525383951</v>
      </c>
      <c r="R4346" s="4">
        <f t="shared" ca="1" si="371"/>
        <v>11.941108538395156</v>
      </c>
      <c r="S4346" s="4">
        <f t="shared" ca="1" si="372"/>
        <v>6.102750134829023</v>
      </c>
    </row>
    <row r="4347" spans="15:19" x14ac:dyDescent="0.2">
      <c r="O4347" s="4">
        <f t="shared" ca="1" si="368"/>
        <v>0.93405134912895926</v>
      </c>
      <c r="P4347" s="4">
        <f t="shared" ca="1" si="369"/>
        <v>1.5066620576838574</v>
      </c>
      <c r="Q4347" s="4">
        <f t="shared" ca="1" si="370"/>
        <v>1877.6200240206672</v>
      </c>
      <c r="R4347" s="4">
        <f t="shared" ca="1" si="371"/>
        <v>-46.050019979332774</v>
      </c>
      <c r="S4347" s="4">
        <f t="shared" ca="1" si="372"/>
        <v>-22.447738402324056</v>
      </c>
    </row>
    <row r="4348" spans="15:19" x14ac:dyDescent="0.2">
      <c r="O4348" s="4">
        <f t="shared" ca="1" si="368"/>
        <v>0.4625878747323271</v>
      </c>
      <c r="P4348" s="4">
        <f t="shared" ca="1" si="369"/>
        <v>-9.3916169174570213E-2</v>
      </c>
      <c r="Q4348" s="4">
        <f t="shared" ca="1" si="370"/>
        <v>1926.1094703392771</v>
      </c>
      <c r="R4348" s="4">
        <f t="shared" ca="1" si="371"/>
        <v>2.4394263392771336</v>
      </c>
      <c r="S4348" s="4">
        <f t="shared" ca="1" si="372"/>
        <v>1.237283894792933</v>
      </c>
    </row>
    <row r="4349" spans="15:19" x14ac:dyDescent="0.2">
      <c r="O4349" s="4">
        <f t="shared" ca="1" si="368"/>
        <v>0.4292469017159416</v>
      </c>
      <c r="P4349" s="4">
        <f t="shared" ca="1" si="369"/>
        <v>-0.17829181892715437</v>
      </c>
      <c r="Q4349" s="4">
        <f t="shared" ca="1" si="370"/>
        <v>1928.6656269023374</v>
      </c>
      <c r="R4349" s="4">
        <f t="shared" ca="1" si="371"/>
        <v>4.9955829023374463</v>
      </c>
      <c r="S4349" s="4">
        <f t="shared" ca="1" si="372"/>
        <v>2.5389717543656749</v>
      </c>
    </row>
    <row r="4350" spans="15:19" x14ac:dyDescent="0.2">
      <c r="O4350" s="4">
        <f t="shared" ca="1" si="368"/>
        <v>0.77556135651236224</v>
      </c>
      <c r="P4350" s="4">
        <f t="shared" ca="1" si="369"/>
        <v>0.75728808616581944</v>
      </c>
      <c r="Q4350" s="4">
        <f t="shared" ca="1" si="370"/>
        <v>1900.3222752163542</v>
      </c>
      <c r="R4350" s="4">
        <f t="shared" ca="1" si="371"/>
        <v>-23.347768783645733</v>
      </c>
      <c r="S4350" s="4">
        <f t="shared" ca="1" si="372"/>
        <v>-11.596968360235635</v>
      </c>
    </row>
    <row r="4351" spans="15:19" x14ac:dyDescent="0.2">
      <c r="O4351" s="4">
        <f t="shared" ca="1" si="368"/>
        <v>0.70416524039983253</v>
      </c>
      <c r="P4351" s="4">
        <f t="shared" ca="1" si="369"/>
        <v>0.53641825290242817</v>
      </c>
      <c r="Q4351" s="4">
        <f t="shared" ca="1" si="370"/>
        <v>1907.0135170086699</v>
      </c>
      <c r="R4351" s="4">
        <f t="shared" ca="1" si="371"/>
        <v>-16.656526991330111</v>
      </c>
      <c r="S4351" s="4">
        <f t="shared" ca="1" si="372"/>
        <v>-8.3187598703338725</v>
      </c>
    </row>
    <row r="4352" spans="15:19" x14ac:dyDescent="0.2">
      <c r="O4352" s="4">
        <f t="shared" ca="1" si="368"/>
        <v>0.25984501552459027</v>
      </c>
      <c r="P4352" s="4">
        <f t="shared" ca="1" si="369"/>
        <v>-0.64382328742035388</v>
      </c>
      <c r="Q4352" s="4">
        <f t="shared" ca="1" si="370"/>
        <v>1942.7688820712092</v>
      </c>
      <c r="R4352" s="4">
        <f t="shared" ca="1" si="371"/>
        <v>19.098838071209229</v>
      </c>
      <c r="S4352" s="4">
        <f t="shared" ca="1" si="372"/>
        <v>9.816503759703588</v>
      </c>
    </row>
    <row r="4353" spans="15:19" x14ac:dyDescent="0.2">
      <c r="O4353" s="4">
        <f t="shared" ca="1" si="368"/>
        <v>0.58665092011616526</v>
      </c>
      <c r="P4353" s="4">
        <f t="shared" ca="1" si="369"/>
        <v>0.2189382374780045</v>
      </c>
      <c r="Q4353" s="4">
        <f t="shared" ca="1" si="370"/>
        <v>1916.631559980159</v>
      </c>
      <c r="R4353" s="4">
        <f t="shared" ca="1" si="371"/>
        <v>-7.0384840198410075</v>
      </c>
      <c r="S4353" s="4">
        <f t="shared" ca="1" si="372"/>
        <v>-3.5427832379483619</v>
      </c>
    </row>
    <row r="4354" spans="15:19" x14ac:dyDescent="0.2">
      <c r="O4354" s="4">
        <f t="shared" ca="1" si="368"/>
        <v>0.67416720863767132</v>
      </c>
      <c r="P4354" s="4">
        <f t="shared" ca="1" si="369"/>
        <v>0.45144954350239636</v>
      </c>
      <c r="Q4354" s="4">
        <f t="shared" ca="1" si="370"/>
        <v>1909.5876402874185</v>
      </c>
      <c r="R4354" s="4">
        <f t="shared" ca="1" si="371"/>
        <v>-14.082403712581481</v>
      </c>
      <c r="S4354" s="4">
        <f t="shared" ca="1" si="372"/>
        <v>-7.0479231302934906</v>
      </c>
    </row>
    <row r="4355" spans="15:19" x14ac:dyDescent="0.2">
      <c r="O4355" s="4">
        <f t="shared" ref="O4355:O4418" ca="1" si="373">RAND()</f>
        <v>0.93349332817772546</v>
      </c>
      <c r="P4355" s="4">
        <f t="shared" ref="P4355:P4418" ca="1" si="374">NORMSINV(O4355)</f>
        <v>1.5023244250248233</v>
      </c>
      <c r="Q4355" s="4">
        <f t="shared" ref="Q4355:Q4418" ca="1" si="375">$B$4*(1+$B$17-$B$6/SQRT(252)*P4355)</f>
        <v>1877.7514324094861</v>
      </c>
      <c r="R4355" s="4">
        <f t="shared" ref="R4355:R4418" ca="1" si="376">Q4355-$B$4</f>
        <v>-45.918611590513819</v>
      </c>
      <c r="S4355" s="4">
        <f t="shared" ref="S4355:S4418" ca="1" si="377">R4355*$B$12+0.5*$B$13*R4355^2</f>
        <v>-22.386137803421718</v>
      </c>
    </row>
    <row r="4356" spans="15:19" x14ac:dyDescent="0.2">
      <c r="O4356" s="4">
        <f t="shared" ca="1" si="373"/>
        <v>0.98223134675465673</v>
      </c>
      <c r="P4356" s="4">
        <f t="shared" ca="1" si="374"/>
        <v>2.1021823365141921</v>
      </c>
      <c r="Q4356" s="4">
        <f t="shared" ca="1" si="375"/>
        <v>1859.5787636140049</v>
      </c>
      <c r="R4356" s="4">
        <f t="shared" ca="1" si="376"/>
        <v>-64.091280385995105</v>
      </c>
      <c r="S4356" s="4">
        <f t="shared" ca="1" si="377"/>
        <v>-30.771518807266823</v>
      </c>
    </row>
    <row r="4357" spans="15:19" x14ac:dyDescent="0.2">
      <c r="O4357" s="4">
        <f t="shared" ca="1" si="373"/>
        <v>0.8965580765930693</v>
      </c>
      <c r="P4357" s="4">
        <f t="shared" ca="1" si="374"/>
        <v>1.2621804916091888</v>
      </c>
      <c r="Q4357" s="4">
        <f t="shared" ca="1" si="375"/>
        <v>1885.0265822101633</v>
      </c>
      <c r="R4357" s="4">
        <f t="shared" ca="1" si="376"/>
        <v>-38.643461789836692</v>
      </c>
      <c r="S4357" s="4">
        <f t="shared" ca="1" si="377"/>
        <v>-18.953815415483959</v>
      </c>
    </row>
    <row r="4358" spans="15:19" x14ac:dyDescent="0.2">
      <c r="O4358" s="4">
        <f t="shared" ca="1" si="373"/>
        <v>0.24110234639412276</v>
      </c>
      <c r="P4358" s="4">
        <f t="shared" ca="1" si="374"/>
        <v>-0.70276102053124623</v>
      </c>
      <c r="Q4358" s="4">
        <f t="shared" ca="1" si="375"/>
        <v>1944.5543980790274</v>
      </c>
      <c r="R4358" s="4">
        <f t="shared" ca="1" si="376"/>
        <v>20.884354079027389</v>
      </c>
      <c r="S4358" s="4">
        <f t="shared" ca="1" si="377"/>
        <v>10.749410380148731</v>
      </c>
    </row>
    <row r="4359" spans="15:19" x14ac:dyDescent="0.2">
      <c r="O4359" s="4">
        <f t="shared" ca="1" si="373"/>
        <v>0.97116077867842998</v>
      </c>
      <c r="P4359" s="4">
        <f t="shared" ca="1" si="374"/>
        <v>1.8981339216097997</v>
      </c>
      <c r="Q4359" s="4">
        <f t="shared" ca="1" si="375"/>
        <v>1865.7604012839886</v>
      </c>
      <c r="R4359" s="4">
        <f t="shared" ca="1" si="376"/>
        <v>-57.909642716011376</v>
      </c>
      <c r="S4359" s="4">
        <f t="shared" ca="1" si="377"/>
        <v>-27.94931083714523</v>
      </c>
    </row>
    <row r="4360" spans="15:19" x14ac:dyDescent="0.2">
      <c r="O4360" s="4">
        <f t="shared" ca="1" si="373"/>
        <v>0.27396029937451138</v>
      </c>
      <c r="P4360" s="4">
        <f t="shared" ca="1" si="374"/>
        <v>-0.60087897361540876</v>
      </c>
      <c r="Q4360" s="4">
        <f t="shared" ca="1" si="375"/>
        <v>1941.4678859911728</v>
      </c>
      <c r="R4360" s="4">
        <f t="shared" ca="1" si="376"/>
        <v>17.797841991172845</v>
      </c>
      <c r="S4360" s="4">
        <f t="shared" ca="1" si="377"/>
        <v>9.1383864863479243</v>
      </c>
    </row>
    <row r="4361" spans="15:19" x14ac:dyDescent="0.2">
      <c r="O4361" s="4">
        <f t="shared" ca="1" si="373"/>
        <v>0.73473416521706703</v>
      </c>
      <c r="P4361" s="4">
        <f t="shared" ca="1" si="374"/>
        <v>0.6271946197302527</v>
      </c>
      <c r="Q4361" s="4">
        <f t="shared" ca="1" si="375"/>
        <v>1904.2634510060004</v>
      </c>
      <c r="R4361" s="4">
        <f t="shared" ca="1" si="376"/>
        <v>-19.406592993999539</v>
      </c>
      <c r="S4361" s="4">
        <f t="shared" ca="1" si="377"/>
        <v>-9.6704987361829442</v>
      </c>
    </row>
    <row r="4362" spans="15:19" x14ac:dyDescent="0.2">
      <c r="O4362" s="4">
        <f t="shared" ca="1" si="373"/>
        <v>0.10141323257750434</v>
      </c>
      <c r="P4362" s="4">
        <f t="shared" ca="1" si="374"/>
        <v>-1.2735400641323709</v>
      </c>
      <c r="Q4362" s="4">
        <f t="shared" ca="1" si="375"/>
        <v>1961.846123862907</v>
      </c>
      <c r="R4362" s="4">
        <f t="shared" ca="1" si="376"/>
        <v>38.176079862907045</v>
      </c>
      <c r="S4362" s="4">
        <f t="shared" ca="1" si="377"/>
        <v>19.91837356917781</v>
      </c>
    </row>
    <row r="4363" spans="15:19" x14ac:dyDescent="0.2">
      <c r="O4363" s="4">
        <f t="shared" ca="1" si="373"/>
        <v>4.689084198948068E-2</v>
      </c>
      <c r="P4363" s="4">
        <f t="shared" ca="1" si="374"/>
        <v>-1.6757780047902178</v>
      </c>
      <c r="Q4363" s="4">
        <f t="shared" ca="1" si="375"/>
        <v>1974.0319044161758</v>
      </c>
      <c r="R4363" s="4">
        <f t="shared" ca="1" si="376"/>
        <v>50.361860416175887</v>
      </c>
      <c r="S4363" s="4">
        <f t="shared" ca="1" si="377"/>
        <v>26.526123623451102</v>
      </c>
    </row>
    <row r="4364" spans="15:19" x14ac:dyDescent="0.2">
      <c r="O4364" s="4">
        <f t="shared" ca="1" si="373"/>
        <v>0.26837633882635403</v>
      </c>
      <c r="P4364" s="4">
        <f t="shared" ca="1" si="374"/>
        <v>-0.61773099402216713</v>
      </c>
      <c r="Q4364" s="4">
        <f t="shared" ca="1" si="375"/>
        <v>1941.9784172011828</v>
      </c>
      <c r="R4364" s="4">
        <f t="shared" ca="1" si="376"/>
        <v>18.308373201182803</v>
      </c>
      <c r="S4364" s="4">
        <f t="shared" ca="1" si="377"/>
        <v>9.4043260348625441</v>
      </c>
    </row>
    <row r="4365" spans="15:19" x14ac:dyDescent="0.2">
      <c r="O4365" s="4">
        <f t="shared" ca="1" si="373"/>
        <v>0.93048884126497933</v>
      </c>
      <c r="P4365" s="4">
        <f t="shared" ca="1" si="374"/>
        <v>1.4794416424235872</v>
      </c>
      <c r="Q4365" s="4">
        <f t="shared" ca="1" si="375"/>
        <v>1878.444665292418</v>
      </c>
      <c r="R4365" s="4">
        <f t="shared" ca="1" si="376"/>
        <v>-45.225378707581967</v>
      </c>
      <c r="S4365" s="4">
        <f t="shared" ca="1" si="377"/>
        <v>-22.060936794431054</v>
      </c>
    </row>
    <row r="4366" spans="15:19" x14ac:dyDescent="0.2">
      <c r="O4366" s="4">
        <f t="shared" ca="1" si="373"/>
        <v>0.77637971704242403</v>
      </c>
      <c r="P4366" s="4">
        <f t="shared" ca="1" si="374"/>
        <v>0.76002345329431198</v>
      </c>
      <c r="Q4366" s="4">
        <f t="shared" ca="1" si="375"/>
        <v>1900.2394073906441</v>
      </c>
      <c r="R4366" s="4">
        <f t="shared" ca="1" si="376"/>
        <v>-23.430636609355815</v>
      </c>
      <c r="S4366" s="4">
        <f t="shared" ca="1" si="377"/>
        <v>-11.637338892073002</v>
      </c>
    </row>
    <row r="4367" spans="15:19" x14ac:dyDescent="0.2">
      <c r="O4367" s="4">
        <f t="shared" ca="1" si="373"/>
        <v>0.94873385446947789</v>
      </c>
      <c r="P4367" s="4">
        <f t="shared" ca="1" si="374"/>
        <v>1.6326991273958733</v>
      </c>
      <c r="Q4367" s="4">
        <f t="shared" ca="1" si="375"/>
        <v>1873.8017365896612</v>
      </c>
      <c r="R4367" s="4">
        <f t="shared" ca="1" si="376"/>
        <v>-49.86830741033873</v>
      </c>
      <c r="S4367" s="4">
        <f t="shared" ca="1" si="377"/>
        <v>-24.231506342415436</v>
      </c>
    </row>
    <row r="4368" spans="15:19" x14ac:dyDescent="0.2">
      <c r="O4368" s="4">
        <f t="shared" ca="1" si="373"/>
        <v>0.67111314461364424</v>
      </c>
      <c r="P4368" s="4">
        <f t="shared" ca="1" si="374"/>
        <v>0.44298897286779104</v>
      </c>
      <c r="Q4368" s="4">
        <f t="shared" ca="1" si="375"/>
        <v>1909.843952899153</v>
      </c>
      <c r="R4368" s="4">
        <f t="shared" ca="1" si="376"/>
        <v>-13.826091100846952</v>
      </c>
      <c r="S4368" s="4">
        <f t="shared" ca="1" si="377"/>
        <v>-6.9210870636404929</v>
      </c>
    </row>
    <row r="4369" spans="15:19" x14ac:dyDescent="0.2">
      <c r="O4369" s="4">
        <f t="shared" ca="1" si="373"/>
        <v>0.31464928280960591</v>
      </c>
      <c r="P4369" s="4">
        <f t="shared" ca="1" si="374"/>
        <v>-0.48271436004911578</v>
      </c>
      <c r="Q4369" s="4">
        <f t="shared" ca="1" si="375"/>
        <v>1937.8880942695723</v>
      </c>
      <c r="R4369" s="4">
        <f t="shared" ca="1" si="376"/>
        <v>14.218050269572359</v>
      </c>
      <c r="S4369" s="4">
        <f t="shared" ca="1" si="377"/>
        <v>7.2796065571631923</v>
      </c>
    </row>
    <row r="4370" spans="15:19" x14ac:dyDescent="0.2">
      <c r="O4370" s="4">
        <f t="shared" ca="1" si="373"/>
        <v>0.98063211714421017</v>
      </c>
      <c r="P4370" s="4">
        <f t="shared" ca="1" si="374"/>
        <v>2.0669828955057845</v>
      </c>
      <c r="Q4370" s="4">
        <f t="shared" ca="1" si="375"/>
        <v>1860.6451291165347</v>
      </c>
      <c r="R4370" s="4">
        <f t="shared" ca="1" si="376"/>
        <v>-63.024914883465271</v>
      </c>
      <c r="S4370" s="4">
        <f t="shared" ca="1" si="377"/>
        <v>-30.28689332510324</v>
      </c>
    </row>
    <row r="4371" spans="15:19" x14ac:dyDescent="0.2">
      <c r="O4371" s="4">
        <f t="shared" ca="1" si="373"/>
        <v>4.5879226880018442E-2</v>
      </c>
      <c r="P4371" s="4">
        <f t="shared" ca="1" si="374"/>
        <v>-1.686193924307414</v>
      </c>
      <c r="Q4371" s="4">
        <f t="shared" ca="1" si="375"/>
        <v>1974.3474542354929</v>
      </c>
      <c r="R4371" s="4">
        <f t="shared" ca="1" si="376"/>
        <v>50.677410235492971</v>
      </c>
      <c r="S4371" s="4">
        <f t="shared" ca="1" si="377"/>
        <v>26.698836589793174</v>
      </c>
    </row>
    <row r="4372" spans="15:19" x14ac:dyDescent="0.2">
      <c r="O4372" s="4">
        <f t="shared" ca="1" si="373"/>
        <v>0.74827182302656892</v>
      </c>
      <c r="P4372" s="4">
        <f t="shared" ca="1" si="374"/>
        <v>0.66906133366444887</v>
      </c>
      <c r="Q4372" s="4">
        <f t="shared" ca="1" si="375"/>
        <v>1902.9951007662041</v>
      </c>
      <c r="R4372" s="4">
        <f t="shared" ca="1" si="376"/>
        <v>-20.67494323379583</v>
      </c>
      <c r="S4372" s="4">
        <f t="shared" ca="1" si="377"/>
        <v>-10.291855699263529</v>
      </c>
    </row>
    <row r="4373" spans="15:19" x14ac:dyDescent="0.2">
      <c r="O4373" s="4">
        <f t="shared" ca="1" si="373"/>
        <v>0.35582788561048984</v>
      </c>
      <c r="P4373" s="4">
        <f t="shared" ca="1" si="374"/>
        <v>-0.36963325255705909</v>
      </c>
      <c r="Q4373" s="4">
        <f t="shared" ca="1" si="375"/>
        <v>1934.4623071387878</v>
      </c>
      <c r="R4373" s="4">
        <f t="shared" ca="1" si="376"/>
        <v>10.792263138787803</v>
      </c>
      <c r="S4373" s="4">
        <f t="shared" ca="1" si="377"/>
        <v>5.5105618610444829</v>
      </c>
    </row>
    <row r="4374" spans="15:19" x14ac:dyDescent="0.2">
      <c r="O4374" s="4">
        <f t="shared" ca="1" si="373"/>
        <v>5.9979342902748423E-3</v>
      </c>
      <c r="P4374" s="4">
        <f t="shared" ca="1" si="374"/>
        <v>-2.5122658382969068</v>
      </c>
      <c r="Q4374" s="4">
        <f t="shared" ca="1" si="375"/>
        <v>1999.3732661930412</v>
      </c>
      <c r="R4374" s="4">
        <f t="shared" ca="1" si="376"/>
        <v>75.703222193041256</v>
      </c>
      <c r="S4374" s="4">
        <f t="shared" ca="1" si="377"/>
        <v>40.654617296271049</v>
      </c>
    </row>
    <row r="4375" spans="15:19" x14ac:dyDescent="0.2">
      <c r="O4375" s="4">
        <f t="shared" ca="1" si="373"/>
        <v>0.25837564036703076</v>
      </c>
      <c r="P4375" s="4">
        <f t="shared" ca="1" si="374"/>
        <v>-0.6483613215790891</v>
      </c>
      <c r="Q4375" s="4">
        <f t="shared" ca="1" si="375"/>
        <v>1942.9063616145638</v>
      </c>
      <c r="R4375" s="4">
        <f t="shared" ca="1" si="376"/>
        <v>19.236317614563859</v>
      </c>
      <c r="S4375" s="4">
        <f t="shared" ca="1" si="377"/>
        <v>9.8882426279663118</v>
      </c>
    </row>
    <row r="4376" spans="15:19" x14ac:dyDescent="0.2">
      <c r="O4376" s="4">
        <f t="shared" ca="1" si="373"/>
        <v>0.13969511064817763</v>
      </c>
      <c r="P4376" s="4">
        <f t="shared" ca="1" si="374"/>
        <v>-1.0816901727576811</v>
      </c>
      <c r="Q4376" s="4">
        <f t="shared" ca="1" si="375"/>
        <v>1956.0340399216536</v>
      </c>
      <c r="R4376" s="4">
        <f t="shared" ca="1" si="376"/>
        <v>32.363995921653668</v>
      </c>
      <c r="S4376" s="4">
        <f t="shared" ca="1" si="377"/>
        <v>16.809347537237471</v>
      </c>
    </row>
    <row r="4377" spans="15:19" x14ac:dyDescent="0.2">
      <c r="O4377" s="4">
        <f t="shared" ca="1" si="373"/>
        <v>0.94256099000822657</v>
      </c>
      <c r="P4377" s="4">
        <f t="shared" ca="1" si="374"/>
        <v>1.5766415784526469</v>
      </c>
      <c r="Q4377" s="4">
        <f t="shared" ca="1" si="375"/>
        <v>1875.4999975459973</v>
      </c>
      <c r="R4377" s="4">
        <f t="shared" ca="1" si="376"/>
        <v>-48.170046454002659</v>
      </c>
      <c r="S4377" s="4">
        <f t="shared" ca="1" si="377"/>
        <v>-23.439604884127245</v>
      </c>
    </row>
    <row r="4378" spans="15:19" x14ac:dyDescent="0.2">
      <c r="O4378" s="4">
        <f t="shared" ca="1" si="373"/>
        <v>0.12318830937015091</v>
      </c>
      <c r="P4378" s="4">
        <f t="shared" ca="1" si="374"/>
        <v>-1.159195221671431</v>
      </c>
      <c r="Q4378" s="4">
        <f t="shared" ca="1" si="375"/>
        <v>1958.3820519373489</v>
      </c>
      <c r="R4378" s="4">
        <f t="shared" ca="1" si="376"/>
        <v>34.712007937348972</v>
      </c>
      <c r="S4378" s="4">
        <f t="shared" ca="1" si="377"/>
        <v>18.062045692914388</v>
      </c>
    </row>
    <row r="4379" spans="15:19" x14ac:dyDescent="0.2">
      <c r="O4379" s="4">
        <f t="shared" ca="1" si="373"/>
        <v>0.29705182969055033</v>
      </c>
      <c r="P4379" s="4">
        <f t="shared" ca="1" si="374"/>
        <v>-0.53289876615780307</v>
      </c>
      <c r="Q4379" s="4">
        <f t="shared" ca="1" si="375"/>
        <v>1939.4084286244977</v>
      </c>
      <c r="R4379" s="4">
        <f t="shared" ca="1" si="376"/>
        <v>15.738384624497712</v>
      </c>
      <c r="S4379" s="4">
        <f t="shared" ca="1" si="377"/>
        <v>8.0677541773883927</v>
      </c>
    </row>
    <row r="4380" spans="15:19" x14ac:dyDescent="0.2">
      <c r="O4380" s="4">
        <f t="shared" ca="1" si="373"/>
        <v>0.54427676894321664</v>
      </c>
      <c r="P4380" s="4">
        <f t="shared" ca="1" si="374"/>
        <v>0.11121423707879619</v>
      </c>
      <c r="Q4380" s="4">
        <f t="shared" ca="1" si="375"/>
        <v>1919.8950537894154</v>
      </c>
      <c r="R4380" s="4">
        <f t="shared" ca="1" si="376"/>
        <v>-3.7749902105845194</v>
      </c>
      <c r="S4380" s="4">
        <f t="shared" ca="1" si="377"/>
        <v>-1.9051360594716205</v>
      </c>
    </row>
    <row r="4381" spans="15:19" x14ac:dyDescent="0.2">
      <c r="O4381" s="4">
        <f t="shared" ca="1" si="373"/>
        <v>1.1944721342346143E-2</v>
      </c>
      <c r="P4381" s="4">
        <f t="shared" ca="1" si="374"/>
        <v>-2.2589026249548247</v>
      </c>
      <c r="Q4381" s="4">
        <f t="shared" ca="1" si="375"/>
        <v>1991.6976388939149</v>
      </c>
      <c r="R4381" s="4">
        <f t="shared" ca="1" si="376"/>
        <v>68.027594893914966</v>
      </c>
      <c r="S4381" s="4">
        <f t="shared" ca="1" si="377"/>
        <v>36.320050961281794</v>
      </c>
    </row>
    <row r="4382" spans="15:19" x14ac:dyDescent="0.2">
      <c r="O4382" s="4">
        <f t="shared" ca="1" si="373"/>
        <v>0.38312641863582031</v>
      </c>
      <c r="P4382" s="4">
        <f t="shared" ca="1" si="374"/>
        <v>-0.29727988503320985</v>
      </c>
      <c r="Q4382" s="4">
        <f t="shared" ca="1" si="375"/>
        <v>1932.2703650820699</v>
      </c>
      <c r="R4382" s="4">
        <f t="shared" ca="1" si="376"/>
        <v>8.6003210820699678</v>
      </c>
      <c r="S4382" s="4">
        <f t="shared" ca="1" si="377"/>
        <v>4.3836758591379583</v>
      </c>
    </row>
    <row r="4383" spans="15:19" x14ac:dyDescent="0.2">
      <c r="O4383" s="4">
        <f t="shared" ca="1" si="373"/>
        <v>0.29101723774560129</v>
      </c>
      <c r="P4383" s="4">
        <f t="shared" ca="1" si="374"/>
        <v>-0.55041541878875933</v>
      </c>
      <c r="Q4383" s="4">
        <f t="shared" ca="1" si="375"/>
        <v>1939.9390948382306</v>
      </c>
      <c r="R4383" s="4">
        <f t="shared" ca="1" si="376"/>
        <v>16.269050838230669</v>
      </c>
      <c r="S4383" s="4">
        <f t="shared" ca="1" si="377"/>
        <v>8.3432967911102107</v>
      </c>
    </row>
    <row r="4384" spans="15:19" x14ac:dyDescent="0.2">
      <c r="O4384" s="4">
        <f t="shared" ca="1" si="373"/>
        <v>0.33534524349374417</v>
      </c>
      <c r="P4384" s="4">
        <f t="shared" ca="1" si="374"/>
        <v>-0.42520054491744558</v>
      </c>
      <c r="Q4384" s="4">
        <f t="shared" ca="1" si="375"/>
        <v>1936.1457157937136</v>
      </c>
      <c r="R4384" s="4">
        <f t="shared" ca="1" si="376"/>
        <v>12.475671793713673</v>
      </c>
      <c r="S4384" s="4">
        <f t="shared" ca="1" si="377"/>
        <v>6.3786644858502966</v>
      </c>
    </row>
    <row r="4385" spans="15:19" x14ac:dyDescent="0.2">
      <c r="O4385" s="4">
        <f t="shared" ca="1" si="373"/>
        <v>0.14557307681663312</v>
      </c>
      <c r="P4385" s="4">
        <f t="shared" ca="1" si="374"/>
        <v>-1.0556106053799872</v>
      </c>
      <c r="Q4385" s="4">
        <f t="shared" ca="1" si="375"/>
        <v>1955.2439605858528</v>
      </c>
      <c r="R4385" s="4">
        <f t="shared" ca="1" si="376"/>
        <v>31.573916585852885</v>
      </c>
      <c r="S4385" s="4">
        <f t="shared" ca="1" si="377"/>
        <v>16.388838120151355</v>
      </c>
    </row>
    <row r="4386" spans="15:19" x14ac:dyDescent="0.2">
      <c r="O4386" s="4">
        <f t="shared" ca="1" si="373"/>
        <v>0.40561398975958507</v>
      </c>
      <c r="P4386" s="4">
        <f t="shared" ca="1" si="374"/>
        <v>-0.23884215697236005</v>
      </c>
      <c r="Q4386" s="4">
        <f t="shared" ca="1" si="375"/>
        <v>1930.4999967050426</v>
      </c>
      <c r="R4386" s="4">
        <f t="shared" ca="1" si="376"/>
        <v>6.829952705042615</v>
      </c>
      <c r="S4386" s="4">
        <f t="shared" ca="1" si="377"/>
        <v>3.476378026651973</v>
      </c>
    </row>
    <row r="4387" spans="15:19" x14ac:dyDescent="0.2">
      <c r="O4387" s="4">
        <f t="shared" ca="1" si="373"/>
        <v>0.24554563010229769</v>
      </c>
      <c r="P4387" s="4">
        <f t="shared" ca="1" si="374"/>
        <v>-0.6885742021488791</v>
      </c>
      <c r="Q4387" s="4">
        <f t="shared" ca="1" si="375"/>
        <v>1944.1246090460143</v>
      </c>
      <c r="R4387" s="4">
        <f t="shared" ca="1" si="376"/>
        <v>20.454565046014295</v>
      </c>
      <c r="S4387" s="4">
        <f t="shared" ca="1" si="377"/>
        <v>10.524614557230857</v>
      </c>
    </row>
    <row r="4388" spans="15:19" x14ac:dyDescent="0.2">
      <c r="O4388" s="4">
        <f t="shared" ca="1" si="373"/>
        <v>0.86298942071935381</v>
      </c>
      <c r="P4388" s="4">
        <f t="shared" ca="1" si="374"/>
        <v>1.0938491161373964</v>
      </c>
      <c r="Q4388" s="4">
        <f t="shared" ca="1" si="375"/>
        <v>1890.1261737563373</v>
      </c>
      <c r="R4388" s="4">
        <f t="shared" ca="1" si="376"/>
        <v>-33.543870243662695</v>
      </c>
      <c r="S4388" s="4">
        <f t="shared" ca="1" si="377"/>
        <v>-16.522204953207698</v>
      </c>
    </row>
    <row r="4389" spans="15:19" x14ac:dyDescent="0.2">
      <c r="O4389" s="4">
        <f t="shared" ca="1" si="373"/>
        <v>0.45033773118876264</v>
      </c>
      <c r="P4389" s="4">
        <f t="shared" ca="1" si="374"/>
        <v>-0.1248081155207638</v>
      </c>
      <c r="Q4389" s="4">
        <f t="shared" ca="1" si="375"/>
        <v>1927.0453404822638</v>
      </c>
      <c r="R4389" s="4">
        <f t="shared" ca="1" si="376"/>
        <v>3.3752964822638205</v>
      </c>
      <c r="S4389" s="4">
        <f t="shared" ca="1" si="377"/>
        <v>1.7132457276164266</v>
      </c>
    </row>
    <row r="4390" spans="15:19" x14ac:dyDescent="0.2">
      <c r="O4390" s="4">
        <f t="shared" ca="1" si="373"/>
        <v>0.51384332507531427</v>
      </c>
      <c r="P4390" s="4">
        <f t="shared" ca="1" si="374"/>
        <v>3.4707036680957003E-2</v>
      </c>
      <c r="Q4390" s="4">
        <f t="shared" ca="1" si="375"/>
        <v>1922.2128360286251</v>
      </c>
      <c r="R4390" s="4">
        <f t="shared" ca="1" si="376"/>
        <v>-1.457207971374828</v>
      </c>
      <c r="S4390" s="4">
        <f t="shared" ca="1" si="377"/>
        <v>-0.73678855511227193</v>
      </c>
    </row>
    <row r="4391" spans="15:19" x14ac:dyDescent="0.2">
      <c r="O4391" s="4">
        <f t="shared" ca="1" si="373"/>
        <v>0.30464570823087989</v>
      </c>
      <c r="P4391" s="4">
        <f t="shared" ca="1" si="374"/>
        <v>-0.51108517477531679</v>
      </c>
      <c r="Q4391" s="4">
        <f t="shared" ca="1" si="375"/>
        <v>1938.7475868420668</v>
      </c>
      <c r="R4391" s="4">
        <f t="shared" ca="1" si="376"/>
        <v>15.077542842066805</v>
      </c>
      <c r="S4391" s="4">
        <f t="shared" ca="1" si="377"/>
        <v>7.7249398523542299</v>
      </c>
    </row>
    <row r="4392" spans="15:19" x14ac:dyDescent="0.2">
      <c r="O4392" s="4">
        <f t="shared" ca="1" si="373"/>
        <v>0.71124260897698033</v>
      </c>
      <c r="P4392" s="4">
        <f t="shared" ca="1" si="374"/>
        <v>0.55701851076487308</v>
      </c>
      <c r="Q4392" s="4">
        <f t="shared" ca="1" si="375"/>
        <v>1906.3894331113579</v>
      </c>
      <c r="R4392" s="4">
        <f t="shared" ca="1" si="376"/>
        <v>-17.280610888642059</v>
      </c>
      <c r="S4392" s="4">
        <f t="shared" ca="1" si="377"/>
        <v>-8.6260556799635744</v>
      </c>
    </row>
    <row r="4393" spans="15:19" x14ac:dyDescent="0.2">
      <c r="O4393" s="4">
        <f t="shared" ca="1" si="373"/>
        <v>0.18157216999421244</v>
      </c>
      <c r="P4393" s="4">
        <f t="shared" ca="1" si="374"/>
        <v>-0.90938992133472307</v>
      </c>
      <c r="Q4393" s="4">
        <f t="shared" ca="1" si="375"/>
        <v>1950.8142114547529</v>
      </c>
      <c r="R4393" s="4">
        <f t="shared" ca="1" si="376"/>
        <v>27.14416745475296</v>
      </c>
      <c r="S4393" s="4">
        <f t="shared" ca="1" si="377"/>
        <v>14.040574417584338</v>
      </c>
    </row>
    <row r="4394" spans="15:19" x14ac:dyDescent="0.2">
      <c r="O4394" s="4">
        <f t="shared" ca="1" si="373"/>
        <v>0.87062353600704845</v>
      </c>
      <c r="P4394" s="4">
        <f t="shared" ca="1" si="374"/>
        <v>1.1293435693348994</v>
      </c>
      <c r="Q4394" s="4">
        <f t="shared" ca="1" si="375"/>
        <v>1889.050870872637</v>
      </c>
      <c r="R4394" s="4">
        <f t="shared" ca="1" si="376"/>
        <v>-34.619173127362956</v>
      </c>
      <c r="S4394" s="4">
        <f t="shared" ca="1" si="377"/>
        <v>-17.036697293204227</v>
      </c>
    </row>
    <row r="4395" spans="15:19" x14ac:dyDescent="0.2">
      <c r="O4395" s="4">
        <f t="shared" ca="1" si="373"/>
        <v>0.98005353168609366</v>
      </c>
      <c r="P4395" s="4">
        <f t="shared" ca="1" si="374"/>
        <v>2.0548557802807301</v>
      </c>
      <c r="Q4395" s="4">
        <f t="shared" ca="1" si="375"/>
        <v>1861.012519533846</v>
      </c>
      <c r="R4395" s="4">
        <f t="shared" ca="1" si="376"/>
        <v>-62.657524466153973</v>
      </c>
      <c r="S4395" s="4">
        <f t="shared" ca="1" si="377"/>
        <v>-30.119712924974475</v>
      </c>
    </row>
    <row r="4396" spans="15:19" x14ac:dyDescent="0.2">
      <c r="O4396" s="4">
        <f t="shared" ca="1" si="373"/>
        <v>0.80777121292288545</v>
      </c>
      <c r="P4396" s="4">
        <f t="shared" ca="1" si="374"/>
        <v>0.86971243642750873</v>
      </c>
      <c r="Q4396" s="4">
        <f t="shared" ca="1" si="375"/>
        <v>1896.9163845167047</v>
      </c>
      <c r="R4396" s="4">
        <f t="shared" ca="1" si="376"/>
        <v>-26.753659483295223</v>
      </c>
      <c r="S4396" s="4">
        <f t="shared" ca="1" si="377"/>
        <v>-13.251601304748144</v>
      </c>
    </row>
    <row r="4397" spans="15:19" x14ac:dyDescent="0.2">
      <c r="O4397" s="4">
        <f t="shared" ca="1" si="373"/>
        <v>0.10269960274548606</v>
      </c>
      <c r="P4397" s="4">
        <f t="shared" ca="1" si="374"/>
        <v>-1.2663181387424101</v>
      </c>
      <c r="Q4397" s="4">
        <f t="shared" ca="1" si="375"/>
        <v>1961.6273359538643</v>
      </c>
      <c r="R4397" s="4">
        <f t="shared" ca="1" si="376"/>
        <v>37.957291953864342</v>
      </c>
      <c r="S4397" s="4">
        <f t="shared" ca="1" si="377"/>
        <v>19.800840409596404</v>
      </c>
    </row>
    <row r="4398" spans="15:19" x14ac:dyDescent="0.2">
      <c r="O4398" s="4">
        <f t="shared" ca="1" si="373"/>
        <v>0.94451269292736639</v>
      </c>
      <c r="P4398" s="4">
        <f t="shared" ca="1" si="374"/>
        <v>1.593827777646257</v>
      </c>
      <c r="Q4398" s="4">
        <f t="shared" ca="1" si="375"/>
        <v>1874.9793424044769</v>
      </c>
      <c r="R4398" s="4">
        <f t="shared" ca="1" si="376"/>
        <v>-48.690701595523024</v>
      </c>
      <c r="S4398" s="4">
        <f t="shared" ca="1" si="377"/>
        <v>-23.682636689487875</v>
      </c>
    </row>
    <row r="4399" spans="15:19" x14ac:dyDescent="0.2">
      <c r="O4399" s="4">
        <f t="shared" ca="1" si="373"/>
        <v>0.68650943820568899</v>
      </c>
      <c r="P4399" s="4">
        <f t="shared" ca="1" si="374"/>
        <v>0.48598031391414515</v>
      </c>
      <c r="Q4399" s="4">
        <f t="shared" ca="1" si="375"/>
        <v>1908.541532130926</v>
      </c>
      <c r="R4399" s="4">
        <f t="shared" ca="1" si="376"/>
        <v>-15.128511869073918</v>
      </c>
      <c r="S4399" s="4">
        <f t="shared" ca="1" si="377"/>
        <v>-7.5650341949972075</v>
      </c>
    </row>
    <row r="4400" spans="15:19" x14ac:dyDescent="0.2">
      <c r="O4400" s="4">
        <f t="shared" ca="1" si="373"/>
        <v>0.92296246724521458</v>
      </c>
      <c r="P4400" s="4">
        <f t="shared" ca="1" si="374"/>
        <v>1.425284199889151</v>
      </c>
      <c r="Q4400" s="4">
        <f t="shared" ca="1" si="375"/>
        <v>1880.0853626094627</v>
      </c>
      <c r="R4400" s="4">
        <f t="shared" ca="1" si="376"/>
        <v>-43.584681390537298</v>
      </c>
      <c r="S4400" s="4">
        <f t="shared" ca="1" si="377"/>
        <v>-21.289713972901986</v>
      </c>
    </row>
    <row r="4401" spans="15:19" x14ac:dyDescent="0.2">
      <c r="O4401" s="4">
        <f t="shared" ca="1" si="373"/>
        <v>0.78388429544016092</v>
      </c>
      <c r="P4401" s="4">
        <f t="shared" ca="1" si="374"/>
        <v>0.78537896660935991</v>
      </c>
      <c r="Q4401" s="4">
        <f t="shared" ca="1" si="375"/>
        <v>1899.471263240524</v>
      </c>
      <c r="R4401" s="4">
        <f t="shared" ca="1" si="376"/>
        <v>-24.198780759475994</v>
      </c>
      <c r="S4401" s="4">
        <f t="shared" ca="1" si="377"/>
        <v>-12.01128784491419</v>
      </c>
    </row>
    <row r="4402" spans="15:19" x14ac:dyDescent="0.2">
      <c r="O4402" s="4">
        <f t="shared" ca="1" si="373"/>
        <v>0.22955964430378462</v>
      </c>
      <c r="P4402" s="4">
        <f t="shared" ca="1" si="374"/>
        <v>-0.74029784446799152</v>
      </c>
      <c r="Q4402" s="4">
        <f t="shared" ca="1" si="375"/>
        <v>1945.6915744935941</v>
      </c>
      <c r="R4402" s="4">
        <f t="shared" ca="1" si="376"/>
        <v>22.021530493594128</v>
      </c>
      <c r="S4402" s="4">
        <f t="shared" ca="1" si="377"/>
        <v>11.344921762282022</v>
      </c>
    </row>
    <row r="4403" spans="15:19" x14ac:dyDescent="0.2">
      <c r="O4403" s="4">
        <f t="shared" ca="1" si="373"/>
        <v>0.28395420373932001</v>
      </c>
      <c r="P4403" s="4">
        <f t="shared" ca="1" si="374"/>
        <v>-0.57113459804279898</v>
      </c>
      <c r="Q4403" s="4">
        <f t="shared" ca="1" si="375"/>
        <v>1940.5667814538212</v>
      </c>
      <c r="R4403" s="4">
        <f t="shared" ca="1" si="376"/>
        <v>16.896737453821288</v>
      </c>
      <c r="S4403" s="4">
        <f t="shared" ca="1" si="377"/>
        <v>8.6695121577876453</v>
      </c>
    </row>
    <row r="4404" spans="15:19" x14ac:dyDescent="0.2">
      <c r="O4404" s="4">
        <f t="shared" ca="1" si="373"/>
        <v>0.8789431088723858</v>
      </c>
      <c r="P4404" s="4">
        <f t="shared" ca="1" si="374"/>
        <v>1.1697197134039905</v>
      </c>
      <c r="Q4404" s="4">
        <f t="shared" ca="1" si="375"/>
        <v>1887.827677380724</v>
      </c>
      <c r="R4404" s="4">
        <f t="shared" ca="1" si="376"/>
        <v>-35.842366619275936</v>
      </c>
      <c r="S4404" s="4">
        <f t="shared" ca="1" si="377"/>
        <v>-17.620805298023893</v>
      </c>
    </row>
    <row r="4405" spans="15:19" x14ac:dyDescent="0.2">
      <c r="O4405" s="4">
        <f t="shared" ca="1" si="373"/>
        <v>0.32586861106524545</v>
      </c>
      <c r="P4405" s="4">
        <f t="shared" ca="1" si="374"/>
        <v>-0.45135012705745992</v>
      </c>
      <c r="Q4405" s="4">
        <f t="shared" ca="1" si="375"/>
        <v>1936.9379162236305</v>
      </c>
      <c r="R4405" s="4">
        <f t="shared" ca="1" si="376"/>
        <v>13.267872223630548</v>
      </c>
      <c r="S4405" s="4">
        <f t="shared" ca="1" si="377"/>
        <v>6.7879858917770397</v>
      </c>
    </row>
    <row r="4406" spans="15:19" x14ac:dyDescent="0.2">
      <c r="O4406" s="4">
        <f t="shared" ca="1" si="373"/>
        <v>0.27038938281512837</v>
      </c>
      <c r="P4406" s="4">
        <f t="shared" ca="1" si="374"/>
        <v>-0.61163577116928725</v>
      </c>
      <c r="Q4406" s="4">
        <f t="shared" ca="1" si="375"/>
        <v>1941.7937626954767</v>
      </c>
      <c r="R4406" s="4">
        <f t="shared" ca="1" si="376"/>
        <v>18.123718695476782</v>
      </c>
      <c r="S4406" s="4">
        <f t="shared" ca="1" si="377"/>
        <v>9.3081136182771598</v>
      </c>
    </row>
    <row r="4407" spans="15:19" x14ac:dyDescent="0.2">
      <c r="O4407" s="4">
        <f t="shared" ca="1" si="373"/>
        <v>0.92390394106054385</v>
      </c>
      <c r="P4407" s="4">
        <f t="shared" ca="1" si="374"/>
        <v>1.4318312627265026</v>
      </c>
      <c r="Q4407" s="4">
        <f t="shared" ca="1" si="375"/>
        <v>1879.8870196314883</v>
      </c>
      <c r="R4407" s="4">
        <f t="shared" ca="1" si="376"/>
        <v>-43.783024368511633</v>
      </c>
      <c r="S4407" s="4">
        <f t="shared" ca="1" si="377"/>
        <v>-21.383063121734281</v>
      </c>
    </row>
    <row r="4408" spans="15:19" x14ac:dyDescent="0.2">
      <c r="O4408" s="4">
        <f t="shared" ca="1" si="373"/>
        <v>0.8921848013344893</v>
      </c>
      <c r="P4408" s="4">
        <f t="shared" ca="1" si="374"/>
        <v>1.2382310613279552</v>
      </c>
      <c r="Q4408" s="4">
        <f t="shared" ca="1" si="375"/>
        <v>1885.7521291372027</v>
      </c>
      <c r="R4408" s="4">
        <f t="shared" ca="1" si="376"/>
        <v>-37.917914862797261</v>
      </c>
      <c r="S4408" s="4">
        <f t="shared" ca="1" si="377"/>
        <v>-18.60914869048932</v>
      </c>
    </row>
    <row r="4409" spans="15:19" x14ac:dyDescent="0.2">
      <c r="O4409" s="4">
        <f t="shared" ca="1" si="373"/>
        <v>0.65635819111204974</v>
      </c>
      <c r="P4409" s="4">
        <f t="shared" ca="1" si="374"/>
        <v>0.40254412992070754</v>
      </c>
      <c r="Q4409" s="4">
        <f t="shared" ca="1" si="375"/>
        <v>1911.0692276205243</v>
      </c>
      <c r="R4409" s="4">
        <f t="shared" ca="1" si="376"/>
        <v>-12.600816379475646</v>
      </c>
      <c r="S4409" s="4">
        <f t="shared" ca="1" si="377"/>
        <v>-6.3140219900085803</v>
      </c>
    </row>
    <row r="4410" spans="15:19" x14ac:dyDescent="0.2">
      <c r="O4410" s="4">
        <f t="shared" ca="1" si="373"/>
        <v>0.89806646721300765</v>
      </c>
      <c r="P4410" s="4">
        <f t="shared" ca="1" si="374"/>
        <v>1.2706110171892169</v>
      </c>
      <c r="Q4410" s="4">
        <f t="shared" ca="1" si="375"/>
        <v>1884.7711798120233</v>
      </c>
      <c r="R4410" s="4">
        <f t="shared" ca="1" si="376"/>
        <v>-38.898864187976642</v>
      </c>
      <c r="S4410" s="4">
        <f t="shared" ca="1" si="377"/>
        <v>-19.075040810207103</v>
      </c>
    </row>
    <row r="4411" spans="15:19" x14ac:dyDescent="0.2">
      <c r="O4411" s="4">
        <f t="shared" ca="1" si="373"/>
        <v>0.36206698744545607</v>
      </c>
      <c r="P4411" s="4">
        <f t="shared" ca="1" si="374"/>
        <v>-0.35293926305005058</v>
      </c>
      <c r="Q4411" s="4">
        <f t="shared" ca="1" si="375"/>
        <v>1933.9565634678693</v>
      </c>
      <c r="R4411" s="4">
        <f t="shared" ca="1" si="376"/>
        <v>10.286519467869311</v>
      </c>
      <c r="S4411" s="4">
        <f t="shared" ca="1" si="377"/>
        <v>5.2502099155520501</v>
      </c>
    </row>
    <row r="4412" spans="15:19" x14ac:dyDescent="0.2">
      <c r="O4412" s="4">
        <f t="shared" ca="1" si="373"/>
        <v>0.33486444478697519</v>
      </c>
      <c r="P4412" s="4">
        <f t="shared" ca="1" si="374"/>
        <v>-0.42652012097788028</v>
      </c>
      <c r="Q4412" s="4">
        <f t="shared" ca="1" si="375"/>
        <v>1936.1856922918766</v>
      </c>
      <c r="R4412" s="4">
        <f t="shared" ca="1" si="376"/>
        <v>12.515648291876687</v>
      </c>
      <c r="S4412" s="4">
        <f t="shared" ca="1" si="377"/>
        <v>6.3993076695902991</v>
      </c>
    </row>
    <row r="4413" spans="15:19" x14ac:dyDescent="0.2">
      <c r="O4413" s="4">
        <f t="shared" ca="1" si="373"/>
        <v>3.7344656064095094E-2</v>
      </c>
      <c r="P4413" s="4">
        <f t="shared" ca="1" si="374"/>
        <v>-1.7823675592786916</v>
      </c>
      <c r="Q4413" s="4">
        <f t="shared" ca="1" si="375"/>
        <v>1977.2610302369351</v>
      </c>
      <c r="R4413" s="4">
        <f t="shared" ca="1" si="376"/>
        <v>53.590986236935123</v>
      </c>
      <c r="S4413" s="4">
        <f t="shared" ca="1" si="377"/>
        <v>28.297382446631481</v>
      </c>
    </row>
    <row r="4414" spans="15:19" x14ac:dyDescent="0.2">
      <c r="O4414" s="4">
        <f t="shared" ca="1" si="373"/>
        <v>0.82578937186654078</v>
      </c>
      <c r="P4414" s="4">
        <f t="shared" ca="1" si="374"/>
        <v>0.93765593444555662</v>
      </c>
      <c r="Q4414" s="4">
        <f t="shared" ca="1" si="375"/>
        <v>1894.858039260871</v>
      </c>
      <c r="R4414" s="4">
        <f t="shared" ca="1" si="376"/>
        <v>-28.812004739128952</v>
      </c>
      <c r="S4414" s="4">
        <f t="shared" ca="1" si="377"/>
        <v>-14.246997975186355</v>
      </c>
    </row>
    <row r="4415" spans="15:19" x14ac:dyDescent="0.2">
      <c r="O4415" s="4">
        <f t="shared" ca="1" si="373"/>
        <v>0.98956441254617944</v>
      </c>
      <c r="P4415" s="4">
        <f t="shared" ca="1" si="374"/>
        <v>2.3103067968250861</v>
      </c>
      <c r="Q4415" s="4">
        <f t="shared" ca="1" si="375"/>
        <v>1853.2736423294034</v>
      </c>
      <c r="R4415" s="4">
        <f t="shared" ca="1" si="376"/>
        <v>-70.396401670596561</v>
      </c>
      <c r="S4415" s="4">
        <f t="shared" ca="1" si="377"/>
        <v>-33.618054072181089</v>
      </c>
    </row>
    <row r="4416" spans="15:19" x14ac:dyDescent="0.2">
      <c r="O4416" s="4">
        <f t="shared" ca="1" si="373"/>
        <v>0.99153133140174343</v>
      </c>
      <c r="P4416" s="4">
        <f t="shared" ca="1" si="374"/>
        <v>2.3880651883704727</v>
      </c>
      <c r="Q4416" s="4">
        <f t="shared" ca="1" si="375"/>
        <v>1850.9179553099302</v>
      </c>
      <c r="R4416" s="4">
        <f t="shared" ca="1" si="376"/>
        <v>-72.752088690069741</v>
      </c>
      <c r="S4416" s="4">
        <f t="shared" ca="1" si="377"/>
        <v>-34.673256863826545</v>
      </c>
    </row>
    <row r="4417" spans="15:19" x14ac:dyDescent="0.2">
      <c r="O4417" s="4">
        <f t="shared" ca="1" si="373"/>
        <v>0.78393844843052451</v>
      </c>
      <c r="P4417" s="4">
        <f t="shared" ca="1" si="374"/>
        <v>0.78556375925468025</v>
      </c>
      <c r="Q4417" s="4">
        <f t="shared" ca="1" si="375"/>
        <v>1899.4656649555386</v>
      </c>
      <c r="R4417" s="4">
        <f t="shared" ca="1" si="376"/>
        <v>-24.204379044461348</v>
      </c>
      <c r="S4417" s="4">
        <f t="shared" ca="1" si="377"/>
        <v>-12.014011446154138</v>
      </c>
    </row>
    <row r="4418" spans="15:19" x14ac:dyDescent="0.2">
      <c r="O4418" s="4">
        <f t="shared" ca="1" si="373"/>
        <v>0.19343727582078751</v>
      </c>
      <c r="P4418" s="4">
        <f t="shared" ca="1" si="374"/>
        <v>-0.86529926955549985</v>
      </c>
      <c r="Q4418" s="4">
        <f t="shared" ca="1" si="375"/>
        <v>1949.4784871166823</v>
      </c>
      <c r="R4418" s="4">
        <f t="shared" ca="1" si="376"/>
        <v>25.808443116682383</v>
      </c>
      <c r="S4418" s="4">
        <f t="shared" ca="1" si="377"/>
        <v>13.335625631100363</v>
      </c>
    </row>
    <row r="4419" spans="15:19" x14ac:dyDescent="0.2">
      <c r="O4419" s="4">
        <f t="shared" ref="O4419:O4482" ca="1" si="378">RAND()</f>
        <v>0.70857463481791205</v>
      </c>
      <c r="P4419" s="4">
        <f t="shared" ref="P4419:P4482" ca="1" si="379">NORMSINV(O4419)</f>
        <v>0.549225465533972</v>
      </c>
      <c r="Q4419" s="4">
        <f t="shared" ref="Q4419:Q4482" ca="1" si="380">$B$4*(1+$B$17-$B$6/SQRT(252)*P4419)</f>
        <v>1906.6255230706247</v>
      </c>
      <c r="R4419" s="4">
        <f t="shared" ref="R4419:R4482" ca="1" si="381">Q4419-$B$4</f>
        <v>-17.044520929375267</v>
      </c>
      <c r="S4419" s="4">
        <f t="shared" ref="S4419:S4482" ca="1" si="382">R4419*$B$12+0.5*$B$13*R4419^2</f>
        <v>-8.5098434454185963</v>
      </c>
    </row>
    <row r="4420" spans="15:19" x14ac:dyDescent="0.2">
      <c r="O4420" s="4">
        <f t="shared" ca="1" si="378"/>
        <v>3.7841406260612498E-3</v>
      </c>
      <c r="P4420" s="4">
        <f t="shared" ca="1" si="379"/>
        <v>-2.6707463533279374</v>
      </c>
      <c r="Q4420" s="4">
        <f t="shared" ca="1" si="380"/>
        <v>2004.1744263595303</v>
      </c>
      <c r="R4420" s="4">
        <f t="shared" ca="1" si="381"/>
        <v>80.504382359530382</v>
      </c>
      <c r="S4420" s="4">
        <f t="shared" ca="1" si="382"/>
        <v>43.390304452787504</v>
      </c>
    </row>
    <row r="4421" spans="15:19" x14ac:dyDescent="0.2">
      <c r="O4421" s="4">
        <f t="shared" ca="1" si="378"/>
        <v>7.1008212698946971E-2</v>
      </c>
      <c r="P4421" s="4">
        <f t="shared" ca="1" si="379"/>
        <v>-1.4683232977708911</v>
      </c>
      <c r="Q4421" s="4">
        <f t="shared" ca="1" si="380"/>
        <v>1967.7470732778058</v>
      </c>
      <c r="R4421" s="4">
        <f t="shared" ca="1" si="381"/>
        <v>44.077029277805877</v>
      </c>
      <c r="S4421" s="4">
        <f t="shared" ca="1" si="382"/>
        <v>23.103071736990671</v>
      </c>
    </row>
    <row r="4422" spans="15:19" x14ac:dyDescent="0.2">
      <c r="O4422" s="4">
        <f t="shared" ca="1" si="378"/>
        <v>4.700770611249605E-2</v>
      </c>
      <c r="P4422" s="4">
        <f t="shared" ca="1" si="379"/>
        <v>-1.6745863859419299</v>
      </c>
      <c r="Q4422" s="4">
        <f t="shared" ca="1" si="380"/>
        <v>1973.9958043760739</v>
      </c>
      <c r="R4422" s="4">
        <f t="shared" ca="1" si="381"/>
        <v>50.325760376073958</v>
      </c>
      <c r="S4422" s="4">
        <f t="shared" ca="1" si="382"/>
        <v>26.506369803282073</v>
      </c>
    </row>
    <row r="4423" spans="15:19" x14ac:dyDescent="0.2">
      <c r="O4423" s="4">
        <f t="shared" ca="1" si="378"/>
        <v>0.47630011818226059</v>
      </c>
      <c r="P4423" s="4">
        <f t="shared" ca="1" si="379"/>
        <v>-5.9441779848233199E-2</v>
      </c>
      <c r="Q4423" s="4">
        <f t="shared" ca="1" si="380"/>
        <v>1925.065070245264</v>
      </c>
      <c r="R4423" s="4">
        <f t="shared" ca="1" si="381"/>
        <v>1.3950262452640345</v>
      </c>
      <c r="S4423" s="4">
        <f t="shared" ca="1" si="382"/>
        <v>0.70696814620046688</v>
      </c>
    </row>
    <row r="4424" spans="15:19" x14ac:dyDescent="0.2">
      <c r="O4424" s="4">
        <f t="shared" ca="1" si="378"/>
        <v>0.27404736291471599</v>
      </c>
      <c r="P4424" s="4">
        <f t="shared" ca="1" si="379"/>
        <v>-0.60061758036486634</v>
      </c>
      <c r="Q4424" s="4">
        <f t="shared" ca="1" si="380"/>
        <v>1941.4599670942532</v>
      </c>
      <c r="R4424" s="4">
        <f t="shared" ca="1" si="381"/>
        <v>17.789923094253254</v>
      </c>
      <c r="S4424" s="4">
        <f t="shared" ca="1" si="382"/>
        <v>9.1342631446052458</v>
      </c>
    </row>
    <row r="4425" spans="15:19" x14ac:dyDescent="0.2">
      <c r="O4425" s="4">
        <f t="shared" ca="1" si="378"/>
        <v>0.3759859582303926</v>
      </c>
      <c r="P4425" s="4">
        <f t="shared" ca="1" si="379"/>
        <v>-0.31604030411434048</v>
      </c>
      <c r="Q4425" s="4">
        <f t="shared" ca="1" si="380"/>
        <v>1932.8387111451889</v>
      </c>
      <c r="R4425" s="4">
        <f t="shared" ca="1" si="381"/>
        <v>9.1686671451889197</v>
      </c>
      <c r="S4425" s="4">
        <f t="shared" ca="1" si="382"/>
        <v>4.6754891686342113</v>
      </c>
    </row>
    <row r="4426" spans="15:19" x14ac:dyDescent="0.2">
      <c r="O4426" s="4">
        <f t="shared" ca="1" si="378"/>
        <v>9.0261700666195765E-2</v>
      </c>
      <c r="P4426" s="4">
        <f t="shared" ca="1" si="379"/>
        <v>-1.3391452212176582</v>
      </c>
      <c r="Q4426" s="4">
        <f t="shared" ca="1" si="380"/>
        <v>1963.8336291840028</v>
      </c>
      <c r="R4426" s="4">
        <f t="shared" ca="1" si="381"/>
        <v>40.163585184002841</v>
      </c>
      <c r="S4426" s="4">
        <f t="shared" ca="1" si="382"/>
        <v>20.98784911258565</v>
      </c>
    </row>
    <row r="4427" spans="15:19" x14ac:dyDescent="0.2">
      <c r="O4427" s="4">
        <f t="shared" ca="1" si="378"/>
        <v>5.2536692597218937E-2</v>
      </c>
      <c r="P4427" s="4">
        <f t="shared" ca="1" si="379"/>
        <v>-1.6207401210905528</v>
      </c>
      <c r="Q4427" s="4">
        <f t="shared" ca="1" si="380"/>
        <v>1972.3645341731212</v>
      </c>
      <c r="R4427" s="4">
        <f t="shared" ca="1" si="381"/>
        <v>48.694490173121267</v>
      </c>
      <c r="S4427" s="4">
        <f t="shared" ca="1" si="382"/>
        <v>25.614851451288395</v>
      </c>
    </row>
    <row r="4428" spans="15:19" x14ac:dyDescent="0.2">
      <c r="O4428" s="4">
        <f t="shared" ca="1" si="378"/>
        <v>0.19242463253862419</v>
      </c>
      <c r="P4428" s="4">
        <f t="shared" ca="1" si="379"/>
        <v>-0.86899609790939381</v>
      </c>
      <c r="Q4428" s="4">
        <f t="shared" ca="1" si="380"/>
        <v>1949.5904823675278</v>
      </c>
      <c r="R4428" s="4">
        <f t="shared" ca="1" si="381"/>
        <v>25.920438367527822</v>
      </c>
      <c r="S4428" s="4">
        <f t="shared" ca="1" si="382"/>
        <v>13.394677034459328</v>
      </c>
    </row>
    <row r="4429" spans="15:19" x14ac:dyDescent="0.2">
      <c r="O4429" s="4">
        <f t="shared" ca="1" si="378"/>
        <v>0.81169144016570172</v>
      </c>
      <c r="P4429" s="4">
        <f t="shared" ca="1" si="379"/>
        <v>0.88414652713206543</v>
      </c>
      <c r="Q4429" s="4">
        <f t="shared" ca="1" si="380"/>
        <v>1896.4791043796693</v>
      </c>
      <c r="R4429" s="4">
        <f t="shared" ca="1" si="381"/>
        <v>-27.19093962033071</v>
      </c>
      <c r="S4429" s="4">
        <f t="shared" ca="1" si="382"/>
        <v>-13.463354477286972</v>
      </c>
    </row>
    <row r="4430" spans="15:19" x14ac:dyDescent="0.2">
      <c r="O4430" s="4">
        <f t="shared" ca="1" si="378"/>
        <v>0.48796435568482222</v>
      </c>
      <c r="P4430" s="4">
        <f t="shared" ca="1" si="379"/>
        <v>-3.0173464229747624E-2</v>
      </c>
      <c r="Q4430" s="4">
        <f t="shared" ca="1" si="380"/>
        <v>1924.1783879230859</v>
      </c>
      <c r="R4430" s="4">
        <f t="shared" ca="1" si="381"/>
        <v>0.50834392308593124</v>
      </c>
      <c r="S4430" s="4">
        <f t="shared" ca="1" si="382"/>
        <v>0.25743386524809275</v>
      </c>
    </row>
    <row r="4431" spans="15:19" x14ac:dyDescent="0.2">
      <c r="O4431" s="4">
        <f t="shared" ca="1" si="378"/>
        <v>0.50754528419580258</v>
      </c>
      <c r="P4431" s="4">
        <f t="shared" ca="1" si="379"/>
        <v>1.8914350421311579E-2</v>
      </c>
      <c r="Q4431" s="4">
        <f t="shared" ca="1" si="380"/>
        <v>1922.6912747576816</v>
      </c>
      <c r="R4431" s="4">
        <f t="shared" ca="1" si="381"/>
        <v>-0.97876924231832163</v>
      </c>
      <c r="S4431" s="4">
        <f t="shared" ca="1" si="382"/>
        <v>-0.4950726094797252</v>
      </c>
    </row>
    <row r="4432" spans="15:19" x14ac:dyDescent="0.2">
      <c r="O4432" s="4">
        <f t="shared" ca="1" si="378"/>
        <v>0.39111930167804432</v>
      </c>
      <c r="P4432" s="4">
        <f t="shared" ca="1" si="379"/>
        <v>-0.27640293413993638</v>
      </c>
      <c r="Q4432" s="4">
        <f t="shared" ca="1" si="380"/>
        <v>1931.6378987816738</v>
      </c>
      <c r="R4432" s="4">
        <f t="shared" ca="1" si="381"/>
        <v>7.9678547816738501</v>
      </c>
      <c r="S4432" s="4">
        <f t="shared" ca="1" si="382"/>
        <v>4.0592496206789512</v>
      </c>
    </row>
    <row r="4433" spans="15:19" x14ac:dyDescent="0.2">
      <c r="O4433" s="4">
        <f t="shared" ca="1" si="378"/>
        <v>0.5134702468607979</v>
      </c>
      <c r="P4433" s="4">
        <f t="shared" ca="1" si="379"/>
        <v>3.3771319926086375E-2</v>
      </c>
      <c r="Q4433" s="4">
        <f t="shared" ca="1" si="380"/>
        <v>1922.2411835261692</v>
      </c>
      <c r="R4433" s="4">
        <f t="shared" ca="1" si="381"/>
        <v>-1.4288604738308095</v>
      </c>
      <c r="S4433" s="4">
        <f t="shared" ca="1" si="382"/>
        <v>-0.72247207767497568</v>
      </c>
    </row>
    <row r="4434" spans="15:19" x14ac:dyDescent="0.2">
      <c r="O4434" s="4">
        <f t="shared" ca="1" si="378"/>
        <v>0.55638932072468172</v>
      </c>
      <c r="P4434" s="4">
        <f t="shared" ca="1" si="379"/>
        <v>0.1418210475730094</v>
      </c>
      <c r="Q4434" s="4">
        <f t="shared" ca="1" si="380"/>
        <v>1918.9678218244051</v>
      </c>
      <c r="R4434" s="4">
        <f t="shared" ca="1" si="381"/>
        <v>-4.7022221755948976</v>
      </c>
      <c r="S4434" s="4">
        <f t="shared" ca="1" si="382"/>
        <v>-2.3713102588558082</v>
      </c>
    </row>
    <row r="4435" spans="15:19" x14ac:dyDescent="0.2">
      <c r="O4435" s="4">
        <f t="shared" ca="1" si="378"/>
        <v>0.17029096559347501</v>
      </c>
      <c r="P4435" s="4">
        <f t="shared" ca="1" si="379"/>
        <v>-0.95301606485848556</v>
      </c>
      <c r="Q4435" s="4">
        <f t="shared" ca="1" si="380"/>
        <v>1952.1358635358483</v>
      </c>
      <c r="R4435" s="4">
        <f t="shared" ca="1" si="381"/>
        <v>28.465819535848368</v>
      </c>
      <c r="S4435" s="4">
        <f t="shared" ca="1" si="382"/>
        <v>14.739526035778978</v>
      </c>
    </row>
    <row r="4436" spans="15:19" x14ac:dyDescent="0.2">
      <c r="O4436" s="4">
        <f t="shared" ca="1" si="378"/>
        <v>0.89136942681617026</v>
      </c>
      <c r="P4436" s="4">
        <f t="shared" ca="1" si="379"/>
        <v>1.2338437149144765</v>
      </c>
      <c r="Q4436" s="4">
        <f t="shared" ca="1" si="380"/>
        <v>1885.8850436020052</v>
      </c>
      <c r="R4436" s="4">
        <f t="shared" ca="1" si="381"/>
        <v>-37.785000397994736</v>
      </c>
      <c r="S4436" s="4">
        <f t="shared" ca="1" si="382"/>
        <v>-18.545962022145453</v>
      </c>
    </row>
    <row r="4437" spans="15:19" x14ac:dyDescent="0.2">
      <c r="O4437" s="4">
        <f t="shared" ca="1" si="378"/>
        <v>9.0441203125893654E-2</v>
      </c>
      <c r="P4437" s="4">
        <f t="shared" ca="1" si="379"/>
        <v>-1.338043042085185</v>
      </c>
      <c r="Q4437" s="4">
        <f t="shared" ca="1" si="380"/>
        <v>1963.8002387161202</v>
      </c>
      <c r="R4437" s="4">
        <f t="shared" ca="1" si="381"/>
        <v>40.130194716120286</v>
      </c>
      <c r="S4437" s="4">
        <f t="shared" ca="1" si="382"/>
        <v>20.969855159009875</v>
      </c>
    </row>
    <row r="4438" spans="15:19" x14ac:dyDescent="0.2">
      <c r="O4438" s="4">
        <f t="shared" ca="1" si="378"/>
        <v>9.700265232855565E-2</v>
      </c>
      <c r="P4438" s="4">
        <f t="shared" ca="1" si="379"/>
        <v>-1.2988211788452413</v>
      </c>
      <c r="Q4438" s="4">
        <f t="shared" ca="1" si="380"/>
        <v>1962.6120141106774</v>
      </c>
      <c r="R4438" s="4">
        <f t="shared" ca="1" si="381"/>
        <v>38.941970110677403</v>
      </c>
      <c r="S4438" s="4">
        <f t="shared" ca="1" si="382"/>
        <v>20.330117835865273</v>
      </c>
    </row>
    <row r="4439" spans="15:19" x14ac:dyDescent="0.2">
      <c r="O4439" s="4">
        <f t="shared" ca="1" si="378"/>
        <v>0.65625130472708604</v>
      </c>
      <c r="P4439" s="4">
        <f t="shared" ca="1" si="379"/>
        <v>0.40225361137663812</v>
      </c>
      <c r="Q4439" s="4">
        <f t="shared" ca="1" si="380"/>
        <v>1911.0780288669182</v>
      </c>
      <c r="R4439" s="4">
        <f t="shared" ca="1" si="381"/>
        <v>-12.592015133081759</v>
      </c>
      <c r="S4439" s="4">
        <f t="shared" ca="1" si="382"/>
        <v>-6.3096569716511466</v>
      </c>
    </row>
    <row r="4440" spans="15:19" x14ac:dyDescent="0.2">
      <c r="O4440" s="4">
        <f t="shared" ca="1" si="378"/>
        <v>0.87287550475423969</v>
      </c>
      <c r="P4440" s="4">
        <f t="shared" ca="1" si="379"/>
        <v>1.1400895610741464</v>
      </c>
      <c r="Q4440" s="4">
        <f t="shared" ca="1" si="380"/>
        <v>1888.7253215300077</v>
      </c>
      <c r="R4440" s="4">
        <f t="shared" ca="1" si="381"/>
        <v>-34.944722469992257</v>
      </c>
      <c r="S4440" s="4">
        <f t="shared" ca="1" si="382"/>
        <v>-17.192274873892675</v>
      </c>
    </row>
    <row r="4441" spans="15:19" x14ac:dyDescent="0.2">
      <c r="O4441" s="4">
        <f t="shared" ca="1" si="378"/>
        <v>0.56124591799017398</v>
      </c>
      <c r="P4441" s="4">
        <f t="shared" ca="1" si="379"/>
        <v>0.15412882087876073</v>
      </c>
      <c r="Q4441" s="4">
        <f t="shared" ca="1" si="380"/>
        <v>1918.59495837856</v>
      </c>
      <c r="R4441" s="4">
        <f t="shared" ca="1" si="381"/>
        <v>-5.0750856214399391</v>
      </c>
      <c r="S4441" s="4">
        <f t="shared" ca="1" si="382"/>
        <v>-2.5585733754601434</v>
      </c>
    </row>
    <row r="4442" spans="15:19" x14ac:dyDescent="0.2">
      <c r="O4442" s="4">
        <f t="shared" ca="1" si="378"/>
        <v>0.99743585773627397</v>
      </c>
      <c r="P4442" s="4">
        <f t="shared" ca="1" si="379"/>
        <v>2.7988632864254139</v>
      </c>
      <c r="Q4442" s="4">
        <f t="shared" ca="1" si="380"/>
        <v>1838.4728451683791</v>
      </c>
      <c r="R4442" s="4">
        <f t="shared" ca="1" si="381"/>
        <v>-85.197198831620881</v>
      </c>
      <c r="S4442" s="4">
        <f t="shared" ca="1" si="382"/>
        <v>-40.1729190534395</v>
      </c>
    </row>
    <row r="4443" spans="15:19" x14ac:dyDescent="0.2">
      <c r="O4443" s="4">
        <f t="shared" ca="1" si="378"/>
        <v>0.17644794013706211</v>
      </c>
      <c r="P4443" s="4">
        <f t="shared" ca="1" si="379"/>
        <v>-0.92898689049900296</v>
      </c>
      <c r="Q4443" s="4">
        <f t="shared" ca="1" si="380"/>
        <v>1951.4079007654991</v>
      </c>
      <c r="R4443" s="4">
        <f t="shared" ca="1" si="381"/>
        <v>27.737856765499146</v>
      </c>
      <c r="S4443" s="4">
        <f t="shared" ca="1" si="382"/>
        <v>14.354369245938402</v>
      </c>
    </row>
    <row r="4444" spans="15:19" x14ac:dyDescent="0.2">
      <c r="O4444" s="4">
        <f t="shared" ca="1" si="378"/>
        <v>0.79163919285369055</v>
      </c>
      <c r="P4444" s="4">
        <f t="shared" ca="1" si="379"/>
        <v>0.81212202840354664</v>
      </c>
      <c r="Q4444" s="4">
        <f t="shared" ca="1" si="380"/>
        <v>1898.6610833708344</v>
      </c>
      <c r="R4444" s="4">
        <f t="shared" ca="1" si="381"/>
        <v>-25.008960629165585</v>
      </c>
      <c r="S4444" s="4">
        <f t="shared" ca="1" si="382"/>
        <v>-12.405180152302707</v>
      </c>
    </row>
    <row r="4445" spans="15:19" x14ac:dyDescent="0.2">
      <c r="O4445" s="4">
        <f t="shared" ca="1" si="378"/>
        <v>0.95921423580107346</v>
      </c>
      <c r="P4445" s="4">
        <f t="shared" ca="1" si="379"/>
        <v>1.7416395948612546</v>
      </c>
      <c r="Q4445" s="4">
        <f t="shared" ca="1" si="380"/>
        <v>1870.5013899646447</v>
      </c>
      <c r="R4445" s="4">
        <f t="shared" ca="1" si="381"/>
        <v>-53.168654035355303</v>
      </c>
      <c r="S4445" s="4">
        <f t="shared" ca="1" si="382"/>
        <v>-25.763747110840391</v>
      </c>
    </row>
    <row r="4446" spans="15:19" x14ac:dyDescent="0.2">
      <c r="O4446" s="4">
        <f t="shared" ca="1" si="378"/>
        <v>4.6812719666526448E-2</v>
      </c>
      <c r="P4446" s="4">
        <f t="shared" ca="1" si="379"/>
        <v>-1.6765759172794628</v>
      </c>
      <c r="Q4446" s="4">
        <f t="shared" ca="1" si="380"/>
        <v>1974.056077139611</v>
      </c>
      <c r="R4446" s="4">
        <f t="shared" ca="1" si="381"/>
        <v>50.386033139611072</v>
      </c>
      <c r="S4446" s="4">
        <f t="shared" ca="1" si="382"/>
        <v>26.539351449256301</v>
      </c>
    </row>
    <row r="4447" spans="15:19" x14ac:dyDescent="0.2">
      <c r="O4447" s="4">
        <f t="shared" ca="1" si="378"/>
        <v>0.35225158098662512</v>
      </c>
      <c r="P4447" s="4">
        <f t="shared" ca="1" si="379"/>
        <v>-0.37924873846640367</v>
      </c>
      <c r="Q4447" s="4">
        <f t="shared" ca="1" si="380"/>
        <v>1934.7536078574938</v>
      </c>
      <c r="R4447" s="4">
        <f t="shared" ca="1" si="381"/>
        <v>11.0835638574938</v>
      </c>
      <c r="S4447" s="4">
        <f t="shared" ca="1" si="382"/>
        <v>5.6606151640129685</v>
      </c>
    </row>
    <row r="4448" spans="15:19" x14ac:dyDescent="0.2">
      <c r="O4448" s="4">
        <f t="shared" ca="1" si="378"/>
        <v>0.9404031680331213</v>
      </c>
      <c r="P4448" s="4">
        <f t="shared" ca="1" si="379"/>
        <v>1.5581670065824313</v>
      </c>
      <c r="Q4448" s="4">
        <f t="shared" ca="1" si="380"/>
        <v>1876.0596838805529</v>
      </c>
      <c r="R4448" s="4">
        <f t="shared" ca="1" si="381"/>
        <v>-47.610360119447023</v>
      </c>
      <c r="S4448" s="4">
        <f t="shared" ca="1" si="382"/>
        <v>-23.178107933246853</v>
      </c>
    </row>
    <row r="4449" spans="15:19" x14ac:dyDescent="0.2">
      <c r="O4449" s="4">
        <f t="shared" ca="1" si="378"/>
        <v>0.4058092652980918</v>
      </c>
      <c r="P4449" s="4">
        <f t="shared" ca="1" si="379"/>
        <v>-0.23833854161355206</v>
      </c>
      <c r="Q4449" s="4">
        <f t="shared" ca="1" si="380"/>
        <v>1930.4847397001079</v>
      </c>
      <c r="R4449" s="4">
        <f t="shared" ca="1" si="381"/>
        <v>6.8146957001079045</v>
      </c>
      <c r="S4449" s="4">
        <f t="shared" ca="1" si="382"/>
        <v>3.4685700390794372</v>
      </c>
    </row>
    <row r="4450" spans="15:19" x14ac:dyDescent="0.2">
      <c r="O4450" s="4">
        <f t="shared" ca="1" si="378"/>
        <v>0.3355541544077455</v>
      </c>
      <c r="P4450" s="4">
        <f t="shared" ca="1" si="379"/>
        <v>-0.42462740928147957</v>
      </c>
      <c r="Q4450" s="4">
        <f t="shared" ca="1" si="380"/>
        <v>1936.128352675069</v>
      </c>
      <c r="R4450" s="4">
        <f t="shared" ca="1" si="381"/>
        <v>12.45830867506902</v>
      </c>
      <c r="S4450" s="4">
        <f t="shared" ca="1" si="382"/>
        <v>6.3696988719661638</v>
      </c>
    </row>
    <row r="4451" spans="15:19" x14ac:dyDescent="0.2">
      <c r="O4451" s="4">
        <f t="shared" ca="1" si="378"/>
        <v>0.51321866693908003</v>
      </c>
      <c r="P4451" s="4">
        <f t="shared" ca="1" si="379"/>
        <v>3.3140349548997812E-2</v>
      </c>
      <c r="Q4451" s="4">
        <f t="shared" ca="1" si="380"/>
        <v>1922.2602987457285</v>
      </c>
      <c r="R4451" s="4">
        <f t="shared" ca="1" si="381"/>
        <v>-1.4097452542714564</v>
      </c>
      <c r="S4451" s="4">
        <f t="shared" ca="1" si="382"/>
        <v>-0.71281785411118692</v>
      </c>
    </row>
    <row r="4452" spans="15:19" x14ac:dyDescent="0.2">
      <c r="O4452" s="4">
        <f t="shared" ca="1" si="378"/>
        <v>0.58554638131782211</v>
      </c>
      <c r="P4452" s="4">
        <f t="shared" ca="1" si="379"/>
        <v>0.21610328729740041</v>
      </c>
      <c r="Q4452" s="4">
        <f t="shared" ca="1" si="380"/>
        <v>1916.7174446700112</v>
      </c>
      <c r="R4452" s="4">
        <f t="shared" ca="1" si="381"/>
        <v>-6.9525993299887432</v>
      </c>
      <c r="S4452" s="4">
        <f t="shared" ca="1" si="382"/>
        <v>-3.4997967091764006</v>
      </c>
    </row>
    <row r="4453" spans="15:19" x14ac:dyDescent="0.2">
      <c r="O4453" s="4">
        <f t="shared" ca="1" si="378"/>
        <v>0.74000331221715698</v>
      </c>
      <c r="P4453" s="4">
        <f t="shared" ca="1" si="379"/>
        <v>0.64335561680855202</v>
      </c>
      <c r="Q4453" s="4">
        <f t="shared" ca="1" si="380"/>
        <v>1903.7738543170453</v>
      </c>
      <c r="R4453" s="4">
        <f t="shared" ca="1" si="381"/>
        <v>-19.896189682954628</v>
      </c>
      <c r="S4453" s="4">
        <f t="shared" ca="1" si="382"/>
        <v>-9.910504341116301</v>
      </c>
    </row>
    <row r="4454" spans="15:19" x14ac:dyDescent="0.2">
      <c r="O4454" s="4">
        <f t="shared" ca="1" si="378"/>
        <v>0.87768816007064199</v>
      </c>
      <c r="P4454" s="4">
        <f t="shared" ca="1" si="379"/>
        <v>1.1635074435208699</v>
      </c>
      <c r="Q4454" s="4">
        <f t="shared" ca="1" si="380"/>
        <v>1888.0158778210146</v>
      </c>
      <c r="R4454" s="4">
        <f t="shared" ca="1" si="381"/>
        <v>-35.654166178985406</v>
      </c>
      <c r="S4454" s="4">
        <f t="shared" ca="1" si="382"/>
        <v>-17.531013784555942</v>
      </c>
    </row>
    <row r="4455" spans="15:19" x14ac:dyDescent="0.2">
      <c r="O4455" s="4">
        <f t="shared" ca="1" si="378"/>
        <v>0.99394674852749143</v>
      </c>
      <c r="P4455" s="4">
        <f t="shared" ca="1" si="379"/>
        <v>2.5090246685524762</v>
      </c>
      <c r="Q4455" s="4">
        <f t="shared" ca="1" si="380"/>
        <v>1847.2534932282958</v>
      </c>
      <c r="R4455" s="4">
        <f t="shared" ca="1" si="381"/>
        <v>-76.416550771704124</v>
      </c>
      <c r="S4455" s="4">
        <f t="shared" ca="1" si="382"/>
        <v>-36.30573013325256</v>
      </c>
    </row>
    <row r="4456" spans="15:19" x14ac:dyDescent="0.2">
      <c r="O4456" s="4">
        <f t="shared" ca="1" si="378"/>
        <v>0.71134962335562379</v>
      </c>
      <c r="P4456" s="4">
        <f t="shared" ca="1" si="379"/>
        <v>0.55733179905392838</v>
      </c>
      <c r="Q4456" s="4">
        <f t="shared" ca="1" si="380"/>
        <v>1906.3799420565506</v>
      </c>
      <c r="R4456" s="4">
        <f t="shared" ca="1" si="381"/>
        <v>-17.290101943449372</v>
      </c>
      <c r="S4456" s="4">
        <f t="shared" ca="1" si="382"/>
        <v>-8.6307265803573934</v>
      </c>
    </row>
    <row r="4457" spans="15:19" x14ac:dyDescent="0.2">
      <c r="O4457" s="4">
        <f t="shared" ca="1" si="378"/>
        <v>0.46778754650919596</v>
      </c>
      <c r="P4457" s="4">
        <f t="shared" ca="1" si="379"/>
        <v>-8.0832585942366114E-2</v>
      </c>
      <c r="Q4457" s="4">
        <f t="shared" ca="1" si="380"/>
        <v>1925.7131037661557</v>
      </c>
      <c r="R4457" s="4">
        <f t="shared" ca="1" si="381"/>
        <v>2.0430597661556931</v>
      </c>
      <c r="S4457" s="4">
        <f t="shared" ca="1" si="382"/>
        <v>1.0359160100955984</v>
      </c>
    </row>
    <row r="4458" spans="15:19" x14ac:dyDescent="0.2">
      <c r="O4458" s="4">
        <f t="shared" ca="1" si="378"/>
        <v>0.44427085710300496</v>
      </c>
      <c r="P4458" s="4">
        <f t="shared" ca="1" si="379"/>
        <v>-0.14014969864678781</v>
      </c>
      <c r="Q4458" s="4">
        <f t="shared" ca="1" si="380"/>
        <v>1927.5101130619157</v>
      </c>
      <c r="R4458" s="4">
        <f t="shared" ca="1" si="381"/>
        <v>3.8400690619157558</v>
      </c>
      <c r="S4458" s="4">
        <f t="shared" ca="1" si="382"/>
        <v>1.9498832681397211</v>
      </c>
    </row>
    <row r="4459" spans="15:19" x14ac:dyDescent="0.2">
      <c r="O4459" s="4">
        <f t="shared" ca="1" si="378"/>
        <v>0.18915337573568991</v>
      </c>
      <c r="P4459" s="4">
        <f t="shared" ca="1" si="379"/>
        <v>-0.88102045006006946</v>
      </c>
      <c r="Q4459" s="4">
        <f t="shared" ca="1" si="380"/>
        <v>1949.9547595820634</v>
      </c>
      <c r="R4459" s="4">
        <f t="shared" ca="1" si="381"/>
        <v>26.284715582063427</v>
      </c>
      <c r="S4459" s="4">
        <f t="shared" ca="1" si="382"/>
        <v>13.586819024256629</v>
      </c>
    </row>
    <row r="4460" spans="15:19" x14ac:dyDescent="0.2">
      <c r="O4460" s="4">
        <f t="shared" ca="1" si="378"/>
        <v>0.71353468910579365</v>
      </c>
      <c r="P4460" s="4">
        <f t="shared" ca="1" si="379"/>
        <v>0.56374068891288831</v>
      </c>
      <c r="Q4460" s="4">
        <f t="shared" ca="1" si="380"/>
        <v>1906.1857850228218</v>
      </c>
      <c r="R4460" s="4">
        <f t="shared" ca="1" si="381"/>
        <v>-17.484258977178115</v>
      </c>
      <c r="S4460" s="4">
        <f t="shared" ca="1" si="382"/>
        <v>-8.7262623686763874</v>
      </c>
    </row>
    <row r="4461" spans="15:19" x14ac:dyDescent="0.2">
      <c r="O4461" s="4">
        <f t="shared" ca="1" si="378"/>
        <v>0.73754212117960949</v>
      </c>
      <c r="P4461" s="4">
        <f t="shared" ca="1" si="379"/>
        <v>0.63578623936290612</v>
      </c>
      <c r="Q4461" s="4">
        <f t="shared" ca="1" si="380"/>
        <v>1904.0031682706885</v>
      </c>
      <c r="R4461" s="4">
        <f t="shared" ca="1" si="381"/>
        <v>-19.666875729311414</v>
      </c>
      <c r="S4461" s="4">
        <f t="shared" ca="1" si="382"/>
        <v>-9.7981164514343799</v>
      </c>
    </row>
    <row r="4462" spans="15:19" x14ac:dyDescent="0.2">
      <c r="O4462" s="4">
        <f t="shared" ca="1" si="378"/>
        <v>0.23546876864778676</v>
      </c>
      <c r="P4462" s="4">
        <f t="shared" ca="1" si="379"/>
        <v>-0.72095445480263809</v>
      </c>
      <c r="Q4462" s="4">
        <f t="shared" ca="1" si="380"/>
        <v>1945.1055673625092</v>
      </c>
      <c r="R4462" s="4">
        <f t="shared" ca="1" si="381"/>
        <v>21.43552336250923</v>
      </c>
      <c r="S4462" s="4">
        <f t="shared" ca="1" si="382"/>
        <v>11.03791272934356</v>
      </c>
    </row>
    <row r="4463" spans="15:19" x14ac:dyDescent="0.2">
      <c r="O4463" s="4">
        <f t="shared" ca="1" si="378"/>
        <v>5.3018118402092362E-2</v>
      </c>
      <c r="P4463" s="4">
        <f t="shared" ca="1" si="379"/>
        <v>-1.6162686731756413</v>
      </c>
      <c r="Q4463" s="4">
        <f t="shared" ca="1" si="380"/>
        <v>1972.2290718570671</v>
      </c>
      <c r="R4463" s="4">
        <f t="shared" ca="1" si="381"/>
        <v>48.559027857067122</v>
      </c>
      <c r="S4463" s="4">
        <f t="shared" ca="1" si="382"/>
        <v>25.540916294042201</v>
      </c>
    </row>
    <row r="4464" spans="15:19" x14ac:dyDescent="0.2">
      <c r="O4464" s="4">
        <f t="shared" ca="1" si="378"/>
        <v>0.59672449015677687</v>
      </c>
      <c r="P4464" s="4">
        <f t="shared" ca="1" si="379"/>
        <v>0.24487784106154659</v>
      </c>
      <c r="Q4464" s="4">
        <f t="shared" ca="1" si="380"/>
        <v>1915.8457208412879</v>
      </c>
      <c r="R4464" s="4">
        <f t="shared" ca="1" si="381"/>
        <v>-7.8243231587121045</v>
      </c>
      <c r="S4464" s="4">
        <f t="shared" ca="1" si="382"/>
        <v>-3.9358282300570471</v>
      </c>
    </row>
    <row r="4465" spans="15:19" x14ac:dyDescent="0.2">
      <c r="O4465" s="4">
        <f t="shared" ca="1" si="378"/>
        <v>0.81320068771030762</v>
      </c>
      <c r="P4465" s="4">
        <f t="shared" ca="1" si="379"/>
        <v>0.88975282108379128</v>
      </c>
      <c r="Q4465" s="4">
        <f t="shared" ca="1" si="380"/>
        <v>1896.3092619533154</v>
      </c>
      <c r="R4465" s="4">
        <f t="shared" ca="1" si="381"/>
        <v>-27.360782046684562</v>
      </c>
      <c r="S4465" s="4">
        <f t="shared" ca="1" si="382"/>
        <v>-13.545558800622507</v>
      </c>
    </row>
    <row r="4466" spans="15:19" x14ac:dyDescent="0.2">
      <c r="O4466" s="4">
        <f t="shared" ca="1" si="378"/>
        <v>0.67026277270786494</v>
      </c>
      <c r="P4466" s="4">
        <f t="shared" ca="1" si="379"/>
        <v>0.4406388749343168</v>
      </c>
      <c r="Q4466" s="4">
        <f t="shared" ca="1" si="380"/>
        <v>1909.9151490117056</v>
      </c>
      <c r="R4466" s="4">
        <f t="shared" ca="1" si="381"/>
        <v>-13.754894988294382</v>
      </c>
      <c r="S4466" s="4">
        <f t="shared" ca="1" si="382"/>
        <v>-6.8858462392518156</v>
      </c>
    </row>
    <row r="4467" spans="15:19" x14ac:dyDescent="0.2">
      <c r="O4467" s="4">
        <f t="shared" ca="1" si="378"/>
        <v>0.36218238618982279</v>
      </c>
      <c r="P4467" s="4">
        <f t="shared" ca="1" si="379"/>
        <v>-0.35263142902434069</v>
      </c>
      <c r="Q4467" s="4">
        <f t="shared" ca="1" si="380"/>
        <v>1933.9472376497281</v>
      </c>
      <c r="R4467" s="4">
        <f t="shared" ca="1" si="381"/>
        <v>10.277193649728133</v>
      </c>
      <c r="S4467" s="4">
        <f t="shared" ca="1" si="382"/>
        <v>5.245411029994143</v>
      </c>
    </row>
    <row r="4468" spans="15:19" x14ac:dyDescent="0.2">
      <c r="O4468" s="4">
        <f t="shared" ca="1" si="378"/>
        <v>8.3128407186903286E-2</v>
      </c>
      <c r="P4468" s="4">
        <f t="shared" ca="1" si="379"/>
        <v>-1.3843320182273897</v>
      </c>
      <c r="Q4468" s="4">
        <f t="shared" ca="1" si="380"/>
        <v>1965.2025611931645</v>
      </c>
      <c r="R4468" s="4">
        <f t="shared" ca="1" si="381"/>
        <v>41.532517193164495</v>
      </c>
      <c r="S4468" s="4">
        <f t="shared" ca="1" si="382"/>
        <v>21.726341064834248</v>
      </c>
    </row>
    <row r="4469" spans="15:19" x14ac:dyDescent="0.2">
      <c r="O4469" s="4">
        <f t="shared" ca="1" si="378"/>
        <v>0.16634919838683737</v>
      </c>
      <c r="P4469" s="4">
        <f t="shared" ca="1" si="379"/>
        <v>-0.96869297875420035</v>
      </c>
      <c r="Q4469" s="4">
        <f t="shared" ca="1" si="380"/>
        <v>1952.6107949462801</v>
      </c>
      <c r="R4469" s="4">
        <f t="shared" ca="1" si="381"/>
        <v>28.940750946280104</v>
      </c>
      <c r="S4469" s="4">
        <f t="shared" ca="1" si="382"/>
        <v>14.991039377710086</v>
      </c>
    </row>
    <row r="4470" spans="15:19" x14ac:dyDescent="0.2">
      <c r="O4470" s="4">
        <f t="shared" ca="1" si="378"/>
        <v>0.73638192644650446</v>
      </c>
      <c r="P4470" s="4">
        <f t="shared" ca="1" si="379"/>
        <v>0.63223068824028861</v>
      </c>
      <c r="Q4470" s="4">
        <f t="shared" ca="1" si="380"/>
        <v>1904.1108835340854</v>
      </c>
      <c r="R4470" s="4">
        <f t="shared" ca="1" si="381"/>
        <v>-19.559160465914601</v>
      </c>
      <c r="S4470" s="4">
        <f t="shared" ca="1" si="382"/>
        <v>-9.7453098963656757</v>
      </c>
    </row>
    <row r="4471" spans="15:19" x14ac:dyDescent="0.2">
      <c r="O4471" s="4">
        <f t="shared" ca="1" si="378"/>
        <v>9.5562641462915487E-2</v>
      </c>
      <c r="P4471" s="4">
        <f t="shared" ca="1" si="379"/>
        <v>-1.3072574707451519</v>
      </c>
      <c r="Q4471" s="4">
        <f t="shared" ca="1" si="380"/>
        <v>1962.8675911992223</v>
      </c>
      <c r="R4471" s="4">
        <f t="shared" ca="1" si="381"/>
        <v>39.197547199222299</v>
      </c>
      <c r="S4471" s="4">
        <f t="shared" ca="1" si="382"/>
        <v>20.467622906750464</v>
      </c>
    </row>
    <row r="4472" spans="15:19" x14ac:dyDescent="0.2">
      <c r="O4472" s="4">
        <f t="shared" ca="1" si="378"/>
        <v>0.48457820472087532</v>
      </c>
      <c r="P4472" s="4">
        <f t="shared" ca="1" si="379"/>
        <v>-3.8666340848783967E-2</v>
      </c>
      <c r="Q4472" s="4">
        <f t="shared" ca="1" si="380"/>
        <v>1924.4356792431845</v>
      </c>
      <c r="R4472" s="4">
        <f t="shared" ca="1" si="381"/>
        <v>0.76563524318453346</v>
      </c>
      <c r="S4472" s="4">
        <f t="shared" ca="1" si="382"/>
        <v>0.38781068231628846</v>
      </c>
    </row>
    <row r="4473" spans="15:19" x14ac:dyDescent="0.2">
      <c r="O4473" s="4">
        <f t="shared" ca="1" si="378"/>
        <v>0.23592170180381011</v>
      </c>
      <c r="P4473" s="4">
        <f t="shared" ca="1" si="379"/>
        <v>-0.71948295030740972</v>
      </c>
      <c r="Q4473" s="4">
        <f t="shared" ca="1" si="380"/>
        <v>1945.0609881991595</v>
      </c>
      <c r="R4473" s="4">
        <f t="shared" ca="1" si="381"/>
        <v>21.390944199159549</v>
      </c>
      <c r="S4473" s="4">
        <f t="shared" ca="1" si="382"/>
        <v>11.014569156629804</v>
      </c>
    </row>
    <row r="4474" spans="15:19" x14ac:dyDescent="0.2">
      <c r="O4474" s="4">
        <f t="shared" ca="1" si="378"/>
        <v>0.90343745029378908</v>
      </c>
      <c r="P4474" s="4">
        <f t="shared" ca="1" si="379"/>
        <v>1.3013896942535714</v>
      </c>
      <c r="Q4474" s="4">
        <f t="shared" ca="1" si="380"/>
        <v>1883.8387411569011</v>
      </c>
      <c r="R4474" s="4">
        <f t="shared" ca="1" si="381"/>
        <v>-39.831302843098911</v>
      </c>
      <c r="S4474" s="4">
        <f t="shared" ca="1" si="382"/>
        <v>-19.517167010861709</v>
      </c>
    </row>
    <row r="4475" spans="15:19" x14ac:dyDescent="0.2">
      <c r="O4475" s="4">
        <f t="shared" ca="1" si="378"/>
        <v>0.95166910956869799</v>
      </c>
      <c r="P4475" s="4">
        <f t="shared" ca="1" si="379"/>
        <v>1.6612573051000292</v>
      </c>
      <c r="Q4475" s="4">
        <f t="shared" ca="1" si="380"/>
        <v>1872.9365678640681</v>
      </c>
      <c r="R4475" s="4">
        <f t="shared" ca="1" si="381"/>
        <v>-50.733476135931824</v>
      </c>
      <c r="S4475" s="4">
        <f t="shared" ca="1" si="382"/>
        <v>-24.634032930957474</v>
      </c>
    </row>
    <row r="4476" spans="15:19" x14ac:dyDescent="0.2">
      <c r="O4476" s="4">
        <f t="shared" ca="1" si="378"/>
        <v>0.55825687176486805</v>
      </c>
      <c r="P4476" s="4">
        <f t="shared" ca="1" si="379"/>
        <v>0.14655122274132568</v>
      </c>
      <c r="Q4476" s="4">
        <f t="shared" ca="1" si="380"/>
        <v>1918.8245213776959</v>
      </c>
      <c r="R4476" s="4">
        <f t="shared" ca="1" si="381"/>
        <v>-4.8455226223040881</v>
      </c>
      <c r="S4476" s="4">
        <f t="shared" ca="1" si="382"/>
        <v>-2.4432933980694478</v>
      </c>
    </row>
    <row r="4477" spans="15:19" x14ac:dyDescent="0.2">
      <c r="O4477" s="4">
        <f t="shared" ca="1" si="378"/>
        <v>0.21361494023684613</v>
      </c>
      <c r="P4477" s="4">
        <f t="shared" ca="1" si="379"/>
        <v>-0.79394082675735433</v>
      </c>
      <c r="Q4477" s="4">
        <f t="shared" ca="1" si="380"/>
        <v>1947.3166862603557</v>
      </c>
      <c r="R4477" s="4">
        <f t="shared" ca="1" si="381"/>
        <v>23.646642260355748</v>
      </c>
      <c r="S4477" s="4">
        <f t="shared" ca="1" si="382"/>
        <v>12.197780259239712</v>
      </c>
    </row>
    <row r="4478" spans="15:19" x14ac:dyDescent="0.2">
      <c r="O4478" s="4">
        <f t="shared" ca="1" si="378"/>
        <v>0.37095331249415497</v>
      </c>
      <c r="P4478" s="4">
        <f t="shared" ca="1" si="379"/>
        <v>-0.32932953156204986</v>
      </c>
      <c r="Q4478" s="4">
        <f t="shared" ca="1" si="380"/>
        <v>1933.241307700689</v>
      </c>
      <c r="R4478" s="4">
        <f t="shared" ca="1" si="381"/>
        <v>9.5712637006890873</v>
      </c>
      <c r="S4478" s="4">
        <f t="shared" ca="1" si="382"/>
        <v>4.88235867577104</v>
      </c>
    </row>
    <row r="4479" spans="15:19" x14ac:dyDescent="0.2">
      <c r="O4479" s="4">
        <f t="shared" ca="1" si="378"/>
        <v>5.6900004853429609E-2</v>
      </c>
      <c r="P4479" s="4">
        <f t="shared" ca="1" si="379"/>
        <v>-1.5813413504972453</v>
      </c>
      <c r="Q4479" s="4">
        <f t="shared" ca="1" si="380"/>
        <v>1971.1709501672631</v>
      </c>
      <c r="R4479" s="4">
        <f t="shared" ca="1" si="381"/>
        <v>47.500906167263111</v>
      </c>
      <c r="S4479" s="4">
        <f t="shared" ca="1" si="382"/>
        <v>24.963908952560683</v>
      </c>
    </row>
    <row r="4480" spans="15:19" x14ac:dyDescent="0.2">
      <c r="O4480" s="4">
        <f t="shared" ca="1" si="378"/>
        <v>0.66894795198860479</v>
      </c>
      <c r="P4480" s="4">
        <f t="shared" ca="1" si="379"/>
        <v>0.43700999972411636</v>
      </c>
      <c r="Q4480" s="4">
        <f t="shared" ca="1" si="380"/>
        <v>1910.0250856250802</v>
      </c>
      <c r="R4480" s="4">
        <f t="shared" ca="1" si="381"/>
        <v>-13.644958374919725</v>
      </c>
      <c r="S4480" s="4">
        <f t="shared" ca="1" si="382"/>
        <v>-6.8314214418317238</v>
      </c>
    </row>
    <row r="4481" spans="15:19" x14ac:dyDescent="0.2">
      <c r="O4481" s="4">
        <f t="shared" ca="1" si="378"/>
        <v>0.77778780375216927</v>
      </c>
      <c r="P4481" s="4">
        <f t="shared" ca="1" si="379"/>
        <v>0.76474334088349094</v>
      </c>
      <c r="Q4481" s="4">
        <f t="shared" ca="1" si="380"/>
        <v>1900.0964186056883</v>
      </c>
      <c r="R4481" s="4">
        <f t="shared" ca="1" si="381"/>
        <v>-23.573625394311648</v>
      </c>
      <c r="S4481" s="4">
        <f t="shared" ca="1" si="382"/>
        <v>-11.706985269806593</v>
      </c>
    </row>
    <row r="4482" spans="15:19" x14ac:dyDescent="0.2">
      <c r="O4482" s="4">
        <f t="shared" ca="1" si="378"/>
        <v>0.75534009400720137</v>
      </c>
      <c r="P4482" s="4">
        <f t="shared" ca="1" si="379"/>
        <v>0.69139107390004084</v>
      </c>
      <c r="Q4482" s="4">
        <f t="shared" ca="1" si="380"/>
        <v>1902.3186222771849</v>
      </c>
      <c r="R4482" s="4">
        <f t="shared" ca="1" si="381"/>
        <v>-21.351421722815076</v>
      </c>
      <c r="S4482" s="4">
        <f t="shared" ca="1" si="382"/>
        <v>-10.622722786096102</v>
      </c>
    </row>
    <row r="4483" spans="15:19" x14ac:dyDescent="0.2">
      <c r="O4483" s="4">
        <f t="shared" ref="O4483:O4546" ca="1" si="383">RAND()</f>
        <v>0.47551993403352455</v>
      </c>
      <c r="P4483" s="4">
        <f t="shared" ref="P4483:P4546" ca="1" si="384">NORMSINV(O4483)</f>
        <v>-6.1400984821832587E-2</v>
      </c>
      <c r="Q4483" s="4">
        <f t="shared" ref="Q4483:Q4546" ca="1" si="385">$B$4*(1+$B$17-$B$6/SQRT(252)*P4483)</f>
        <v>1925.1244242729526</v>
      </c>
      <c r="R4483" s="4">
        <f t="shared" ref="R4483:R4546" ca="1" si="386">Q4483-$B$4</f>
        <v>1.454380272952676</v>
      </c>
      <c r="S4483" s="4">
        <f t="shared" ref="S4483:S4546" ca="1" si="387">R4483*$B$12+0.5*$B$13*R4483^2</f>
        <v>0.73708258145888705</v>
      </c>
    </row>
    <row r="4484" spans="15:19" x14ac:dyDescent="0.2">
      <c r="O4484" s="4">
        <f t="shared" ca="1" si="383"/>
        <v>0.81749571566587587</v>
      </c>
      <c r="P4484" s="4">
        <f t="shared" ca="1" si="384"/>
        <v>0.90586262537233353</v>
      </c>
      <c r="Q4484" s="4">
        <f t="shared" ca="1" si="385"/>
        <v>1895.8212161476533</v>
      </c>
      <c r="R4484" s="4">
        <f t="shared" ca="1" si="386"/>
        <v>-27.848827852346631</v>
      </c>
      <c r="S4484" s="4">
        <f t="shared" ca="1" si="387"/>
        <v>-13.781643961389207</v>
      </c>
    </row>
    <row r="4485" spans="15:19" x14ac:dyDescent="0.2">
      <c r="O4485" s="4">
        <f t="shared" ca="1" si="383"/>
        <v>0.35119768293452858</v>
      </c>
      <c r="P4485" s="4">
        <f t="shared" ca="1" si="384"/>
        <v>-0.38208897953364496</v>
      </c>
      <c r="Q4485" s="4">
        <f t="shared" ca="1" si="385"/>
        <v>1934.8396528345218</v>
      </c>
      <c r="R4485" s="4">
        <f t="shared" ca="1" si="386"/>
        <v>11.169608834521796</v>
      </c>
      <c r="S4485" s="4">
        <f t="shared" ca="1" si="387"/>
        <v>5.7049514196479318</v>
      </c>
    </row>
    <row r="4486" spans="15:19" x14ac:dyDescent="0.2">
      <c r="O4486" s="4">
        <f t="shared" ca="1" si="383"/>
        <v>0.26218988957041467</v>
      </c>
      <c r="P4486" s="4">
        <f t="shared" ca="1" si="384"/>
        <v>-0.63660866578069752</v>
      </c>
      <c r="Q4486" s="4">
        <f t="shared" ca="1" si="385"/>
        <v>1942.5503154289577</v>
      </c>
      <c r="R4486" s="4">
        <f t="shared" ca="1" si="386"/>
        <v>18.880271428957712</v>
      </c>
      <c r="S4486" s="4">
        <f t="shared" ca="1" si="387"/>
        <v>9.7024841165750662</v>
      </c>
    </row>
    <row r="4487" spans="15:19" x14ac:dyDescent="0.2">
      <c r="O4487" s="4">
        <f t="shared" ca="1" si="383"/>
        <v>3.4132691752617017E-2</v>
      </c>
      <c r="P4487" s="4">
        <f t="shared" ca="1" si="384"/>
        <v>-1.8232510030711264</v>
      </c>
      <c r="Q4487" s="4">
        <f t="shared" ca="1" si="385"/>
        <v>1978.4995923514432</v>
      </c>
      <c r="R4487" s="4">
        <f t="shared" ca="1" si="386"/>
        <v>54.829548351443236</v>
      </c>
      <c r="S4487" s="4">
        <f t="shared" ca="1" si="387"/>
        <v>28.979018242207239</v>
      </c>
    </row>
    <row r="4488" spans="15:19" x14ac:dyDescent="0.2">
      <c r="O4488" s="4">
        <f t="shared" ca="1" si="383"/>
        <v>7.5053619078853995E-2</v>
      </c>
      <c r="P4488" s="4">
        <f t="shared" ca="1" si="384"/>
        <v>-1.4391527891046263</v>
      </c>
      <c r="Q4488" s="4">
        <f t="shared" ca="1" si="385"/>
        <v>1966.8633540129028</v>
      </c>
      <c r="R4488" s="4">
        <f t="shared" ca="1" si="386"/>
        <v>43.193310012902884</v>
      </c>
      <c r="S4488" s="4">
        <f t="shared" ca="1" si="387"/>
        <v>22.624330200895113</v>
      </c>
    </row>
    <row r="4489" spans="15:19" x14ac:dyDescent="0.2">
      <c r="O4489" s="4">
        <f t="shared" ca="1" si="383"/>
        <v>6.2263061105336859E-2</v>
      </c>
      <c r="P4489" s="4">
        <f t="shared" ca="1" si="384"/>
        <v>-1.5360499822315021</v>
      </c>
      <c r="Q4489" s="4">
        <f t="shared" ca="1" si="385"/>
        <v>1969.7988501765435</v>
      </c>
      <c r="R4489" s="4">
        <f t="shared" ca="1" si="386"/>
        <v>46.128806176543549</v>
      </c>
      <c r="S4489" s="4">
        <f t="shared" ca="1" si="387"/>
        <v>24.217042588018334</v>
      </c>
    </row>
    <row r="4490" spans="15:19" x14ac:dyDescent="0.2">
      <c r="O4490" s="4">
        <f t="shared" ca="1" si="383"/>
        <v>0.75439817456638458</v>
      </c>
      <c r="P4490" s="4">
        <f t="shared" ca="1" si="384"/>
        <v>0.6883956683437541</v>
      </c>
      <c r="Q4490" s="4">
        <f t="shared" ca="1" si="385"/>
        <v>1902.4093679555197</v>
      </c>
      <c r="R4490" s="4">
        <f t="shared" ca="1" si="386"/>
        <v>-21.260676044480306</v>
      </c>
      <c r="S4490" s="4">
        <f t="shared" ca="1" si="387"/>
        <v>-10.578360516097055</v>
      </c>
    </row>
    <row r="4491" spans="15:19" x14ac:dyDescent="0.2">
      <c r="O4491" s="4">
        <f t="shared" ca="1" si="383"/>
        <v>0.73305484074019167</v>
      </c>
      <c r="P4491" s="4">
        <f t="shared" ca="1" si="384"/>
        <v>0.62207839813000598</v>
      </c>
      <c r="Q4491" s="4">
        <f t="shared" ca="1" si="385"/>
        <v>1904.418446712225</v>
      </c>
      <c r="R4491" s="4">
        <f t="shared" ca="1" si="386"/>
        <v>-19.251597287774985</v>
      </c>
      <c r="S4491" s="4">
        <f t="shared" ca="1" si="387"/>
        <v>-9.5944774906903909</v>
      </c>
    </row>
    <row r="4492" spans="15:19" x14ac:dyDescent="0.2">
      <c r="O4492" s="4">
        <f t="shared" ca="1" si="383"/>
        <v>0.93890303738771874</v>
      </c>
      <c r="P4492" s="4">
        <f t="shared" ca="1" si="384"/>
        <v>1.5456301093089035</v>
      </c>
      <c r="Q4492" s="4">
        <f t="shared" ca="1" si="385"/>
        <v>1876.4394886268287</v>
      </c>
      <c r="R4492" s="4">
        <f t="shared" ca="1" si="386"/>
        <v>-47.230555373171228</v>
      </c>
      <c r="S4492" s="4">
        <f t="shared" ca="1" si="387"/>
        <v>-23.000510103259614</v>
      </c>
    </row>
    <row r="4493" spans="15:19" x14ac:dyDescent="0.2">
      <c r="O4493" s="4">
        <f t="shared" ca="1" si="383"/>
        <v>0.92788252643434166</v>
      </c>
      <c r="P4493" s="4">
        <f t="shared" ca="1" si="384"/>
        <v>1.4602006122213271</v>
      </c>
      <c r="Q4493" s="4">
        <f t="shared" ca="1" si="385"/>
        <v>1879.0275714481131</v>
      </c>
      <c r="R4493" s="4">
        <f t="shared" ca="1" si="386"/>
        <v>-44.64247255188684</v>
      </c>
      <c r="S4493" s="4">
        <f t="shared" ca="1" si="387"/>
        <v>-21.787188116409649</v>
      </c>
    </row>
    <row r="4494" spans="15:19" x14ac:dyDescent="0.2">
      <c r="O4494" s="4">
        <f t="shared" ca="1" si="383"/>
        <v>0.25820939833198919</v>
      </c>
      <c r="P4494" s="4">
        <f t="shared" ca="1" si="384"/>
        <v>-0.64887558532465994</v>
      </c>
      <c r="Q4494" s="4">
        <f t="shared" ca="1" si="385"/>
        <v>1942.9219412119032</v>
      </c>
      <c r="R4494" s="4">
        <f t="shared" ca="1" si="386"/>
        <v>19.25189721190327</v>
      </c>
      <c r="S4494" s="4">
        <f t="shared" ca="1" si="387"/>
        <v>9.8963732640220385</v>
      </c>
    </row>
    <row r="4495" spans="15:19" x14ac:dyDescent="0.2">
      <c r="O4495" s="4">
        <f t="shared" ca="1" si="383"/>
        <v>0.82809540420433259</v>
      </c>
      <c r="P4495" s="4">
        <f t="shared" ca="1" si="384"/>
        <v>0.94666562589846559</v>
      </c>
      <c r="Q4495" s="4">
        <f t="shared" ca="1" si="385"/>
        <v>1894.5850910583265</v>
      </c>
      <c r="R4495" s="4">
        <f t="shared" ca="1" si="386"/>
        <v>-29.084952941673464</v>
      </c>
      <c r="S4495" s="4">
        <f t="shared" ca="1" si="387"/>
        <v>-14.378734166544524</v>
      </c>
    </row>
    <row r="4496" spans="15:19" x14ac:dyDescent="0.2">
      <c r="O4496" s="4">
        <f t="shared" ca="1" si="383"/>
        <v>0.42427213256425023</v>
      </c>
      <c r="P4496" s="4">
        <f t="shared" ca="1" si="384"/>
        <v>-0.19097616743021892</v>
      </c>
      <c r="Q4496" s="4">
        <f t="shared" ca="1" si="385"/>
        <v>1929.0498986770656</v>
      </c>
      <c r="R4496" s="4">
        <f t="shared" ca="1" si="386"/>
        <v>5.379854677065623</v>
      </c>
      <c r="S4496" s="4">
        <f t="shared" ca="1" si="387"/>
        <v>2.7351168706804998</v>
      </c>
    </row>
    <row r="4497" spans="15:19" x14ac:dyDescent="0.2">
      <c r="O4497" s="4">
        <f t="shared" ca="1" si="383"/>
        <v>3.9215637358031019E-2</v>
      </c>
      <c r="P4497" s="4">
        <f t="shared" ca="1" si="384"/>
        <v>-1.7598616047988322</v>
      </c>
      <c r="Q4497" s="4">
        <f t="shared" ca="1" si="385"/>
        <v>1976.5792133452094</v>
      </c>
      <c r="R4497" s="4">
        <f t="shared" ca="1" si="386"/>
        <v>52.90916934520942</v>
      </c>
      <c r="S4497" s="4">
        <f t="shared" ca="1" si="387"/>
        <v>27.922681293723759</v>
      </c>
    </row>
    <row r="4498" spans="15:19" x14ac:dyDescent="0.2">
      <c r="O4498" s="4">
        <f t="shared" ca="1" si="383"/>
        <v>0.17540444344990003</v>
      </c>
      <c r="P4498" s="4">
        <f t="shared" ca="1" si="384"/>
        <v>-0.93302146274341413</v>
      </c>
      <c r="Q4498" s="4">
        <f t="shared" ca="1" si="385"/>
        <v>1951.5301279525129</v>
      </c>
      <c r="R4498" s="4">
        <f t="shared" ca="1" si="386"/>
        <v>27.860083952512923</v>
      </c>
      <c r="S4498" s="4">
        <f t="shared" ca="1" si="387"/>
        <v>14.419008116655879</v>
      </c>
    </row>
    <row r="4499" spans="15:19" x14ac:dyDescent="0.2">
      <c r="O4499" s="4">
        <f t="shared" ca="1" si="383"/>
        <v>0.26122465186155419</v>
      </c>
      <c r="P4499" s="4">
        <f t="shared" ca="1" si="384"/>
        <v>-0.6395744405046585</v>
      </c>
      <c r="Q4499" s="4">
        <f t="shared" ca="1" si="385"/>
        <v>1942.6401634425429</v>
      </c>
      <c r="R4499" s="4">
        <f t="shared" ca="1" si="386"/>
        <v>18.970119442542909</v>
      </c>
      <c r="S4499" s="4">
        <f t="shared" ca="1" si="387"/>
        <v>9.7493504149766661</v>
      </c>
    </row>
    <row r="4500" spans="15:19" x14ac:dyDescent="0.2">
      <c r="O4500" s="4">
        <f t="shared" ca="1" si="383"/>
        <v>0.48016713419316692</v>
      </c>
      <c r="P4500" s="4">
        <f t="shared" ca="1" si="384"/>
        <v>-4.9734117337845662E-2</v>
      </c>
      <c r="Q4500" s="4">
        <f t="shared" ca="1" si="385"/>
        <v>1924.7709770405224</v>
      </c>
      <c r="R4500" s="4">
        <f t="shared" ca="1" si="386"/>
        <v>1.1009330405224773</v>
      </c>
      <c r="S4500" s="4">
        <f t="shared" ca="1" si="387"/>
        <v>0.55779647835161605</v>
      </c>
    </row>
    <row r="4501" spans="15:19" x14ac:dyDescent="0.2">
      <c r="O4501" s="4">
        <f t="shared" ca="1" si="383"/>
        <v>0.56895354588265057</v>
      </c>
      <c r="P4501" s="4">
        <f t="shared" ca="1" si="384"/>
        <v>0.173710597904738</v>
      </c>
      <c r="Q4501" s="4">
        <f t="shared" ca="1" si="385"/>
        <v>1918.001729312969</v>
      </c>
      <c r="R4501" s="4">
        <f t="shared" ca="1" si="386"/>
        <v>-5.6683146870309429</v>
      </c>
      <c r="S4501" s="4">
        <f t="shared" ca="1" si="387"/>
        <v>-2.8562773658769594</v>
      </c>
    </row>
    <row r="4502" spans="15:19" x14ac:dyDescent="0.2">
      <c r="O4502" s="4">
        <f t="shared" ca="1" si="383"/>
        <v>0.78545194308067645</v>
      </c>
      <c r="P4502" s="4">
        <f t="shared" ca="1" si="384"/>
        <v>0.79073934077348751</v>
      </c>
      <c r="Q4502" s="4">
        <f t="shared" ca="1" si="385"/>
        <v>1899.308870943217</v>
      </c>
      <c r="R4502" s="4">
        <f t="shared" ca="1" si="386"/>
        <v>-24.361173056782945</v>
      </c>
      <c r="S4502" s="4">
        <f t="shared" ca="1" si="387"/>
        <v>-12.090282365210353</v>
      </c>
    </row>
    <row r="4503" spans="15:19" x14ac:dyDescent="0.2">
      <c r="O4503" s="4">
        <f t="shared" ca="1" si="383"/>
        <v>0.93422288022175248</v>
      </c>
      <c r="P4503" s="4">
        <f t="shared" ca="1" si="384"/>
        <v>1.5080011231672212</v>
      </c>
      <c r="Q4503" s="4">
        <f t="shared" ca="1" si="385"/>
        <v>1877.5794570913019</v>
      </c>
      <c r="R4503" s="4">
        <f t="shared" ca="1" si="386"/>
        <v>-46.090586908698015</v>
      </c>
      <c r="S4503" s="4">
        <f t="shared" ca="1" si="387"/>
        <v>-22.466752210934828</v>
      </c>
    </row>
    <row r="4504" spans="15:19" x14ac:dyDescent="0.2">
      <c r="O4504" s="4">
        <f t="shared" ca="1" si="383"/>
        <v>0.37446499940429812</v>
      </c>
      <c r="P4504" s="4">
        <f t="shared" ca="1" si="384"/>
        <v>-0.32005056592050091</v>
      </c>
      <c r="Q4504" s="4">
        <f t="shared" ca="1" si="385"/>
        <v>1932.9602018485548</v>
      </c>
      <c r="R4504" s="4">
        <f t="shared" ca="1" si="386"/>
        <v>9.2901578485548271</v>
      </c>
      <c r="S4504" s="4">
        <f t="shared" ca="1" si="387"/>
        <v>4.7379018361940659</v>
      </c>
    </row>
    <row r="4505" spans="15:19" x14ac:dyDescent="0.2">
      <c r="O4505" s="4">
        <f t="shared" ca="1" si="383"/>
        <v>0.45568844085716342</v>
      </c>
      <c r="P4505" s="4">
        <f t="shared" ca="1" si="384"/>
        <v>-0.1113019845851337</v>
      </c>
      <c r="Q4505" s="4">
        <f t="shared" ca="1" si="385"/>
        <v>1926.6361728452273</v>
      </c>
      <c r="R4505" s="4">
        <f t="shared" ca="1" si="386"/>
        <v>2.9661288452273311</v>
      </c>
      <c r="S4505" s="4">
        <f t="shared" ca="1" si="387"/>
        <v>1.5050648370210213</v>
      </c>
    </row>
    <row r="4506" spans="15:19" x14ac:dyDescent="0.2">
      <c r="O4506" s="4">
        <f t="shared" ca="1" si="383"/>
        <v>0.80330454805867912</v>
      </c>
      <c r="P4506" s="4">
        <f t="shared" ca="1" si="384"/>
        <v>0.85348409537943026</v>
      </c>
      <c r="Q4506" s="4">
        <f t="shared" ca="1" si="385"/>
        <v>1897.4080213882341</v>
      </c>
      <c r="R4506" s="4">
        <f t="shared" ca="1" si="386"/>
        <v>-26.262022611765815</v>
      </c>
      <c r="S4506" s="4">
        <f t="shared" ca="1" si="387"/>
        <v>-13.013339946058371</v>
      </c>
    </row>
    <row r="4507" spans="15:19" x14ac:dyDescent="0.2">
      <c r="O4507" s="4">
        <f t="shared" ca="1" si="383"/>
        <v>0.65099391255745287</v>
      </c>
      <c r="P4507" s="4">
        <f t="shared" ca="1" si="384"/>
        <v>0.38800521427147439</v>
      </c>
      <c r="Q4507" s="4">
        <f t="shared" ca="1" si="385"/>
        <v>1911.5096834246049</v>
      </c>
      <c r="R4507" s="4">
        <f t="shared" ca="1" si="386"/>
        <v>-12.160360575395089</v>
      </c>
      <c r="S4507" s="4">
        <f t="shared" ca="1" si="387"/>
        <v>-6.0954985278209968</v>
      </c>
    </row>
    <row r="4508" spans="15:19" x14ac:dyDescent="0.2">
      <c r="O4508" s="4">
        <f t="shared" ca="1" si="383"/>
        <v>0.762520567877355</v>
      </c>
      <c r="P4508" s="4">
        <f t="shared" ca="1" si="384"/>
        <v>0.71443398360449983</v>
      </c>
      <c r="Q4508" s="4">
        <f t="shared" ca="1" si="385"/>
        <v>1901.6205383507704</v>
      </c>
      <c r="R4508" s="4">
        <f t="shared" ca="1" si="386"/>
        <v>-22.049505649229559</v>
      </c>
      <c r="S4508" s="4">
        <f t="shared" ca="1" si="387"/>
        <v>-10.963766531602786</v>
      </c>
    </row>
    <row r="4509" spans="15:19" x14ac:dyDescent="0.2">
      <c r="O4509" s="4">
        <f t="shared" ca="1" si="383"/>
        <v>0.81232019427656377</v>
      </c>
      <c r="P4509" s="4">
        <f t="shared" ca="1" si="384"/>
        <v>0.88647872890297019</v>
      </c>
      <c r="Q4509" s="4">
        <f t="shared" ca="1" si="385"/>
        <v>1896.4084504305672</v>
      </c>
      <c r="R4509" s="4">
        <f t="shared" ca="1" si="386"/>
        <v>-27.261593569432762</v>
      </c>
      <c r="S4509" s="4">
        <f t="shared" ca="1" si="387"/>
        <v>-13.497554086431013</v>
      </c>
    </row>
    <row r="4510" spans="15:19" x14ac:dyDescent="0.2">
      <c r="O4510" s="4">
        <f t="shared" ca="1" si="383"/>
        <v>0.90558679108087903</v>
      </c>
      <c r="P4510" s="4">
        <f t="shared" ca="1" si="384"/>
        <v>1.3140587988539867</v>
      </c>
      <c r="Q4510" s="4">
        <f t="shared" ca="1" si="385"/>
        <v>1883.4549311955268</v>
      </c>
      <c r="R4510" s="4">
        <f t="shared" ca="1" si="386"/>
        <v>-40.215112804473165</v>
      </c>
      <c r="S4510" s="4">
        <f t="shared" ca="1" si="387"/>
        <v>-19.698949142935348</v>
      </c>
    </row>
    <row r="4511" spans="15:19" x14ac:dyDescent="0.2">
      <c r="O4511" s="4">
        <f t="shared" ca="1" si="383"/>
        <v>0.83699117001981704</v>
      </c>
      <c r="P4511" s="4">
        <f t="shared" ca="1" si="384"/>
        <v>0.98216684206392912</v>
      </c>
      <c r="Q4511" s="4">
        <f t="shared" ca="1" si="385"/>
        <v>1893.5095832908121</v>
      </c>
      <c r="R4511" s="4">
        <f t="shared" ca="1" si="386"/>
        <v>-30.160460709187873</v>
      </c>
      <c r="S4511" s="4">
        <f t="shared" ca="1" si="387"/>
        <v>-14.897228728623135</v>
      </c>
    </row>
    <row r="4512" spans="15:19" x14ac:dyDescent="0.2">
      <c r="O4512" s="4">
        <f t="shared" ca="1" si="383"/>
        <v>0.92684415063254788</v>
      </c>
      <c r="P4512" s="4">
        <f t="shared" ca="1" si="384"/>
        <v>1.4526833255271414</v>
      </c>
      <c r="Q4512" s="4">
        <f t="shared" ca="1" si="385"/>
        <v>1879.2553073147535</v>
      </c>
      <c r="R4512" s="4">
        <f t="shared" ca="1" si="386"/>
        <v>-44.414736685246453</v>
      </c>
      <c r="S4512" s="4">
        <f t="shared" ca="1" si="387"/>
        <v>-21.680161973003671</v>
      </c>
    </row>
    <row r="4513" spans="15:19" x14ac:dyDescent="0.2">
      <c r="O4513" s="4">
        <f t="shared" ca="1" si="383"/>
        <v>0.14199976105889456</v>
      </c>
      <c r="P4513" s="4">
        <f t="shared" ca="1" si="384"/>
        <v>-1.0713779525247793</v>
      </c>
      <c r="Q4513" s="4">
        <f t="shared" ca="1" si="385"/>
        <v>1955.7216316675501</v>
      </c>
      <c r="R4513" s="4">
        <f t="shared" ca="1" si="386"/>
        <v>32.051587667550166</v>
      </c>
      <c r="S4513" s="4">
        <f t="shared" ca="1" si="387"/>
        <v>16.643011574182609</v>
      </c>
    </row>
    <row r="4514" spans="15:19" x14ac:dyDescent="0.2">
      <c r="O4514" s="4">
        <f t="shared" ca="1" si="383"/>
        <v>0.21716032956324127</v>
      </c>
      <c r="P4514" s="4">
        <f t="shared" ca="1" si="384"/>
        <v>-0.78181950041242998</v>
      </c>
      <c r="Q4514" s="4">
        <f t="shared" ca="1" si="385"/>
        <v>1946.949471216911</v>
      </c>
      <c r="R4514" s="4">
        <f t="shared" ca="1" si="386"/>
        <v>23.279427216911017</v>
      </c>
      <c r="S4514" s="4">
        <f t="shared" ca="1" si="387"/>
        <v>12.004877807349214</v>
      </c>
    </row>
    <row r="4515" spans="15:19" x14ac:dyDescent="0.2">
      <c r="O4515" s="4">
        <f t="shared" ca="1" si="383"/>
        <v>0.1067484749654749</v>
      </c>
      <c r="P4515" s="4">
        <f t="shared" ca="1" si="384"/>
        <v>-1.2440070997672219</v>
      </c>
      <c r="Q4515" s="4">
        <f t="shared" ca="1" si="385"/>
        <v>1960.9514240186988</v>
      </c>
      <c r="R4515" s="4">
        <f t="shared" ca="1" si="386"/>
        <v>37.281380018698883</v>
      </c>
      <c r="S4515" s="4">
        <f t="shared" ca="1" si="387"/>
        <v>19.437985777503705</v>
      </c>
    </row>
    <row r="4516" spans="15:19" x14ac:dyDescent="0.2">
      <c r="O4516" s="4">
        <f t="shared" ca="1" si="383"/>
        <v>0.59280193191170605</v>
      </c>
      <c r="P4516" s="4">
        <f t="shared" ca="1" si="384"/>
        <v>0.23475855622379821</v>
      </c>
      <c r="Q4516" s="4">
        <f t="shared" ca="1" si="385"/>
        <v>1916.1522841261612</v>
      </c>
      <c r="R4516" s="4">
        <f t="shared" ca="1" si="386"/>
        <v>-7.5177598738387132</v>
      </c>
      <c r="S4516" s="4">
        <f t="shared" ca="1" si="387"/>
        <v>-3.7825574690705723</v>
      </c>
    </row>
    <row r="4517" spans="15:19" x14ac:dyDescent="0.2">
      <c r="O4517" s="4">
        <f t="shared" ca="1" si="383"/>
        <v>0.93347144728004394</v>
      </c>
      <c r="P4517" s="4">
        <f t="shared" ca="1" si="384"/>
        <v>1.5021549145795987</v>
      </c>
      <c r="Q4517" s="4">
        <f t="shared" ca="1" si="385"/>
        <v>1877.7565677208981</v>
      </c>
      <c r="R4517" s="4">
        <f t="shared" ca="1" si="386"/>
        <v>-45.913476279101815</v>
      </c>
      <c r="S4517" s="4">
        <f t="shared" ca="1" si="387"/>
        <v>-22.383730226783097</v>
      </c>
    </row>
    <row r="4518" spans="15:19" x14ac:dyDescent="0.2">
      <c r="O4518" s="4">
        <f t="shared" ca="1" si="383"/>
        <v>0.5323195526837341</v>
      </c>
      <c r="P4518" s="4">
        <f t="shared" ca="1" si="384"/>
        <v>8.1101925216275447E-2</v>
      </c>
      <c r="Q4518" s="4">
        <f t="shared" ca="1" si="385"/>
        <v>1920.8073049403342</v>
      </c>
      <c r="R4518" s="4">
        <f t="shared" ca="1" si="386"/>
        <v>-2.8627390596657278</v>
      </c>
      <c r="S4518" s="4">
        <f t="shared" ca="1" si="387"/>
        <v>-1.4458105080433516</v>
      </c>
    </row>
    <row r="4519" spans="15:19" x14ac:dyDescent="0.2">
      <c r="O4519" s="4">
        <f t="shared" ca="1" si="383"/>
        <v>0.89348678396026526</v>
      </c>
      <c r="P4519" s="4">
        <f t="shared" ca="1" si="384"/>
        <v>1.2452865657695211</v>
      </c>
      <c r="Q4519" s="4">
        <f t="shared" ca="1" si="385"/>
        <v>1885.5383829434027</v>
      </c>
      <c r="R4519" s="4">
        <f t="shared" ca="1" si="386"/>
        <v>-38.131661056597295</v>
      </c>
      <c r="S4519" s="4">
        <f t="shared" ca="1" si="387"/>
        <v>-18.710732072020214</v>
      </c>
    </row>
    <row r="4520" spans="15:19" x14ac:dyDescent="0.2">
      <c r="O4520" s="4">
        <f t="shared" ca="1" si="383"/>
        <v>9.2236185453917874E-2</v>
      </c>
      <c r="P4520" s="4">
        <f t="shared" ca="1" si="384"/>
        <v>-1.3271097791126896</v>
      </c>
      <c r="Q4520" s="4">
        <f t="shared" ca="1" si="385"/>
        <v>1963.4690159997942</v>
      </c>
      <c r="R4520" s="4">
        <f t="shared" ca="1" si="386"/>
        <v>39.798971999794276</v>
      </c>
      <c r="S4520" s="4">
        <f t="shared" ca="1" si="387"/>
        <v>20.791410080228502</v>
      </c>
    </row>
    <row r="4521" spans="15:19" x14ac:dyDescent="0.2">
      <c r="O4521" s="4">
        <f t="shared" ca="1" si="383"/>
        <v>0.7972339697796158</v>
      </c>
      <c r="P4521" s="4">
        <f t="shared" ca="1" si="384"/>
        <v>0.83178190318055423</v>
      </c>
      <c r="Q4521" s="4">
        <f t="shared" ca="1" si="385"/>
        <v>1898.0654883373436</v>
      </c>
      <c r="R4521" s="4">
        <f t="shared" ca="1" si="386"/>
        <v>-25.604555662656367</v>
      </c>
      <c r="S4521" s="4">
        <f t="shared" ca="1" si="387"/>
        <v>-12.694405025547223</v>
      </c>
    </row>
    <row r="4522" spans="15:19" x14ac:dyDescent="0.2">
      <c r="O4522" s="4">
        <f t="shared" ca="1" si="383"/>
        <v>0.54974419689575693</v>
      </c>
      <c r="P4522" s="4">
        <f t="shared" ca="1" si="384"/>
        <v>0.12501508717202173</v>
      </c>
      <c r="Q4522" s="4">
        <f t="shared" ca="1" si="385"/>
        <v>1919.4769576485851</v>
      </c>
      <c r="R4522" s="4">
        <f t="shared" ca="1" si="386"/>
        <v>-4.1930863514148768</v>
      </c>
      <c r="S4522" s="4">
        <f t="shared" ca="1" si="387"/>
        <v>-2.1154243017733996</v>
      </c>
    </row>
    <row r="4523" spans="15:19" x14ac:dyDescent="0.2">
      <c r="O4523" s="4">
        <f t="shared" ca="1" si="383"/>
        <v>2.4098701848751847E-2</v>
      </c>
      <c r="P4523" s="4">
        <f t="shared" ca="1" si="384"/>
        <v>-1.9756237763996116</v>
      </c>
      <c r="Q4523" s="4">
        <f t="shared" ca="1" si="385"/>
        <v>1983.1157187542312</v>
      </c>
      <c r="R4523" s="4">
        <f t="shared" ca="1" si="386"/>
        <v>59.445674754231277</v>
      </c>
      <c r="S4523" s="4">
        <f t="shared" ca="1" si="387"/>
        <v>31.530479270954856</v>
      </c>
    </row>
    <row r="4524" spans="15:19" x14ac:dyDescent="0.2">
      <c r="O4524" s="4">
        <f t="shared" ca="1" si="383"/>
        <v>0.90782778200459036</v>
      </c>
      <c r="P4524" s="4">
        <f t="shared" ca="1" si="384"/>
        <v>1.3274966844111311</v>
      </c>
      <c r="Q4524" s="4">
        <f t="shared" ca="1" si="385"/>
        <v>1883.0478310492019</v>
      </c>
      <c r="R4524" s="4">
        <f t="shared" ca="1" si="386"/>
        <v>-40.62221295079803</v>
      </c>
      <c r="S4524" s="4">
        <f t="shared" ca="1" si="387"/>
        <v>-19.891631029303259</v>
      </c>
    </row>
    <row r="4525" spans="15:19" x14ac:dyDescent="0.2">
      <c r="O4525" s="4">
        <f t="shared" ca="1" si="383"/>
        <v>0.53519278707014084</v>
      </c>
      <c r="P4525" s="4">
        <f t="shared" ca="1" si="384"/>
        <v>8.832996190844887E-2</v>
      </c>
      <c r="Q4525" s="4">
        <f t="shared" ca="1" si="385"/>
        <v>1920.5883318896622</v>
      </c>
      <c r="R4525" s="4">
        <f t="shared" ca="1" si="386"/>
        <v>-3.0817121103377758</v>
      </c>
      <c r="S4525" s="4">
        <f t="shared" ca="1" si="387"/>
        <v>-1.5561269394393358</v>
      </c>
    </row>
    <row r="4526" spans="15:19" x14ac:dyDescent="0.2">
      <c r="O4526" s="4">
        <f t="shared" ca="1" si="383"/>
        <v>0.94969331140798563</v>
      </c>
      <c r="P4526" s="4">
        <f t="shared" ca="1" si="384"/>
        <v>1.6418872281680015</v>
      </c>
      <c r="Q4526" s="4">
        <f t="shared" ca="1" si="385"/>
        <v>1873.523383484712</v>
      </c>
      <c r="R4526" s="4">
        <f t="shared" ca="1" si="386"/>
        <v>-50.146660515287977</v>
      </c>
      <c r="S4526" s="4">
        <f t="shared" ca="1" si="387"/>
        <v>-24.361078816291499</v>
      </c>
    </row>
    <row r="4527" spans="15:19" x14ac:dyDescent="0.2">
      <c r="O4527" s="4">
        <f t="shared" ca="1" si="383"/>
        <v>0.89633462994983337</v>
      </c>
      <c r="P4527" s="4">
        <f t="shared" ca="1" si="384"/>
        <v>1.2609392371674721</v>
      </c>
      <c r="Q4527" s="4">
        <f t="shared" ca="1" si="385"/>
        <v>1885.0641859583645</v>
      </c>
      <c r="R4527" s="4">
        <f t="shared" ca="1" si="386"/>
        <v>-38.605858041635429</v>
      </c>
      <c r="S4527" s="4">
        <f t="shared" ca="1" si="387"/>
        <v>-18.935962510547121</v>
      </c>
    </row>
    <row r="4528" spans="15:19" x14ac:dyDescent="0.2">
      <c r="O4528" s="4">
        <f t="shared" ca="1" si="383"/>
        <v>0.72063187461171219</v>
      </c>
      <c r="P4528" s="4">
        <f t="shared" ca="1" si="384"/>
        <v>0.58471963276817873</v>
      </c>
      <c r="Q4528" s="4">
        <f t="shared" ca="1" si="385"/>
        <v>1905.5502288501698</v>
      </c>
      <c r="R4528" s="4">
        <f t="shared" ca="1" si="386"/>
        <v>-18.119815149830174</v>
      </c>
      <c r="S4528" s="4">
        <f t="shared" ca="1" si="387"/>
        <v>-9.0387758076619225</v>
      </c>
    </row>
    <row r="4529" spans="15:19" x14ac:dyDescent="0.2">
      <c r="O4529" s="4">
        <f t="shared" ca="1" si="383"/>
        <v>0.97000387248038211</v>
      </c>
      <c r="P4529" s="4">
        <f t="shared" ca="1" si="384"/>
        <v>1.8808505243268909</v>
      </c>
      <c r="Q4529" s="4">
        <f t="shared" ca="1" si="385"/>
        <v>1866.2840010373086</v>
      </c>
      <c r="R4529" s="4">
        <f t="shared" ca="1" si="386"/>
        <v>-57.386042962691363</v>
      </c>
      <c r="S4529" s="4">
        <f t="shared" ca="1" si="387"/>
        <v>-27.708833791058535</v>
      </c>
    </row>
    <row r="4530" spans="15:19" x14ac:dyDescent="0.2">
      <c r="O4530" s="4">
        <f t="shared" ca="1" si="383"/>
        <v>0.79223312690091219</v>
      </c>
      <c r="P4530" s="4">
        <f t="shared" ca="1" si="384"/>
        <v>0.81419413263600393</v>
      </c>
      <c r="Q4530" s="4">
        <f t="shared" ca="1" si="385"/>
        <v>1898.5983090651114</v>
      </c>
      <c r="R4530" s="4">
        <f t="shared" ca="1" si="386"/>
        <v>-25.071734934888582</v>
      </c>
      <c r="S4530" s="4">
        <f t="shared" ca="1" si="387"/>
        <v>-12.435677384273623</v>
      </c>
    </row>
    <row r="4531" spans="15:19" x14ac:dyDescent="0.2">
      <c r="O4531" s="4">
        <f t="shared" ca="1" si="383"/>
        <v>8.9321563233939583E-2</v>
      </c>
      <c r="P4531" s="4">
        <f t="shared" ca="1" si="384"/>
        <v>-1.3449445980580084</v>
      </c>
      <c r="Q4531" s="4">
        <f t="shared" ca="1" si="385"/>
        <v>1964.0093210478944</v>
      </c>
      <c r="R4531" s="4">
        <f t="shared" ca="1" si="386"/>
        <v>40.339277047894484</v>
      </c>
      <c r="S4531" s="4">
        <f t="shared" ca="1" si="387"/>
        <v>21.082543519131683</v>
      </c>
    </row>
    <row r="4532" spans="15:19" x14ac:dyDescent="0.2">
      <c r="O4532" s="4">
        <f t="shared" ca="1" si="383"/>
        <v>0.65828177546194133</v>
      </c>
      <c r="P4532" s="4">
        <f t="shared" ca="1" si="384"/>
        <v>0.40777829627072376</v>
      </c>
      <c r="Q4532" s="4">
        <f t="shared" ca="1" si="385"/>
        <v>1910.9106587833423</v>
      </c>
      <c r="R4532" s="4">
        <f t="shared" ca="1" si="386"/>
        <v>-12.75938521665762</v>
      </c>
      <c r="S4532" s="4">
        <f t="shared" ca="1" si="387"/>
        <v>-6.3926541257419567</v>
      </c>
    </row>
    <row r="4533" spans="15:19" x14ac:dyDescent="0.2">
      <c r="O4533" s="4">
        <f t="shared" ca="1" si="383"/>
        <v>0.66099669562781183</v>
      </c>
      <c r="P4533" s="4">
        <f t="shared" ca="1" si="384"/>
        <v>0.41518482236977489</v>
      </c>
      <c r="Q4533" s="4">
        <f t="shared" ca="1" si="385"/>
        <v>1910.686278404014</v>
      </c>
      <c r="R4533" s="4">
        <f t="shared" ca="1" si="386"/>
        <v>-12.983765595985915</v>
      </c>
      <c r="S4533" s="4">
        <f t="shared" ca="1" si="387"/>
        <v>-6.5038863346934699</v>
      </c>
    </row>
    <row r="4534" spans="15:19" x14ac:dyDescent="0.2">
      <c r="O4534" s="4">
        <f t="shared" ca="1" si="383"/>
        <v>0.82968737816034777</v>
      </c>
      <c r="P4534" s="4">
        <f t="shared" ca="1" si="384"/>
        <v>0.95293058237094586</v>
      </c>
      <c r="Q4534" s="4">
        <f t="shared" ca="1" si="385"/>
        <v>1894.3952944801504</v>
      </c>
      <c r="R4534" s="4">
        <f t="shared" ca="1" si="386"/>
        <v>-29.274749519849593</v>
      </c>
      <c r="S4534" s="4">
        <f t="shared" ca="1" si="387"/>
        <v>-14.470302162644909</v>
      </c>
    </row>
    <row r="4535" spans="15:19" x14ac:dyDescent="0.2">
      <c r="O4535" s="4">
        <f t="shared" ca="1" si="383"/>
        <v>0.44684585616201755</v>
      </c>
      <c r="P4535" s="4">
        <f t="shared" ca="1" si="384"/>
        <v>-0.13363436024392969</v>
      </c>
      <c r="Q4535" s="4">
        <f t="shared" ca="1" si="385"/>
        <v>1927.3127311742755</v>
      </c>
      <c r="R4535" s="4">
        <f t="shared" ca="1" si="386"/>
        <v>3.6426871742755793</v>
      </c>
      <c r="S4535" s="4">
        <f t="shared" ca="1" si="387"/>
        <v>1.8493653980915474</v>
      </c>
    </row>
    <row r="4536" spans="15:19" x14ac:dyDescent="0.2">
      <c r="O4536" s="4">
        <f t="shared" ca="1" si="383"/>
        <v>0.88013309144148677</v>
      </c>
      <c r="P4536" s="4">
        <f t="shared" ca="1" si="384"/>
        <v>1.1756523748407444</v>
      </c>
      <c r="Q4536" s="4">
        <f t="shared" ca="1" si="385"/>
        <v>1887.6479476659017</v>
      </c>
      <c r="R4536" s="4">
        <f t="shared" ca="1" si="386"/>
        <v>-36.022096334098251</v>
      </c>
      <c r="S4536" s="4">
        <f t="shared" ca="1" si="387"/>
        <v>-17.706528460941531</v>
      </c>
    </row>
    <row r="4537" spans="15:19" x14ac:dyDescent="0.2">
      <c r="O4537" s="4">
        <f t="shared" ca="1" si="383"/>
        <v>0.5464091315093661</v>
      </c>
      <c r="P4537" s="4">
        <f t="shared" ca="1" si="384"/>
        <v>0.11659407018543629</v>
      </c>
      <c r="Q4537" s="4">
        <f t="shared" ca="1" si="385"/>
        <v>1919.732071984309</v>
      </c>
      <c r="R4537" s="4">
        <f t="shared" ca="1" si="386"/>
        <v>-3.9379720156910025</v>
      </c>
      <c r="S4537" s="4">
        <f t="shared" ca="1" si="387"/>
        <v>-1.9871273300760428</v>
      </c>
    </row>
    <row r="4538" spans="15:19" x14ac:dyDescent="0.2">
      <c r="O4538" s="4">
        <f t="shared" ca="1" si="383"/>
        <v>0.81490169474014162</v>
      </c>
      <c r="P4538" s="4">
        <f t="shared" ca="1" si="384"/>
        <v>0.8961051430093373</v>
      </c>
      <c r="Q4538" s="4">
        <f t="shared" ca="1" si="385"/>
        <v>1896.116818642618</v>
      </c>
      <c r="R4538" s="4">
        <f t="shared" ca="1" si="386"/>
        <v>-27.553225357381962</v>
      </c>
      <c r="S4538" s="4">
        <f t="shared" ca="1" si="387"/>
        <v>-13.638673649706448</v>
      </c>
    </row>
    <row r="4539" spans="15:19" x14ac:dyDescent="0.2">
      <c r="O4539" s="4">
        <f t="shared" ca="1" si="383"/>
        <v>0.56517998470799258</v>
      </c>
      <c r="P4539" s="4">
        <f t="shared" ca="1" si="384"/>
        <v>0.16411574064062784</v>
      </c>
      <c r="Q4539" s="4">
        <f t="shared" ca="1" si="385"/>
        <v>1918.2924050877834</v>
      </c>
      <c r="R4539" s="4">
        <f t="shared" ca="1" si="386"/>
        <v>-5.3776389122165256</v>
      </c>
      <c r="S4539" s="4">
        <f t="shared" ca="1" si="387"/>
        <v>-2.7104414557797916</v>
      </c>
    </row>
    <row r="4540" spans="15:19" x14ac:dyDescent="0.2">
      <c r="O4540" s="4">
        <f t="shared" ca="1" si="383"/>
        <v>0.57879342753406238</v>
      </c>
      <c r="P4540" s="4">
        <f t="shared" ca="1" si="384"/>
        <v>0.19880773523774403</v>
      </c>
      <c r="Q4540" s="4">
        <f t="shared" ca="1" si="385"/>
        <v>1917.2414126517535</v>
      </c>
      <c r="R4540" s="4">
        <f t="shared" ca="1" si="386"/>
        <v>-6.4286313482464266</v>
      </c>
      <c r="S4540" s="4">
        <f t="shared" ca="1" si="387"/>
        <v>-3.2374130838941952</v>
      </c>
    </row>
    <row r="4541" spans="15:19" x14ac:dyDescent="0.2">
      <c r="O4541" s="4">
        <f t="shared" ca="1" si="383"/>
        <v>0.37525839668399108</v>
      </c>
      <c r="P4541" s="4">
        <f t="shared" ca="1" si="384"/>
        <v>-0.31795800347736658</v>
      </c>
      <c r="Q4541" s="4">
        <f t="shared" ca="1" si="385"/>
        <v>1932.8968077622476</v>
      </c>
      <c r="R4541" s="4">
        <f t="shared" ca="1" si="386"/>
        <v>9.2267637622476286</v>
      </c>
      <c r="S4541" s="4">
        <f t="shared" ca="1" si="387"/>
        <v>4.7053332851307506</v>
      </c>
    </row>
    <row r="4542" spans="15:19" x14ac:dyDescent="0.2">
      <c r="O4542" s="4">
        <f t="shared" ca="1" si="383"/>
        <v>0.97692161166061298</v>
      </c>
      <c r="P4542" s="4">
        <f t="shared" ca="1" si="384"/>
        <v>1.9939567916913663</v>
      </c>
      <c r="Q4542" s="4">
        <f t="shared" ca="1" si="385"/>
        <v>1862.8574516893068</v>
      </c>
      <c r="R4542" s="4">
        <f t="shared" ca="1" si="386"/>
        <v>-60.812592310693162</v>
      </c>
      <c r="S4542" s="4">
        <f t="shared" ca="1" si="387"/>
        <v>-29.278518119542465</v>
      </c>
    </row>
    <row r="4543" spans="15:19" x14ac:dyDescent="0.2">
      <c r="O4543" s="4">
        <f t="shared" ca="1" si="383"/>
        <v>0.40152676630293893</v>
      </c>
      <c r="P4543" s="4">
        <f t="shared" ca="1" si="384"/>
        <v>-0.2493972235426328</v>
      </c>
      <c r="Q4543" s="4">
        <f t="shared" ca="1" si="385"/>
        <v>1930.8197619781549</v>
      </c>
      <c r="R4543" s="4">
        <f t="shared" ca="1" si="386"/>
        <v>7.1497179781549676</v>
      </c>
      <c r="S4543" s="4">
        <f t="shared" ca="1" si="387"/>
        <v>3.6400660262039537</v>
      </c>
    </row>
    <row r="4544" spans="15:19" x14ac:dyDescent="0.2">
      <c r="O4544" s="4">
        <f t="shared" ca="1" si="383"/>
        <v>0.6230458829718738</v>
      </c>
      <c r="P4544" s="4">
        <f t="shared" ca="1" si="384"/>
        <v>0.3134902407496476</v>
      </c>
      <c r="Q4544" s="4">
        <f t="shared" ca="1" si="385"/>
        <v>1913.7671112390585</v>
      </c>
      <c r="R4544" s="4">
        <f t="shared" ca="1" si="386"/>
        <v>-9.9029327609414395</v>
      </c>
      <c r="S4544" s="4">
        <f t="shared" ca="1" si="387"/>
        <v>-4.9730410655962993</v>
      </c>
    </row>
    <row r="4545" spans="15:19" x14ac:dyDescent="0.2">
      <c r="O4545" s="4">
        <f t="shared" ca="1" si="383"/>
        <v>0.23268119210359728</v>
      </c>
      <c r="P4545" s="4">
        <f t="shared" ca="1" si="384"/>
        <v>-0.7300454816145554</v>
      </c>
      <c r="Q4545" s="4">
        <f t="shared" ca="1" si="385"/>
        <v>1945.3809796161438</v>
      </c>
      <c r="R4545" s="4">
        <f t="shared" ca="1" si="386"/>
        <v>21.710935616143843</v>
      </c>
      <c r="S4545" s="4">
        <f t="shared" ca="1" si="387"/>
        <v>11.18216633923014</v>
      </c>
    </row>
    <row r="4546" spans="15:19" x14ac:dyDescent="0.2">
      <c r="O4546" s="4">
        <f t="shared" ca="1" si="383"/>
        <v>0.2658280790664197</v>
      </c>
      <c r="P4546" s="4">
        <f t="shared" ca="1" si="384"/>
        <v>-0.62547986694197766</v>
      </c>
      <c r="Q4546" s="4">
        <f t="shared" ca="1" si="385"/>
        <v>1942.2131689622461</v>
      </c>
      <c r="R4546" s="4">
        <f t="shared" ca="1" si="386"/>
        <v>18.543124962246111</v>
      </c>
      <c r="S4546" s="4">
        <f t="shared" ca="1" si="387"/>
        <v>9.526681212868036</v>
      </c>
    </row>
    <row r="4547" spans="15:19" x14ac:dyDescent="0.2">
      <c r="O4547" s="4">
        <f t="shared" ref="O4547:O4610" ca="1" si="388">RAND()</f>
        <v>0.55213133448448837</v>
      </c>
      <c r="P4547" s="4">
        <f t="shared" ref="P4547:P4610" ca="1" si="389">NORMSINV(O4547)</f>
        <v>0.13104800663470942</v>
      </c>
      <c r="Q4547" s="4">
        <f t="shared" ref="Q4547:Q4610" ca="1" si="390">$B$4*(1+$B$17-$B$6/SQRT(252)*P4547)</f>
        <v>1919.2941906213184</v>
      </c>
      <c r="R4547" s="4">
        <f t="shared" ref="R4547:R4610" ca="1" si="391">Q4547-$B$4</f>
        <v>-4.3758533786815406</v>
      </c>
      <c r="S4547" s="4">
        <f t="shared" ref="S4547:S4610" ca="1" si="392">R4547*$B$12+0.5*$B$13*R4547^2</f>
        <v>-2.2073052420517514</v>
      </c>
    </row>
    <row r="4548" spans="15:19" x14ac:dyDescent="0.2">
      <c r="O4548" s="4">
        <f t="shared" ca="1" si="388"/>
        <v>0.51987801999071137</v>
      </c>
      <c r="P4548" s="4">
        <f t="shared" ca="1" si="389"/>
        <v>4.9847442478317648E-2</v>
      </c>
      <c r="Q4548" s="4">
        <f t="shared" ca="1" si="390"/>
        <v>1921.7541581072128</v>
      </c>
      <c r="R4548" s="4">
        <f t="shared" ca="1" si="391"/>
        <v>-1.9158858927871734</v>
      </c>
      <c r="S4548" s="4">
        <f t="shared" ca="1" si="392"/>
        <v>-0.96834600891582301</v>
      </c>
    </row>
    <row r="4549" spans="15:19" x14ac:dyDescent="0.2">
      <c r="O4549" s="4">
        <f t="shared" ca="1" si="388"/>
        <v>0.77840520610751385</v>
      </c>
      <c r="P4549" s="4">
        <f t="shared" ca="1" si="389"/>
        <v>0.76681824380209795</v>
      </c>
      <c r="Q4549" s="4">
        <f t="shared" ca="1" si="390"/>
        <v>1900.0335595138927</v>
      </c>
      <c r="R4549" s="4">
        <f t="shared" ca="1" si="391"/>
        <v>-23.636484486107292</v>
      </c>
      <c r="S4549" s="4">
        <f t="shared" ca="1" si="392"/>
        <v>-11.737597145394515</v>
      </c>
    </row>
    <row r="4550" spans="15:19" x14ac:dyDescent="0.2">
      <c r="O4550" s="4">
        <f t="shared" ca="1" si="388"/>
        <v>0.90205856673099682</v>
      </c>
      <c r="P4550" s="4">
        <f t="shared" ca="1" si="389"/>
        <v>1.2933707355738622</v>
      </c>
      <c r="Q4550" s="4">
        <f t="shared" ca="1" si="390"/>
        <v>1884.081675154069</v>
      </c>
      <c r="R4550" s="4">
        <f t="shared" ca="1" si="391"/>
        <v>-39.588368845930972</v>
      </c>
      <c r="S4550" s="4">
        <f t="shared" ca="1" si="392"/>
        <v>-19.402045329089859</v>
      </c>
    </row>
    <row r="4551" spans="15:19" x14ac:dyDescent="0.2">
      <c r="O4551" s="4">
        <f t="shared" ca="1" si="388"/>
        <v>0.74110872159251107</v>
      </c>
      <c r="P4551" s="4">
        <f t="shared" ca="1" si="389"/>
        <v>0.64676730316507369</v>
      </c>
      <c r="Q4551" s="4">
        <f t="shared" ca="1" si="390"/>
        <v>1903.6704974303502</v>
      </c>
      <c r="R4551" s="4">
        <f t="shared" ca="1" si="391"/>
        <v>-19.999546569649738</v>
      </c>
      <c r="S4551" s="4">
        <f t="shared" ca="1" si="392"/>
        <v>-9.9611460599498258</v>
      </c>
    </row>
    <row r="4552" spans="15:19" x14ac:dyDescent="0.2">
      <c r="O4552" s="4">
        <f t="shared" ca="1" si="388"/>
        <v>0.94796932918144061</v>
      </c>
      <c r="P4552" s="4">
        <f t="shared" ca="1" si="389"/>
        <v>1.6254752108551611</v>
      </c>
      <c r="Q4552" s="4">
        <f t="shared" ca="1" si="390"/>
        <v>1874.0205848205273</v>
      </c>
      <c r="R4552" s="4">
        <f t="shared" ca="1" si="391"/>
        <v>-49.649459179472615</v>
      </c>
      <c r="S4552" s="4">
        <f t="shared" ca="1" si="392"/>
        <v>-24.129588901913642</v>
      </c>
    </row>
    <row r="4553" spans="15:19" x14ac:dyDescent="0.2">
      <c r="O4553" s="4">
        <f t="shared" ca="1" si="388"/>
        <v>6.1558329681384194E-2</v>
      </c>
      <c r="P4553" s="4">
        <f t="shared" ca="1" si="389"/>
        <v>-1.5418228024589546</v>
      </c>
      <c r="Q4553" s="4">
        <f t="shared" ca="1" si="390"/>
        <v>1969.9737375090267</v>
      </c>
      <c r="R4553" s="4">
        <f t="shared" ca="1" si="391"/>
        <v>46.303693509026743</v>
      </c>
      <c r="S4553" s="4">
        <f t="shared" ca="1" si="392"/>
        <v>24.312152654014124</v>
      </c>
    </row>
    <row r="4554" spans="15:19" x14ac:dyDescent="0.2">
      <c r="O4554" s="4">
        <f t="shared" ca="1" si="388"/>
        <v>0.45102606179925508</v>
      </c>
      <c r="P4554" s="4">
        <f t="shared" ca="1" si="389"/>
        <v>-0.12306942362132041</v>
      </c>
      <c r="Q4554" s="4">
        <f t="shared" ca="1" si="390"/>
        <v>1926.9926668883663</v>
      </c>
      <c r="R4554" s="4">
        <f t="shared" ca="1" si="391"/>
        <v>3.322622888366368</v>
      </c>
      <c r="S4554" s="4">
        <f t="shared" ca="1" si="392"/>
        <v>1.686438223011236</v>
      </c>
    </row>
    <row r="4555" spans="15:19" x14ac:dyDescent="0.2">
      <c r="O4555" s="4">
        <f t="shared" ca="1" si="388"/>
        <v>0.45519203668998465</v>
      </c>
      <c r="P4555" s="4">
        <f t="shared" ca="1" si="389"/>
        <v>-0.11255410407883698</v>
      </c>
      <c r="Q4555" s="4">
        <f t="shared" ca="1" si="390"/>
        <v>1926.6741057496963</v>
      </c>
      <c r="R4555" s="4">
        <f t="shared" ca="1" si="391"/>
        <v>3.0040617496963478</v>
      </c>
      <c r="S4555" s="4">
        <f t="shared" ca="1" si="392"/>
        <v>1.5243590324242573</v>
      </c>
    </row>
    <row r="4556" spans="15:19" x14ac:dyDescent="0.2">
      <c r="O4556" s="4">
        <f t="shared" ca="1" si="388"/>
        <v>0.54026170369367665</v>
      </c>
      <c r="P4556" s="4">
        <f t="shared" ca="1" si="389"/>
        <v>0.10109305310719445</v>
      </c>
      <c r="Q4556" s="4">
        <f t="shared" ca="1" si="390"/>
        <v>1920.2016746084648</v>
      </c>
      <c r="R4556" s="4">
        <f t="shared" ca="1" si="391"/>
        <v>-3.4683693915351341</v>
      </c>
      <c r="S4556" s="4">
        <f t="shared" ca="1" si="392"/>
        <v>-1.7508256839903318</v>
      </c>
    </row>
    <row r="4557" spans="15:19" x14ac:dyDescent="0.2">
      <c r="O4557" s="4">
        <f t="shared" ca="1" si="388"/>
        <v>0.67499762104910122</v>
      </c>
      <c r="P4557" s="4">
        <f t="shared" ca="1" si="389"/>
        <v>0.45375558041422026</v>
      </c>
      <c r="Q4557" s="4">
        <f t="shared" ca="1" si="390"/>
        <v>1909.5177790015605</v>
      </c>
      <c r="R4557" s="4">
        <f t="shared" ca="1" si="391"/>
        <v>-14.152264998439477</v>
      </c>
      <c r="S4557" s="4">
        <f t="shared" ca="1" si="392"/>
        <v>-7.082484649254428</v>
      </c>
    </row>
    <row r="4558" spans="15:19" x14ac:dyDescent="0.2">
      <c r="O4558" s="4">
        <f t="shared" ca="1" si="388"/>
        <v>0.34864822230632186</v>
      </c>
      <c r="P4558" s="4">
        <f t="shared" ca="1" si="389"/>
        <v>-0.38897256059650603</v>
      </c>
      <c r="Q4558" s="4">
        <f t="shared" ca="1" si="390"/>
        <v>1935.0481906171972</v>
      </c>
      <c r="R4558" s="4">
        <f t="shared" ca="1" si="391"/>
        <v>11.378146617197217</v>
      </c>
      <c r="S4558" s="4">
        <f t="shared" ca="1" si="392"/>
        <v>5.8124293513325291</v>
      </c>
    </row>
    <row r="4559" spans="15:19" x14ac:dyDescent="0.2">
      <c r="O4559" s="4">
        <f t="shared" ca="1" si="388"/>
        <v>0.38921103896994236</v>
      </c>
      <c r="P4559" s="4">
        <f t="shared" ca="1" si="389"/>
        <v>-0.2813759297270183</v>
      </c>
      <c r="Q4559" s="4">
        <f t="shared" ca="1" si="390"/>
        <v>1931.7885554621882</v>
      </c>
      <c r="R4559" s="4">
        <f t="shared" ca="1" si="391"/>
        <v>8.1185114621882803</v>
      </c>
      <c r="S4559" s="4">
        <f t="shared" ca="1" si="392"/>
        <v>4.1365000478388554</v>
      </c>
    </row>
    <row r="4560" spans="15:19" x14ac:dyDescent="0.2">
      <c r="O4560" s="4">
        <f t="shared" ca="1" si="388"/>
        <v>0.59037322124639957</v>
      </c>
      <c r="P4560" s="4">
        <f t="shared" ca="1" si="389"/>
        <v>0.22850514407679096</v>
      </c>
      <c r="Q4560" s="4">
        <f t="shared" ca="1" si="390"/>
        <v>1916.3417309695096</v>
      </c>
      <c r="R4560" s="4">
        <f t="shared" ca="1" si="391"/>
        <v>-7.3283130304903352</v>
      </c>
      <c r="S4560" s="4">
        <f t="shared" ca="1" si="392"/>
        <v>-3.6878025205046301</v>
      </c>
    </row>
    <row r="4561" spans="15:19" x14ac:dyDescent="0.2">
      <c r="O4561" s="4">
        <f t="shared" ca="1" si="388"/>
        <v>0.79041022894869772</v>
      </c>
      <c r="P4561" s="4">
        <f t="shared" ca="1" si="389"/>
        <v>0.80784547632598414</v>
      </c>
      <c r="Q4561" s="4">
        <f t="shared" ca="1" si="390"/>
        <v>1898.7906413261494</v>
      </c>
      <c r="R4561" s="4">
        <f t="shared" ca="1" si="391"/>
        <v>-24.879402673850564</v>
      </c>
      <c r="S4561" s="4">
        <f t="shared" ca="1" si="392"/>
        <v>-12.342227711528114</v>
      </c>
    </row>
    <row r="4562" spans="15:19" x14ac:dyDescent="0.2">
      <c r="O4562" s="4">
        <f t="shared" ca="1" si="388"/>
        <v>0.5766688599814308</v>
      </c>
      <c r="P4562" s="4">
        <f t="shared" ca="1" si="389"/>
        <v>0.19337884747804093</v>
      </c>
      <c r="Q4562" s="4">
        <f t="shared" ca="1" si="390"/>
        <v>1917.4058805653967</v>
      </c>
      <c r="R4562" s="4">
        <f t="shared" ca="1" si="391"/>
        <v>-6.2641634346032333</v>
      </c>
      <c r="S4562" s="4">
        <f t="shared" ca="1" si="392"/>
        <v>-3.1550075954658681</v>
      </c>
    </row>
    <row r="4563" spans="15:19" x14ac:dyDescent="0.2">
      <c r="O4563" s="4">
        <f t="shared" ca="1" si="388"/>
        <v>0.44623138525213235</v>
      </c>
      <c r="P4563" s="4">
        <f t="shared" ca="1" si="389"/>
        <v>-0.13518858700714464</v>
      </c>
      <c r="Q4563" s="4">
        <f t="shared" ca="1" si="390"/>
        <v>1927.3598164050609</v>
      </c>
      <c r="R4563" s="4">
        <f t="shared" ca="1" si="391"/>
        <v>3.6897724050609213</v>
      </c>
      <c r="S4563" s="4">
        <f t="shared" ca="1" si="392"/>
        <v>1.8733409439851607</v>
      </c>
    </row>
    <row r="4564" spans="15:19" x14ac:dyDescent="0.2">
      <c r="O4564" s="4">
        <f t="shared" ca="1" si="388"/>
        <v>0.86267754474478919</v>
      </c>
      <c r="P4564" s="4">
        <f t="shared" ca="1" si="389"/>
        <v>1.0924282524450966</v>
      </c>
      <c r="Q4564" s="4">
        <f t="shared" ca="1" si="390"/>
        <v>1890.1692187588105</v>
      </c>
      <c r="R4564" s="4">
        <f t="shared" ca="1" si="391"/>
        <v>-33.500825241189432</v>
      </c>
      <c r="S4564" s="4">
        <f t="shared" ca="1" si="392"/>
        <v>-16.501589928322009</v>
      </c>
    </row>
    <row r="4565" spans="15:19" x14ac:dyDescent="0.2">
      <c r="O4565" s="4">
        <f t="shared" ca="1" si="388"/>
        <v>0.44086584792623451</v>
      </c>
      <c r="P4565" s="4">
        <f t="shared" ca="1" si="389"/>
        <v>-0.14877434397201555</v>
      </c>
      <c r="Q4565" s="4">
        <f t="shared" ca="1" si="390"/>
        <v>1927.7713963091178</v>
      </c>
      <c r="R4565" s="4">
        <f t="shared" ca="1" si="391"/>
        <v>4.1013523091178286</v>
      </c>
      <c r="S4565" s="4">
        <f t="shared" ca="1" si="392"/>
        <v>2.0829920596265934</v>
      </c>
    </row>
    <row r="4566" spans="15:19" x14ac:dyDescent="0.2">
      <c r="O4566" s="4">
        <f t="shared" ca="1" si="388"/>
        <v>0.33663947066286681</v>
      </c>
      <c r="P4566" s="4">
        <f t="shared" ca="1" si="389"/>
        <v>-0.42165214194858913</v>
      </c>
      <c r="Q4566" s="4">
        <f t="shared" ca="1" si="390"/>
        <v>1936.0382170833177</v>
      </c>
      <c r="R4566" s="4">
        <f t="shared" ca="1" si="391"/>
        <v>12.368173083317743</v>
      </c>
      <c r="S4566" s="4">
        <f t="shared" ca="1" si="392"/>
        <v>6.3231604335450848</v>
      </c>
    </row>
    <row r="4567" spans="15:19" x14ac:dyDescent="0.2">
      <c r="O4567" s="4">
        <f t="shared" ca="1" si="388"/>
        <v>0.9174330417103872</v>
      </c>
      <c r="P4567" s="4">
        <f t="shared" ca="1" si="389"/>
        <v>1.3880102741914369</v>
      </c>
      <c r="Q4567" s="4">
        <f t="shared" ca="1" si="390"/>
        <v>1881.2145745335501</v>
      </c>
      <c r="R4567" s="4">
        <f t="shared" ca="1" si="391"/>
        <v>-42.455469466449813</v>
      </c>
      <c r="S4567" s="4">
        <f t="shared" ca="1" si="392"/>
        <v>-20.757645690877606</v>
      </c>
    </row>
    <row r="4568" spans="15:19" x14ac:dyDescent="0.2">
      <c r="O4568" s="4">
        <f t="shared" ca="1" si="388"/>
        <v>0.19124882096304541</v>
      </c>
      <c r="P4568" s="4">
        <f t="shared" ca="1" si="389"/>
        <v>-0.87330355764818302</v>
      </c>
      <c r="Q4568" s="4">
        <f t="shared" ca="1" si="390"/>
        <v>1949.7209766690678</v>
      </c>
      <c r="R4568" s="4">
        <f t="shared" ca="1" si="391"/>
        <v>26.050932669067834</v>
      </c>
      <c r="S4568" s="4">
        <f t="shared" ca="1" si="392"/>
        <v>13.463495258444649</v>
      </c>
    </row>
    <row r="4569" spans="15:19" x14ac:dyDescent="0.2">
      <c r="O4569" s="4">
        <f t="shared" ca="1" si="388"/>
        <v>0.71340382189013507</v>
      </c>
      <c r="P4569" s="4">
        <f t="shared" ca="1" si="389"/>
        <v>0.56335619992431896</v>
      </c>
      <c r="Q4569" s="4">
        <f t="shared" ca="1" si="390"/>
        <v>1906.1974330996595</v>
      </c>
      <c r="R4569" s="4">
        <f t="shared" ca="1" si="391"/>
        <v>-17.472610900340442</v>
      </c>
      <c r="S4569" s="4">
        <f t="shared" ca="1" si="392"/>
        <v>-8.7205317486613794</v>
      </c>
    </row>
    <row r="4570" spans="15:19" x14ac:dyDescent="0.2">
      <c r="O4570" s="4">
        <f t="shared" ca="1" si="388"/>
        <v>0.82553024515233375</v>
      </c>
      <c r="P4570" s="4">
        <f t="shared" ca="1" si="389"/>
        <v>0.93664827780174542</v>
      </c>
      <c r="Q4570" s="4">
        <f t="shared" ca="1" si="390"/>
        <v>1894.8885661741565</v>
      </c>
      <c r="R4570" s="4">
        <f t="shared" ca="1" si="391"/>
        <v>-28.781477825843467</v>
      </c>
      <c r="S4570" s="4">
        <f t="shared" ca="1" si="392"/>
        <v>-14.232260641940284</v>
      </c>
    </row>
    <row r="4571" spans="15:19" x14ac:dyDescent="0.2">
      <c r="O4571" s="4">
        <f t="shared" ca="1" si="388"/>
        <v>0.80036307567730369</v>
      </c>
      <c r="P4571" s="4">
        <f t="shared" ca="1" si="389"/>
        <v>0.84291881742842401</v>
      </c>
      <c r="Q4571" s="4">
        <f t="shared" ca="1" si="390"/>
        <v>1897.7280960146722</v>
      </c>
      <c r="R4571" s="4">
        <f t="shared" ca="1" si="391"/>
        <v>-25.941947985327715</v>
      </c>
      <c r="S4571" s="4">
        <f t="shared" ca="1" si="392"/>
        <v>-12.858116822478658</v>
      </c>
    </row>
    <row r="4572" spans="15:19" x14ac:dyDescent="0.2">
      <c r="O4572" s="4">
        <f t="shared" ca="1" si="388"/>
        <v>0.32982861294464583</v>
      </c>
      <c r="P4572" s="4">
        <f t="shared" ca="1" si="389"/>
        <v>-0.44038646544329374</v>
      </c>
      <c r="Q4572" s="4">
        <f t="shared" ca="1" si="390"/>
        <v>1936.6057725818048</v>
      </c>
      <c r="R4572" s="4">
        <f t="shared" ca="1" si="391"/>
        <v>12.935728581804824</v>
      </c>
      <c r="S4572" s="4">
        <f t="shared" ca="1" si="392"/>
        <v>6.616308657196881</v>
      </c>
    </row>
    <row r="4573" spans="15:19" x14ac:dyDescent="0.2">
      <c r="O4573" s="4">
        <f t="shared" ca="1" si="388"/>
        <v>0.41177449145514078</v>
      </c>
      <c r="P4573" s="4">
        <f t="shared" ca="1" si="389"/>
        <v>-0.22298268463172219</v>
      </c>
      <c r="Q4573" s="4">
        <f t="shared" ca="1" si="390"/>
        <v>1930.019534694628</v>
      </c>
      <c r="R4573" s="4">
        <f t="shared" ca="1" si="391"/>
        <v>6.3494906946280025</v>
      </c>
      <c r="S4573" s="4">
        <f t="shared" ca="1" si="392"/>
        <v>3.2305857982455568</v>
      </c>
    </row>
    <row r="4574" spans="15:19" x14ac:dyDescent="0.2">
      <c r="O4574" s="4">
        <f t="shared" ca="1" si="388"/>
        <v>0.15828695490292599</v>
      </c>
      <c r="P4574" s="4">
        <f t="shared" ca="1" si="389"/>
        <v>-1.0015232410741381</v>
      </c>
      <c r="Q4574" s="4">
        <f t="shared" ca="1" si="390"/>
        <v>1953.6053862856318</v>
      </c>
      <c r="R4574" s="4">
        <f t="shared" ca="1" si="391"/>
        <v>29.935342285631805</v>
      </c>
      <c r="S4574" s="4">
        <f t="shared" ca="1" si="392"/>
        <v>15.518348273850659</v>
      </c>
    </row>
    <row r="4575" spans="15:19" x14ac:dyDescent="0.2">
      <c r="O4575" s="4">
        <f t="shared" ca="1" si="388"/>
        <v>0.69355518682192696</v>
      </c>
      <c r="P4575" s="4">
        <f t="shared" ca="1" si="389"/>
        <v>0.50595302580419743</v>
      </c>
      <c r="Q4575" s="4">
        <f t="shared" ca="1" si="390"/>
        <v>1907.9364597109852</v>
      </c>
      <c r="R4575" s="4">
        <f t="shared" ca="1" si="391"/>
        <v>-15.733584289014743</v>
      </c>
      <c r="S4575" s="4">
        <f t="shared" ca="1" si="392"/>
        <v>-7.8637262499855369</v>
      </c>
    </row>
    <row r="4576" spans="15:19" x14ac:dyDescent="0.2">
      <c r="O4576" s="4">
        <f t="shared" ca="1" si="388"/>
        <v>0.35931755003208588</v>
      </c>
      <c r="P4576" s="4">
        <f t="shared" ca="1" si="389"/>
        <v>-0.36028354949255598</v>
      </c>
      <c r="Q4576" s="4">
        <f t="shared" ca="1" si="390"/>
        <v>1934.1790582995663</v>
      </c>
      <c r="R4576" s="4">
        <f t="shared" ca="1" si="391"/>
        <v>10.509014299566388</v>
      </c>
      <c r="S4576" s="4">
        <f t="shared" ca="1" si="392"/>
        <v>5.3647224467791563</v>
      </c>
    </row>
    <row r="4577" spans="15:19" x14ac:dyDescent="0.2">
      <c r="O4577" s="4">
        <f t="shared" ca="1" si="388"/>
        <v>1.0134220051425946E-2</v>
      </c>
      <c r="P4577" s="4">
        <f t="shared" ca="1" si="389"/>
        <v>-2.3213411294566937</v>
      </c>
      <c r="Q4577" s="4">
        <f t="shared" ca="1" si="390"/>
        <v>1993.589210615592</v>
      </c>
      <c r="R4577" s="4">
        <f t="shared" ca="1" si="391"/>
        <v>69.919166615592076</v>
      </c>
      <c r="S4577" s="4">
        <f t="shared" ca="1" si="392"/>
        <v>37.38380218867924</v>
      </c>
    </row>
    <row r="4578" spans="15:19" x14ac:dyDescent="0.2">
      <c r="O4578" s="4">
        <f t="shared" ca="1" si="388"/>
        <v>0.25556333349736204</v>
      </c>
      <c r="P4578" s="4">
        <f t="shared" ca="1" si="389"/>
        <v>-0.65708437209818216</v>
      </c>
      <c r="Q4578" s="4">
        <f t="shared" ca="1" si="390"/>
        <v>1943.170626042745</v>
      </c>
      <c r="R4578" s="4">
        <f t="shared" ca="1" si="391"/>
        <v>19.500582042745009</v>
      </c>
      <c r="S4578" s="4">
        <f t="shared" ca="1" si="392"/>
        <v>10.026182949953043</v>
      </c>
    </row>
    <row r="4579" spans="15:19" x14ac:dyDescent="0.2">
      <c r="O4579" s="4">
        <f t="shared" ca="1" si="388"/>
        <v>0.32116375049968748</v>
      </c>
      <c r="P4579" s="4">
        <f t="shared" ca="1" si="389"/>
        <v>-0.46444703114783653</v>
      </c>
      <c r="Q4579" s="4">
        <f t="shared" ca="1" si="390"/>
        <v>1937.334686351559</v>
      </c>
      <c r="R4579" s="4">
        <f t="shared" ca="1" si="391"/>
        <v>13.664642351558996</v>
      </c>
      <c r="S4579" s="4">
        <f t="shared" ca="1" si="392"/>
        <v>6.9931847656298167</v>
      </c>
    </row>
    <row r="4580" spans="15:19" x14ac:dyDescent="0.2">
      <c r="O4580" s="4">
        <f t="shared" ca="1" si="388"/>
        <v>0.29856096699500068</v>
      </c>
      <c r="P4580" s="4">
        <f t="shared" ca="1" si="389"/>
        <v>-0.52854383059030685</v>
      </c>
      <c r="Q4580" s="4">
        <f t="shared" ca="1" si="390"/>
        <v>1939.2764960448351</v>
      </c>
      <c r="R4580" s="4">
        <f t="shared" ca="1" si="391"/>
        <v>15.606452044835123</v>
      </c>
      <c r="S4580" s="4">
        <f t="shared" ca="1" si="392"/>
        <v>7.9992852171191196</v>
      </c>
    </row>
    <row r="4581" spans="15:19" x14ac:dyDescent="0.2">
      <c r="O4581" s="4">
        <f t="shared" ca="1" si="388"/>
        <v>0.45203962873730918</v>
      </c>
      <c r="P4581" s="4">
        <f t="shared" ca="1" si="389"/>
        <v>-0.12050987507812209</v>
      </c>
      <c r="Q4581" s="4">
        <f t="shared" ca="1" si="390"/>
        <v>1926.9151254788915</v>
      </c>
      <c r="R4581" s="4">
        <f t="shared" ca="1" si="391"/>
        <v>3.2450814788915068</v>
      </c>
      <c r="S4581" s="4">
        <f t="shared" ca="1" si="392"/>
        <v>1.646978694264928</v>
      </c>
    </row>
    <row r="4582" spans="15:19" x14ac:dyDescent="0.2">
      <c r="O4582" s="4">
        <f t="shared" ca="1" si="388"/>
        <v>3.4944241320617908E-2</v>
      </c>
      <c r="P4582" s="4">
        <f t="shared" ca="1" si="389"/>
        <v>-1.8126327529601769</v>
      </c>
      <c r="Q4582" s="4">
        <f t="shared" ca="1" si="390"/>
        <v>1978.1779129357712</v>
      </c>
      <c r="R4582" s="4">
        <f t="shared" ca="1" si="391"/>
        <v>54.507868935771285</v>
      </c>
      <c r="S4582" s="4">
        <f t="shared" ca="1" si="392"/>
        <v>28.801863696618003</v>
      </c>
    </row>
    <row r="4583" spans="15:19" x14ac:dyDescent="0.2">
      <c r="O4583" s="4">
        <f t="shared" ca="1" si="388"/>
        <v>0.58502921531704666</v>
      </c>
      <c r="P4583" s="4">
        <f t="shared" ca="1" si="389"/>
        <v>0.21477650802388332</v>
      </c>
      <c r="Q4583" s="4">
        <f t="shared" ca="1" si="390"/>
        <v>1916.757639389195</v>
      </c>
      <c r="R4583" s="4">
        <f t="shared" ca="1" si="391"/>
        <v>-6.9124046108049697</v>
      </c>
      <c r="S4583" s="4">
        <f t="shared" ca="1" si="392"/>
        <v>-3.4796766082771282</v>
      </c>
    </row>
    <row r="4584" spans="15:19" x14ac:dyDescent="0.2">
      <c r="O4584" s="4">
        <f t="shared" ca="1" si="388"/>
        <v>0.72490448148255215</v>
      </c>
      <c r="P4584" s="4">
        <f t="shared" ca="1" si="389"/>
        <v>0.5974738857312869</v>
      </c>
      <c r="Q4584" s="4">
        <f t="shared" ca="1" si="390"/>
        <v>1905.1638393229284</v>
      </c>
      <c r="R4584" s="4">
        <f t="shared" ca="1" si="391"/>
        <v>-18.506204677071537</v>
      </c>
      <c r="S4584" s="4">
        <f t="shared" ca="1" si="392"/>
        <v>-9.2286091637563725</v>
      </c>
    </row>
    <row r="4585" spans="15:19" x14ac:dyDescent="0.2">
      <c r="O4585" s="4">
        <f t="shared" ca="1" si="388"/>
        <v>0.64217669523179211</v>
      </c>
      <c r="P4585" s="4">
        <f t="shared" ca="1" si="389"/>
        <v>0.36428311190100565</v>
      </c>
      <c r="Q4585" s="4">
        <f t="shared" ca="1" si="390"/>
        <v>1912.2283434626806</v>
      </c>
      <c r="R4585" s="4">
        <f t="shared" ca="1" si="391"/>
        <v>-11.441700537319321</v>
      </c>
      <c r="S4585" s="4">
        <f t="shared" ca="1" si="392"/>
        <v>-5.7386104277990917</v>
      </c>
    </row>
    <row r="4586" spans="15:19" x14ac:dyDescent="0.2">
      <c r="O4586" s="4">
        <f t="shared" ca="1" si="388"/>
        <v>3.2065520128620517E-2</v>
      </c>
      <c r="P4586" s="4">
        <f t="shared" ca="1" si="389"/>
        <v>-1.8512677708437091</v>
      </c>
      <c r="Q4586" s="4">
        <f t="shared" ca="1" si="390"/>
        <v>1979.348359087197</v>
      </c>
      <c r="R4586" s="4">
        <f t="shared" ca="1" si="391"/>
        <v>55.678315087197007</v>
      </c>
      <c r="S4586" s="4">
        <f t="shared" ca="1" si="392"/>
        <v>29.446853497690846</v>
      </c>
    </row>
    <row r="4587" spans="15:19" x14ac:dyDescent="0.2">
      <c r="O4587" s="4">
        <f t="shared" ca="1" si="388"/>
        <v>0.63784773548286755</v>
      </c>
      <c r="P4587" s="4">
        <f t="shared" ca="1" si="389"/>
        <v>0.35271177741789622</v>
      </c>
      <c r="Q4587" s="4">
        <f t="shared" ca="1" si="390"/>
        <v>1912.5788965270906</v>
      </c>
      <c r="R4587" s="4">
        <f t="shared" ca="1" si="391"/>
        <v>-11.09114747290937</v>
      </c>
      <c r="S4587" s="4">
        <f t="shared" ca="1" si="392"/>
        <v>-5.5643724560522481</v>
      </c>
    </row>
    <row r="4588" spans="15:19" x14ac:dyDescent="0.2">
      <c r="O4588" s="4">
        <f t="shared" ca="1" si="388"/>
        <v>0.47150202214243386</v>
      </c>
      <c r="P4588" s="4">
        <f t="shared" ca="1" si="389"/>
        <v>-7.1494697823960951E-2</v>
      </c>
      <c r="Q4588" s="4">
        <f t="shared" ca="1" si="390"/>
        <v>1925.4302128602012</v>
      </c>
      <c r="R4588" s="4">
        <f t="shared" ca="1" si="391"/>
        <v>1.7601688602012473</v>
      </c>
      <c r="S4588" s="4">
        <f t="shared" ca="1" si="392"/>
        <v>0.89227589732369383</v>
      </c>
    </row>
    <row r="4589" spans="15:19" x14ac:dyDescent="0.2">
      <c r="O4589" s="4">
        <f t="shared" ca="1" si="388"/>
        <v>0.61640265403030758</v>
      </c>
      <c r="P4589" s="4">
        <f t="shared" ca="1" si="389"/>
        <v>0.29604634067833169</v>
      </c>
      <c r="Q4589" s="4">
        <f t="shared" ca="1" si="390"/>
        <v>1914.2955734172274</v>
      </c>
      <c r="R4589" s="4">
        <f t="shared" ca="1" si="391"/>
        <v>-9.3744705827725738</v>
      </c>
      <c r="S4589" s="4">
        <f t="shared" ca="1" si="392"/>
        <v>-4.7096753030729888</v>
      </c>
    </row>
    <row r="4590" spans="15:19" x14ac:dyDescent="0.2">
      <c r="O4590" s="4">
        <f t="shared" ca="1" si="388"/>
        <v>0.19094251740683676</v>
      </c>
      <c r="P4590" s="4">
        <f t="shared" ca="1" si="389"/>
        <v>-0.87442833008250331</v>
      </c>
      <c r="Q4590" s="4">
        <f t="shared" ca="1" si="390"/>
        <v>1949.7550516000267</v>
      </c>
      <c r="R4590" s="4">
        <f t="shared" ca="1" si="391"/>
        <v>26.085007600026756</v>
      </c>
      <c r="S4590" s="4">
        <f t="shared" ca="1" si="392"/>
        <v>13.481467492364288</v>
      </c>
    </row>
    <row r="4591" spans="15:19" x14ac:dyDescent="0.2">
      <c r="O4591" s="4">
        <f t="shared" ca="1" si="388"/>
        <v>0.90363401485191674</v>
      </c>
      <c r="P4591" s="4">
        <f t="shared" ca="1" si="389"/>
        <v>1.3025396576838344</v>
      </c>
      <c r="Q4591" s="4">
        <f t="shared" ca="1" si="390"/>
        <v>1883.8039030658385</v>
      </c>
      <c r="R4591" s="4">
        <f t="shared" ca="1" si="391"/>
        <v>-39.866140934161422</v>
      </c>
      <c r="S4591" s="4">
        <f t="shared" ca="1" si="392"/>
        <v>-19.533672163318514</v>
      </c>
    </row>
    <row r="4592" spans="15:19" x14ac:dyDescent="0.2">
      <c r="O4592" s="4">
        <f t="shared" ca="1" si="388"/>
        <v>0.15519166680903818</v>
      </c>
      <c r="P4592" s="4">
        <f t="shared" ca="1" si="389"/>
        <v>-1.0144180110288892</v>
      </c>
      <c r="Q4592" s="4">
        <f t="shared" ca="1" si="390"/>
        <v>1953.9960327688962</v>
      </c>
      <c r="R4592" s="4">
        <f t="shared" ca="1" si="391"/>
        <v>30.325988768896195</v>
      </c>
      <c r="S4592" s="4">
        <f t="shared" ca="1" si="392"/>
        <v>15.72568011661958</v>
      </c>
    </row>
    <row r="4593" spans="15:19" x14ac:dyDescent="0.2">
      <c r="O4593" s="4">
        <f t="shared" ca="1" si="388"/>
        <v>0.3862872396054603</v>
      </c>
      <c r="P4593" s="4">
        <f t="shared" ca="1" si="389"/>
        <v>-0.28900901450271155</v>
      </c>
      <c r="Q4593" s="4">
        <f t="shared" ca="1" si="390"/>
        <v>1932.0197994265668</v>
      </c>
      <c r="R4593" s="4">
        <f t="shared" ca="1" si="391"/>
        <v>8.3497554265668441</v>
      </c>
      <c r="S4593" s="4">
        <f t="shared" ca="1" si="392"/>
        <v>4.2551082034845775</v>
      </c>
    </row>
    <row r="4594" spans="15:19" x14ac:dyDescent="0.2">
      <c r="O4594" s="4">
        <f t="shared" ca="1" si="388"/>
        <v>0.22097778217619068</v>
      </c>
      <c r="P4594" s="4">
        <f t="shared" ca="1" si="389"/>
        <v>-0.7688951373473133</v>
      </c>
      <c r="Q4594" s="4">
        <f t="shared" ca="1" si="390"/>
        <v>1946.5579282116819</v>
      </c>
      <c r="R4594" s="4">
        <f t="shared" ca="1" si="391"/>
        <v>22.887884211681921</v>
      </c>
      <c r="S4594" s="4">
        <f t="shared" ca="1" si="392"/>
        <v>11.799316521058374</v>
      </c>
    </row>
    <row r="4595" spans="15:19" x14ac:dyDescent="0.2">
      <c r="O4595" s="4">
        <f t="shared" ca="1" si="388"/>
        <v>0.74043839921909782</v>
      </c>
      <c r="P4595" s="4">
        <f t="shared" ca="1" si="389"/>
        <v>0.64469755426821573</v>
      </c>
      <c r="Q4595" s="4">
        <f t="shared" ca="1" si="390"/>
        <v>1903.7332003812855</v>
      </c>
      <c r="R4595" s="4">
        <f t="shared" ca="1" si="391"/>
        <v>-19.93684361871442</v>
      </c>
      <c r="S4595" s="4">
        <f t="shared" ca="1" si="392"/>
        <v>-9.9304245660794965</v>
      </c>
    </row>
    <row r="4596" spans="15:19" x14ac:dyDescent="0.2">
      <c r="O4596" s="4">
        <f t="shared" ca="1" si="388"/>
        <v>0.34095150227352911</v>
      </c>
      <c r="P4596" s="4">
        <f t="shared" ca="1" si="389"/>
        <v>-0.40986769462568479</v>
      </c>
      <c r="Q4596" s="4">
        <f t="shared" ca="1" si="390"/>
        <v>1935.681207774888</v>
      </c>
      <c r="R4596" s="4">
        <f t="shared" ca="1" si="391"/>
        <v>12.011163774888018</v>
      </c>
      <c r="S4596" s="4">
        <f t="shared" ca="1" si="392"/>
        <v>6.1388958366009554</v>
      </c>
    </row>
    <row r="4597" spans="15:19" x14ac:dyDescent="0.2">
      <c r="O4597" s="4">
        <f t="shared" ca="1" si="388"/>
        <v>0.63104379335818095</v>
      </c>
      <c r="P4597" s="4">
        <f t="shared" ca="1" si="389"/>
        <v>0.33461912880384009</v>
      </c>
      <c r="Q4597" s="4">
        <f t="shared" ca="1" si="390"/>
        <v>1913.1270125135582</v>
      </c>
      <c r="R4597" s="4">
        <f t="shared" ca="1" si="391"/>
        <v>-10.543031486441805</v>
      </c>
      <c r="S4597" s="4">
        <f t="shared" ca="1" si="392"/>
        <v>-5.2917378178516303</v>
      </c>
    </row>
    <row r="4598" spans="15:19" x14ac:dyDescent="0.2">
      <c r="O4598" s="4">
        <f t="shared" ca="1" si="388"/>
        <v>0.99307657884015199</v>
      </c>
      <c r="P4598" s="4">
        <f t="shared" ca="1" si="389"/>
        <v>2.4612122469252284</v>
      </c>
      <c r="Q4598" s="4">
        <f t="shared" ca="1" si="390"/>
        <v>1848.7019684186698</v>
      </c>
      <c r="R4598" s="4">
        <f t="shared" ca="1" si="391"/>
        <v>-74.96807558133014</v>
      </c>
      <c r="S4598" s="4">
        <f t="shared" ca="1" si="392"/>
        <v>-35.661758672128691</v>
      </c>
    </row>
    <row r="4599" spans="15:19" x14ac:dyDescent="0.2">
      <c r="O4599" s="4">
        <f t="shared" ca="1" si="388"/>
        <v>0.73600984626520183</v>
      </c>
      <c r="P4599" s="4">
        <f t="shared" ca="1" si="389"/>
        <v>0.63109209816978473</v>
      </c>
      <c r="Q4599" s="4">
        <f t="shared" ca="1" si="390"/>
        <v>1904.145377069719</v>
      </c>
      <c r="R4599" s="4">
        <f t="shared" ca="1" si="391"/>
        <v>-19.524666930281001</v>
      </c>
      <c r="S4599" s="4">
        <f t="shared" ca="1" si="392"/>
        <v>-9.7283977168259081</v>
      </c>
    </row>
    <row r="4600" spans="15:19" x14ac:dyDescent="0.2">
      <c r="O4600" s="4">
        <f t="shared" ca="1" si="388"/>
        <v>0.82719573256208445</v>
      </c>
      <c r="P4600" s="4">
        <f t="shared" ca="1" si="389"/>
        <v>0.94314149260223246</v>
      </c>
      <c r="Q4600" s="4">
        <f t="shared" ca="1" si="390"/>
        <v>1894.6918545200679</v>
      </c>
      <c r="R4600" s="4">
        <f t="shared" ca="1" si="391"/>
        <v>-28.978189479932098</v>
      </c>
      <c r="S4600" s="4">
        <f t="shared" ca="1" si="392"/>
        <v>-14.327212887593262</v>
      </c>
    </row>
    <row r="4601" spans="15:19" x14ac:dyDescent="0.2">
      <c r="O4601" s="4">
        <f t="shared" ca="1" si="388"/>
        <v>0.84241963153255384</v>
      </c>
      <c r="P4601" s="4">
        <f t="shared" ca="1" si="389"/>
        <v>1.0044521235284556</v>
      </c>
      <c r="Q4601" s="4">
        <f t="shared" ca="1" si="390"/>
        <v>1892.8344516782884</v>
      </c>
      <c r="R4601" s="4">
        <f t="shared" ca="1" si="391"/>
        <v>-30.835592321711601</v>
      </c>
      <c r="S4601" s="4">
        <f t="shared" ca="1" si="392"/>
        <v>-15.222223704990551</v>
      </c>
    </row>
    <row r="4602" spans="15:19" x14ac:dyDescent="0.2">
      <c r="O4602" s="4">
        <f t="shared" ca="1" si="388"/>
        <v>7.1702734398189083E-3</v>
      </c>
      <c r="P4602" s="4">
        <f t="shared" ca="1" si="389"/>
        <v>-2.4486179485296931</v>
      </c>
      <c r="Q4602" s="4">
        <f t="shared" ca="1" si="390"/>
        <v>1997.4450561984459</v>
      </c>
      <c r="R4602" s="4">
        <f t="shared" ca="1" si="391"/>
        <v>73.775012198445893</v>
      </c>
      <c r="S4602" s="4">
        <f t="shared" ca="1" si="392"/>
        <v>39.561210809566447</v>
      </c>
    </row>
    <row r="4603" spans="15:19" x14ac:dyDescent="0.2">
      <c r="O4603" s="4">
        <f t="shared" ca="1" si="388"/>
        <v>0.21720691859531271</v>
      </c>
      <c r="P4603" s="4">
        <f t="shared" ca="1" si="389"/>
        <v>-0.78166098329456457</v>
      </c>
      <c r="Q4603" s="4">
        <f t="shared" ca="1" si="390"/>
        <v>1946.944668947863</v>
      </c>
      <c r="R4603" s="4">
        <f t="shared" ca="1" si="391"/>
        <v>23.274624947863003</v>
      </c>
      <c r="S4603" s="4">
        <f t="shared" ca="1" si="392"/>
        <v>12.002355845253787</v>
      </c>
    </row>
    <row r="4604" spans="15:19" x14ac:dyDescent="0.2">
      <c r="O4604" s="4">
        <f t="shared" ca="1" si="388"/>
        <v>0.15552504244795662</v>
      </c>
      <c r="P4604" s="4">
        <f t="shared" ca="1" si="389"/>
        <v>-1.0130210952138905</v>
      </c>
      <c r="Q4604" s="4">
        <f t="shared" ca="1" si="390"/>
        <v>1953.9537132663027</v>
      </c>
      <c r="R4604" s="4">
        <f t="shared" ca="1" si="391"/>
        <v>30.283669266302695</v>
      </c>
      <c r="S4604" s="4">
        <f t="shared" ca="1" si="392"/>
        <v>15.703213449303032</v>
      </c>
    </row>
    <row r="4605" spans="15:19" x14ac:dyDescent="0.2">
      <c r="O4605" s="4">
        <f t="shared" ca="1" si="388"/>
        <v>0.47879606625369564</v>
      </c>
      <c r="P4605" s="4">
        <f t="shared" ca="1" si="389"/>
        <v>-5.3175429276602772E-2</v>
      </c>
      <c r="Q4605" s="4">
        <f t="shared" ca="1" si="390"/>
        <v>1924.8752314329163</v>
      </c>
      <c r="R4605" s="4">
        <f t="shared" ca="1" si="391"/>
        <v>1.2051874329163184</v>
      </c>
      <c r="S4605" s="4">
        <f t="shared" ca="1" si="392"/>
        <v>0.6106689418245852</v>
      </c>
    </row>
    <row r="4606" spans="15:19" x14ac:dyDescent="0.2">
      <c r="O4606" s="4">
        <f t="shared" ca="1" si="388"/>
        <v>0.32891357283199263</v>
      </c>
      <c r="P4606" s="4">
        <f t="shared" ca="1" si="389"/>
        <v>-0.44291509904553999</v>
      </c>
      <c r="Q4606" s="4">
        <f t="shared" ca="1" si="390"/>
        <v>1936.6823774245161</v>
      </c>
      <c r="R4606" s="4">
        <f t="shared" ca="1" si="391"/>
        <v>13.0123334245161</v>
      </c>
      <c r="S4606" s="4">
        <f t="shared" ca="1" si="392"/>
        <v>6.6558959296316988</v>
      </c>
    </row>
    <row r="4607" spans="15:19" x14ac:dyDescent="0.2">
      <c r="O4607" s="4">
        <f t="shared" ca="1" si="388"/>
        <v>0.73630914665028069</v>
      </c>
      <c r="P4607" s="4">
        <f t="shared" ca="1" si="389"/>
        <v>0.63200791278621182</v>
      </c>
      <c r="Q4607" s="4">
        <f t="shared" ca="1" si="390"/>
        <v>1904.1176325065755</v>
      </c>
      <c r="R4607" s="4">
        <f t="shared" ca="1" si="391"/>
        <v>-19.552411493424415</v>
      </c>
      <c r="S4607" s="4">
        <f t="shared" ca="1" si="392"/>
        <v>-9.7420009515683663</v>
      </c>
    </row>
    <row r="4608" spans="15:19" x14ac:dyDescent="0.2">
      <c r="O4608" s="4">
        <f t="shared" ca="1" si="388"/>
        <v>0.56080477960015218</v>
      </c>
      <c r="P4608" s="4">
        <f t="shared" ca="1" si="389"/>
        <v>0.15300993468812574</v>
      </c>
      <c r="Q4608" s="4">
        <f t="shared" ca="1" si="390"/>
        <v>1918.6288549860278</v>
      </c>
      <c r="R4608" s="4">
        <f t="shared" ca="1" si="391"/>
        <v>-5.0411890139721436</v>
      </c>
      <c r="S4608" s="4">
        <f t="shared" ca="1" si="392"/>
        <v>-2.5415541677917686</v>
      </c>
    </row>
    <row r="4609" spans="15:19" x14ac:dyDescent="0.2">
      <c r="O4609" s="4">
        <f t="shared" ca="1" si="388"/>
        <v>0.38727992560823554</v>
      </c>
      <c r="P4609" s="4">
        <f t="shared" ca="1" si="389"/>
        <v>-0.28641556953284603</v>
      </c>
      <c r="Q4609" s="4">
        <f t="shared" ca="1" si="390"/>
        <v>1931.9412311263509</v>
      </c>
      <c r="R4609" s="4">
        <f t="shared" ca="1" si="391"/>
        <v>8.2711871263509238</v>
      </c>
      <c r="S4609" s="4">
        <f t="shared" ca="1" si="392"/>
        <v>4.214804577109585</v>
      </c>
    </row>
    <row r="4610" spans="15:19" x14ac:dyDescent="0.2">
      <c r="O4610" s="4">
        <f t="shared" ca="1" si="388"/>
        <v>0.72611417905778375</v>
      </c>
      <c r="P4610" s="4">
        <f t="shared" ca="1" si="389"/>
        <v>0.60110261483868466</v>
      </c>
      <c r="Q4610" s="4">
        <f t="shared" ca="1" si="390"/>
        <v>1905.0539071357318</v>
      </c>
      <c r="R4610" s="4">
        <f t="shared" ca="1" si="391"/>
        <v>-18.616136864268128</v>
      </c>
      <c r="S4610" s="4">
        <f t="shared" ca="1" si="392"/>
        <v>-9.2825966885234017</v>
      </c>
    </row>
    <row r="4611" spans="15:19" x14ac:dyDescent="0.2">
      <c r="O4611" s="4">
        <f t="shared" ref="O4611:O4674" ca="1" si="393">RAND()</f>
        <v>0.46774661006358109</v>
      </c>
      <c r="P4611" s="4">
        <f t="shared" ref="P4611:P4674" ca="1" si="394">NORMSINV(O4611)</f>
        <v>-8.0935534601231179E-2</v>
      </c>
      <c r="Q4611" s="4">
        <f t="shared" ref="Q4611:Q4674" ca="1" si="395">$B$4*(1+$B$17-$B$6/SQRT(252)*P4611)</f>
        <v>1925.716222591205</v>
      </c>
      <c r="R4611" s="4">
        <f t="shared" ref="R4611:R4674" ca="1" si="396">Q4611-$B$4</f>
        <v>2.0461785912050345</v>
      </c>
      <c r="S4611" s="4">
        <f t="shared" ref="S4611:S4674" ca="1" si="397">R4611*$B$12+0.5*$B$13*R4611^2</f>
        <v>1.0374999814899919</v>
      </c>
    </row>
    <row r="4612" spans="15:19" x14ac:dyDescent="0.2">
      <c r="O4612" s="4">
        <f t="shared" ca="1" si="393"/>
        <v>0.23158756413643522</v>
      </c>
      <c r="P4612" s="4">
        <f t="shared" ca="1" si="394"/>
        <v>-0.73362859501194611</v>
      </c>
      <c r="Q4612" s="4">
        <f t="shared" ca="1" si="395"/>
        <v>1945.4895298774311</v>
      </c>
      <c r="R4612" s="4">
        <f t="shared" ca="1" si="396"/>
        <v>21.819485877431134</v>
      </c>
      <c r="S4612" s="4">
        <f t="shared" ca="1" si="397"/>
        <v>11.239039043962633</v>
      </c>
    </row>
    <row r="4613" spans="15:19" x14ac:dyDescent="0.2">
      <c r="O4613" s="4">
        <f t="shared" ca="1" si="393"/>
        <v>0.62492604897033199</v>
      </c>
      <c r="P4613" s="4">
        <f t="shared" ca="1" si="394"/>
        <v>0.31844434903730723</v>
      </c>
      <c r="Q4613" s="4">
        <f t="shared" ca="1" si="395"/>
        <v>1913.6170267484413</v>
      </c>
      <c r="R4613" s="4">
        <f t="shared" ca="1" si="396"/>
        <v>-10.053017251558686</v>
      </c>
      <c r="S4613" s="4">
        <f t="shared" ca="1" si="397"/>
        <v>-5.0477961004865284</v>
      </c>
    </row>
    <row r="4614" spans="15:19" x14ac:dyDescent="0.2">
      <c r="O4614" s="4">
        <f t="shared" ca="1" si="393"/>
        <v>0.71126090718907409</v>
      </c>
      <c r="P4614" s="4">
        <f t="shared" ca="1" si="394"/>
        <v>0.5570720755371239</v>
      </c>
      <c r="Q4614" s="4">
        <f t="shared" ca="1" si="395"/>
        <v>1906.3878103689608</v>
      </c>
      <c r="R4614" s="4">
        <f t="shared" ca="1" si="396"/>
        <v>-17.282233631039162</v>
      </c>
      <c r="S4614" s="4">
        <f t="shared" ca="1" si="397"/>
        <v>-8.6268542969335424</v>
      </c>
    </row>
    <row r="4615" spans="15:19" x14ac:dyDescent="0.2">
      <c r="O4615" s="4">
        <f t="shared" ca="1" si="393"/>
        <v>0.20740635697163146</v>
      </c>
      <c r="P4615" s="4">
        <f t="shared" ca="1" si="394"/>
        <v>-0.8154536000383994</v>
      </c>
      <c r="Q4615" s="4">
        <f t="shared" ca="1" si="395"/>
        <v>1947.9684147717592</v>
      </c>
      <c r="R4615" s="4">
        <f t="shared" ca="1" si="396"/>
        <v>24.29837077175921</v>
      </c>
      <c r="S4615" s="4">
        <f t="shared" ca="1" si="397"/>
        <v>12.540411361149724</v>
      </c>
    </row>
    <row r="4616" spans="15:19" x14ac:dyDescent="0.2">
      <c r="O4616" s="4">
        <f t="shared" ca="1" si="393"/>
        <v>0.66083940162991217</v>
      </c>
      <c r="P4616" s="4">
        <f t="shared" ca="1" si="394"/>
        <v>0.41475509317753073</v>
      </c>
      <c r="Q4616" s="4">
        <f t="shared" ca="1" si="395"/>
        <v>1910.6992970308136</v>
      </c>
      <c r="R4616" s="4">
        <f t="shared" ca="1" si="396"/>
        <v>-12.970746969186393</v>
      </c>
      <c r="S4616" s="4">
        <f t="shared" ca="1" si="397"/>
        <v>-6.4974337237720929</v>
      </c>
    </row>
    <row r="4617" spans="15:19" x14ac:dyDescent="0.2">
      <c r="O4617" s="4">
        <f t="shared" ca="1" si="393"/>
        <v>0.12950546894586989</v>
      </c>
      <c r="P4617" s="4">
        <f t="shared" ca="1" si="394"/>
        <v>-1.1287319240931981</v>
      </c>
      <c r="Q4617" s="4">
        <f t="shared" ca="1" si="395"/>
        <v>1957.4591676897567</v>
      </c>
      <c r="R4617" s="4">
        <f t="shared" ca="1" si="396"/>
        <v>33.789123689756707</v>
      </c>
      <c r="S4617" s="4">
        <f t="shared" ca="1" si="397"/>
        <v>17.56913829442874</v>
      </c>
    </row>
    <row r="4618" spans="15:19" x14ac:dyDescent="0.2">
      <c r="O4618" s="4">
        <f t="shared" ca="1" si="393"/>
        <v>0.21648329238083608</v>
      </c>
      <c r="P4618" s="4">
        <f t="shared" ca="1" si="394"/>
        <v>-0.78412531134201069</v>
      </c>
      <c r="Q4618" s="4">
        <f t="shared" ca="1" si="395"/>
        <v>1947.0193256566467</v>
      </c>
      <c r="R4618" s="4">
        <f t="shared" ca="1" si="396"/>
        <v>23.349281656646781</v>
      </c>
      <c r="S4618" s="4">
        <f t="shared" ca="1" si="397"/>
        <v>12.041564723934609</v>
      </c>
    </row>
    <row r="4619" spans="15:19" x14ac:dyDescent="0.2">
      <c r="O4619" s="4">
        <f t="shared" ca="1" si="393"/>
        <v>0.39012636894153785</v>
      </c>
      <c r="P4619" s="4">
        <f t="shared" ca="1" si="394"/>
        <v>-0.27898968878268349</v>
      </c>
      <c r="Q4619" s="4">
        <f t="shared" ca="1" si="395"/>
        <v>1931.7162643987263</v>
      </c>
      <c r="R4619" s="4">
        <f t="shared" ca="1" si="396"/>
        <v>8.046220398726291</v>
      </c>
      <c r="S4619" s="4">
        <f t="shared" ca="1" si="397"/>
        <v>4.0994299163131345</v>
      </c>
    </row>
    <row r="4620" spans="15:19" x14ac:dyDescent="0.2">
      <c r="O4620" s="4">
        <f t="shared" ca="1" si="393"/>
        <v>0.4789083697454023</v>
      </c>
      <c r="P4620" s="4">
        <f t="shared" ca="1" si="394"/>
        <v>-5.2893530003810488E-2</v>
      </c>
      <c r="Q4620" s="4">
        <f t="shared" ca="1" si="395"/>
        <v>1924.8666913069628</v>
      </c>
      <c r="R4620" s="4">
        <f t="shared" ca="1" si="396"/>
        <v>1.1966473069628591</v>
      </c>
      <c r="S4620" s="4">
        <f t="shared" ca="1" si="397"/>
        <v>0.60633749662498415</v>
      </c>
    </row>
    <row r="4621" spans="15:19" x14ac:dyDescent="0.2">
      <c r="O4621" s="4">
        <f t="shared" ca="1" si="393"/>
        <v>0.99603051860436254</v>
      </c>
      <c r="P4621" s="4">
        <f t="shared" ca="1" si="394"/>
        <v>2.654654699764611</v>
      </c>
      <c r="Q4621" s="4">
        <f t="shared" ca="1" si="395"/>
        <v>1842.8416378985514</v>
      </c>
      <c r="R4621" s="4">
        <f t="shared" ca="1" si="396"/>
        <v>-80.828406101448536</v>
      </c>
      <c r="S4621" s="4">
        <f t="shared" ca="1" si="397"/>
        <v>-38.256653495647676</v>
      </c>
    </row>
    <row r="4622" spans="15:19" x14ac:dyDescent="0.2">
      <c r="O4622" s="4">
        <f t="shared" ca="1" si="393"/>
        <v>0.60616674454240482</v>
      </c>
      <c r="P4622" s="4">
        <f t="shared" ca="1" si="394"/>
        <v>0.26934200478815418</v>
      </c>
      <c r="Q4622" s="4">
        <f t="shared" ca="1" si="395"/>
        <v>1915.1045800873744</v>
      </c>
      <c r="R4622" s="4">
        <f t="shared" ca="1" si="396"/>
        <v>-8.5654639126255461</v>
      </c>
      <c r="S4622" s="4">
        <f t="shared" ca="1" si="397"/>
        <v>-4.3060562125644113</v>
      </c>
    </row>
    <row r="4623" spans="15:19" x14ac:dyDescent="0.2">
      <c r="O4623" s="4">
        <f t="shared" ca="1" si="393"/>
        <v>0.39648807162451627</v>
      </c>
      <c r="P4623" s="4">
        <f t="shared" ca="1" si="394"/>
        <v>-0.26244790564464854</v>
      </c>
      <c r="Q4623" s="4">
        <f t="shared" ca="1" si="395"/>
        <v>1931.2151318129982</v>
      </c>
      <c r="R4623" s="4">
        <f t="shared" ca="1" si="396"/>
        <v>7.5450878129981902</v>
      </c>
      <c r="S4623" s="4">
        <f t="shared" ca="1" si="397"/>
        <v>3.8425711337611905</v>
      </c>
    </row>
    <row r="4624" spans="15:19" x14ac:dyDescent="0.2">
      <c r="O4624" s="4">
        <f t="shared" ca="1" si="393"/>
        <v>0.48515357184092134</v>
      </c>
      <c r="P4624" s="4">
        <f t="shared" ca="1" si="394"/>
        <v>-3.7223070595535854E-2</v>
      </c>
      <c r="Q4624" s="4">
        <f t="shared" ca="1" si="395"/>
        <v>1924.391955434942</v>
      </c>
      <c r="R4624" s="4">
        <f t="shared" ca="1" si="396"/>
        <v>0.72191143494205789</v>
      </c>
      <c r="S4624" s="4">
        <f t="shared" ca="1" si="397"/>
        <v>0.36565078604013213</v>
      </c>
    </row>
    <row r="4625" spans="15:19" x14ac:dyDescent="0.2">
      <c r="O4625" s="4">
        <f t="shared" ca="1" si="393"/>
        <v>0.5666671028184016</v>
      </c>
      <c r="P4625" s="4">
        <f t="shared" ca="1" si="394"/>
        <v>0.16789511357634671</v>
      </c>
      <c r="Q4625" s="4">
        <f t="shared" ca="1" si="395"/>
        <v>1918.1779091524961</v>
      </c>
      <c r="R4625" s="4">
        <f t="shared" ca="1" si="396"/>
        <v>-5.4921348475038485</v>
      </c>
      <c r="S4625" s="4">
        <f t="shared" ca="1" si="397"/>
        <v>-2.7678938037649798</v>
      </c>
    </row>
    <row r="4626" spans="15:19" x14ac:dyDescent="0.2">
      <c r="O4626" s="4">
        <f t="shared" ca="1" si="393"/>
        <v>0.27868356202072964</v>
      </c>
      <c r="P4626" s="4">
        <f t="shared" ca="1" si="394"/>
        <v>-0.58675669600694835</v>
      </c>
      <c r="Q4626" s="4">
        <f t="shared" ca="1" si="395"/>
        <v>1941.0400522180396</v>
      </c>
      <c r="R4626" s="4">
        <f t="shared" ca="1" si="396"/>
        <v>17.370008218039629</v>
      </c>
      <c r="S4626" s="4">
        <f t="shared" ca="1" si="397"/>
        <v>8.9156880786490582</v>
      </c>
    </row>
    <row r="4627" spans="15:19" x14ac:dyDescent="0.2">
      <c r="O4627" s="4">
        <f t="shared" ca="1" si="393"/>
        <v>0.33583940787128608</v>
      </c>
      <c r="P4627" s="4">
        <f t="shared" ca="1" si="394"/>
        <v>-0.4238450571965473</v>
      </c>
      <c r="Q4627" s="4">
        <f t="shared" ca="1" si="395"/>
        <v>1936.1046513533915</v>
      </c>
      <c r="R4627" s="4">
        <f t="shared" ca="1" si="396"/>
        <v>12.434607353391584</v>
      </c>
      <c r="S4627" s="4">
        <f t="shared" ca="1" si="397"/>
        <v>6.3574608619688213</v>
      </c>
    </row>
    <row r="4628" spans="15:19" x14ac:dyDescent="0.2">
      <c r="O4628" s="4">
        <f t="shared" ca="1" si="393"/>
        <v>9.4458822703531342E-2</v>
      </c>
      <c r="P4628" s="4">
        <f t="shared" ca="1" si="394"/>
        <v>-1.3137877373712357</v>
      </c>
      <c r="Q4628" s="4">
        <f t="shared" ca="1" si="395"/>
        <v>1963.0654253367222</v>
      </c>
      <c r="R4628" s="4">
        <f t="shared" ca="1" si="396"/>
        <v>39.395381336722266</v>
      </c>
      <c r="S4628" s="4">
        <f t="shared" ca="1" si="397"/>
        <v>20.574097745508325</v>
      </c>
    </row>
    <row r="4629" spans="15:19" x14ac:dyDescent="0.2">
      <c r="O4629" s="4">
        <f t="shared" ca="1" si="393"/>
        <v>0.8640850103927038</v>
      </c>
      <c r="P4629" s="4">
        <f t="shared" ca="1" si="394"/>
        <v>1.0988580678498856</v>
      </c>
      <c r="Q4629" s="4">
        <f t="shared" ca="1" si="395"/>
        <v>1889.9744277865998</v>
      </c>
      <c r="R4629" s="4">
        <f t="shared" ca="1" si="396"/>
        <v>-33.695616213400172</v>
      </c>
      <c r="S4629" s="4">
        <f t="shared" ca="1" si="397"/>
        <v>-16.594866791415498</v>
      </c>
    </row>
    <row r="4630" spans="15:19" x14ac:dyDescent="0.2">
      <c r="O4630" s="4">
        <f t="shared" ca="1" si="393"/>
        <v>9.8453926128190261E-3</v>
      </c>
      <c r="P4630" s="4">
        <f t="shared" ca="1" si="394"/>
        <v>-2.3321883415164537</v>
      </c>
      <c r="Q4630" s="4">
        <f t="shared" ca="1" si="395"/>
        <v>1993.9178264233371</v>
      </c>
      <c r="R4630" s="4">
        <f t="shared" ca="1" si="396"/>
        <v>70.247782423337185</v>
      </c>
      <c r="S4630" s="4">
        <f t="shared" ca="1" si="397"/>
        <v>37.568900775529478</v>
      </c>
    </row>
    <row r="4631" spans="15:19" x14ac:dyDescent="0.2">
      <c r="O4631" s="4">
        <f t="shared" ca="1" si="393"/>
        <v>7.4801992840833775E-2</v>
      </c>
      <c r="P4631" s="4">
        <f t="shared" ca="1" si="394"/>
        <v>-1.4409316776091889</v>
      </c>
      <c r="Q4631" s="4">
        <f t="shared" ca="1" si="395"/>
        <v>1966.9172453611677</v>
      </c>
      <c r="R4631" s="4">
        <f t="shared" ca="1" si="396"/>
        <v>43.247201361167754</v>
      </c>
      <c r="S4631" s="4">
        <f t="shared" ca="1" si="397"/>
        <v>22.653506818779281</v>
      </c>
    </row>
    <row r="4632" spans="15:19" x14ac:dyDescent="0.2">
      <c r="O4632" s="4">
        <f t="shared" ca="1" si="393"/>
        <v>0.99768848832819423</v>
      </c>
      <c r="P4632" s="4">
        <f t="shared" ca="1" si="394"/>
        <v>2.8321909394089402</v>
      </c>
      <c r="Q4632" s="4">
        <f t="shared" ca="1" si="395"/>
        <v>1837.4631854009574</v>
      </c>
      <c r="R4632" s="4">
        <f t="shared" ca="1" si="396"/>
        <v>-86.206858599042562</v>
      </c>
      <c r="S4632" s="4">
        <f t="shared" ca="1" si="397"/>
        <v>-40.613571406270864</v>
      </c>
    </row>
    <row r="4633" spans="15:19" x14ac:dyDescent="0.2">
      <c r="O4633" s="4">
        <f t="shared" ca="1" si="393"/>
        <v>0.97037748600045748</v>
      </c>
      <c r="P4633" s="4">
        <f t="shared" ca="1" si="394"/>
        <v>1.8863706261875319</v>
      </c>
      <c r="Q4633" s="4">
        <f t="shared" ca="1" si="395"/>
        <v>1866.1167697965277</v>
      </c>
      <c r="R4633" s="4">
        <f t="shared" ca="1" si="396"/>
        <v>-57.553274203472256</v>
      </c>
      <c r="S4633" s="4">
        <f t="shared" ca="1" si="397"/>
        <v>-27.7856634245754</v>
      </c>
    </row>
    <row r="4634" spans="15:19" x14ac:dyDescent="0.2">
      <c r="O4634" s="4">
        <f t="shared" ca="1" si="393"/>
        <v>0.32362145392331865</v>
      </c>
      <c r="P4634" s="4">
        <f t="shared" ca="1" si="394"/>
        <v>-0.45759573551707899</v>
      </c>
      <c r="Q4634" s="4">
        <f t="shared" ca="1" si="395"/>
        <v>1937.1271266546157</v>
      </c>
      <c r="R4634" s="4">
        <f t="shared" ca="1" si="396"/>
        <v>13.45708265461576</v>
      </c>
      <c r="S4634" s="4">
        <f t="shared" ca="1" si="397"/>
        <v>6.8858244678634977</v>
      </c>
    </row>
    <row r="4635" spans="15:19" x14ac:dyDescent="0.2">
      <c r="O4635" s="4">
        <f t="shared" ca="1" si="393"/>
        <v>0.14466053590381567</v>
      </c>
      <c r="P4635" s="4">
        <f t="shared" ca="1" si="394"/>
        <v>-1.059612176334251</v>
      </c>
      <c r="Q4635" s="4">
        <f t="shared" ca="1" si="395"/>
        <v>1955.3651880002467</v>
      </c>
      <c r="R4635" s="4">
        <f t="shared" ca="1" si="396"/>
        <v>31.695144000246728</v>
      </c>
      <c r="S4635" s="4">
        <f t="shared" ca="1" si="397"/>
        <v>16.453326823148885</v>
      </c>
    </row>
    <row r="4636" spans="15:19" x14ac:dyDescent="0.2">
      <c r="O4636" s="4">
        <f t="shared" ca="1" si="393"/>
        <v>0.9931403893156634</v>
      </c>
      <c r="P4636" s="4">
        <f t="shared" ca="1" si="394"/>
        <v>2.4645322581493572</v>
      </c>
      <c r="Q4636" s="4">
        <f t="shared" ca="1" si="395"/>
        <v>1848.6013888260402</v>
      </c>
      <c r="R4636" s="4">
        <f t="shared" ca="1" si="396"/>
        <v>-75.068655173959769</v>
      </c>
      <c r="S4636" s="4">
        <f t="shared" ca="1" si="397"/>
        <v>-35.706530114688931</v>
      </c>
    </row>
    <row r="4637" spans="15:19" x14ac:dyDescent="0.2">
      <c r="O4637" s="4">
        <f t="shared" ca="1" si="393"/>
        <v>6.3637239675932489E-2</v>
      </c>
      <c r="P4637" s="4">
        <f t="shared" ca="1" si="394"/>
        <v>-1.5249383338646445</v>
      </c>
      <c r="Q4637" s="4">
        <f t="shared" ca="1" si="395"/>
        <v>1969.4622232826155</v>
      </c>
      <c r="R4637" s="4">
        <f t="shared" ca="1" si="396"/>
        <v>45.792179282615507</v>
      </c>
      <c r="S4637" s="4">
        <f t="shared" ca="1" si="397"/>
        <v>24.034042783166782</v>
      </c>
    </row>
    <row r="4638" spans="15:19" x14ac:dyDescent="0.2">
      <c r="O4638" s="4">
        <f t="shared" ca="1" si="393"/>
        <v>0.10786318838790299</v>
      </c>
      <c r="P4638" s="4">
        <f t="shared" ca="1" si="394"/>
        <v>-1.2379721791067568</v>
      </c>
      <c r="Q4638" s="4">
        <f t="shared" ca="1" si="395"/>
        <v>1960.7685963652348</v>
      </c>
      <c r="R4638" s="4">
        <f t="shared" ca="1" si="396"/>
        <v>37.098552365234809</v>
      </c>
      <c r="S4638" s="4">
        <f t="shared" ca="1" si="397"/>
        <v>19.339901012799523</v>
      </c>
    </row>
    <row r="4639" spans="15:19" x14ac:dyDescent="0.2">
      <c r="O4639" s="4">
        <f t="shared" ca="1" si="393"/>
        <v>2.3346785796729108E-2</v>
      </c>
      <c r="P4639" s="4">
        <f t="shared" ca="1" si="394"/>
        <v>-1.9890691438006545</v>
      </c>
      <c r="Q4639" s="4">
        <f t="shared" ca="1" si="395"/>
        <v>1983.5230455626852</v>
      </c>
      <c r="R4639" s="4">
        <f t="shared" ca="1" si="396"/>
        <v>59.853001562685222</v>
      </c>
      <c r="S4639" s="4">
        <f t="shared" ca="1" si="397"/>
        <v>31.756453029520117</v>
      </c>
    </row>
    <row r="4640" spans="15:19" x14ac:dyDescent="0.2">
      <c r="O4640" s="4">
        <f t="shared" ca="1" si="393"/>
        <v>0.61002374738129672</v>
      </c>
      <c r="P4640" s="4">
        <f t="shared" ca="1" si="394"/>
        <v>0.27938092880385451</v>
      </c>
      <c r="Q4640" s="4">
        <f t="shared" ca="1" si="395"/>
        <v>1914.800451330037</v>
      </c>
      <c r="R4640" s="4">
        <f t="shared" ca="1" si="396"/>
        <v>-8.8695926699629126</v>
      </c>
      <c r="S4640" s="4">
        <f t="shared" ca="1" si="397"/>
        <v>-4.457850683019748</v>
      </c>
    </row>
    <row r="4641" spans="15:19" x14ac:dyDescent="0.2">
      <c r="O4641" s="4">
        <f t="shared" ca="1" si="393"/>
        <v>0.7781914100336973</v>
      </c>
      <c r="P4641" s="4">
        <f t="shared" ca="1" si="394"/>
        <v>0.76609936647534804</v>
      </c>
      <c r="Q4641" s="4">
        <f t="shared" ca="1" si="395"/>
        <v>1900.0553378705893</v>
      </c>
      <c r="R4641" s="4">
        <f t="shared" ca="1" si="396"/>
        <v>-23.614706129410706</v>
      </c>
      <c r="S4641" s="4">
        <f t="shared" ca="1" si="397"/>
        <v>-11.726991623841135</v>
      </c>
    </row>
    <row r="4642" spans="15:19" x14ac:dyDescent="0.2">
      <c r="O4642" s="4">
        <f t="shared" ca="1" si="393"/>
        <v>0.82459217946024788</v>
      </c>
      <c r="P4642" s="4">
        <f t="shared" ca="1" si="394"/>
        <v>0.93300838108270467</v>
      </c>
      <c r="Q4642" s="4">
        <f t="shared" ca="1" si="395"/>
        <v>1894.9988366836519</v>
      </c>
      <c r="R4642" s="4">
        <f t="shared" ca="1" si="396"/>
        <v>-28.671207316348045</v>
      </c>
      <c r="S4642" s="4">
        <f t="shared" ca="1" si="397"/>
        <v>-14.179019550615855</v>
      </c>
    </row>
    <row r="4643" spans="15:19" x14ac:dyDescent="0.2">
      <c r="O4643" s="4">
        <f t="shared" ca="1" si="393"/>
        <v>0.11490018163749394</v>
      </c>
      <c r="P4643" s="4">
        <f t="shared" ca="1" si="394"/>
        <v>-1.2008732729400362</v>
      </c>
      <c r="Q4643" s="4">
        <f t="shared" ca="1" si="395"/>
        <v>1959.644686650068</v>
      </c>
      <c r="R4643" s="4">
        <f t="shared" ca="1" si="396"/>
        <v>35.974642650068063</v>
      </c>
      <c r="S4643" s="4">
        <f t="shared" ca="1" si="397"/>
        <v>18.737535257809473</v>
      </c>
    </row>
    <row r="4644" spans="15:19" x14ac:dyDescent="0.2">
      <c r="O4644" s="4">
        <f t="shared" ca="1" si="393"/>
        <v>0.83938249305094648</v>
      </c>
      <c r="P4644" s="4">
        <f t="shared" ca="1" si="394"/>
        <v>0.99192315280455456</v>
      </c>
      <c r="Q4644" s="4">
        <f t="shared" ca="1" si="395"/>
        <v>1893.2140162900953</v>
      </c>
      <c r="R4644" s="4">
        <f t="shared" ca="1" si="396"/>
        <v>-30.456027709904674</v>
      </c>
      <c r="S4644" s="4">
        <f t="shared" ca="1" si="397"/>
        <v>-15.039554492066289</v>
      </c>
    </row>
    <row r="4645" spans="15:19" x14ac:dyDescent="0.2">
      <c r="O4645" s="4">
        <f t="shared" ca="1" si="393"/>
        <v>0.9068810927539912</v>
      </c>
      <c r="P4645" s="4">
        <f t="shared" ca="1" si="394"/>
        <v>1.3217908246948942</v>
      </c>
      <c r="Q4645" s="4">
        <f t="shared" ca="1" si="395"/>
        <v>1883.2206898159709</v>
      </c>
      <c r="R4645" s="4">
        <f t="shared" ca="1" si="396"/>
        <v>-40.449354184029062</v>
      </c>
      <c r="S4645" s="4">
        <f t="shared" ca="1" si="397"/>
        <v>-19.809832868517947</v>
      </c>
    </row>
    <row r="4646" spans="15:19" x14ac:dyDescent="0.2">
      <c r="O4646" s="4">
        <f t="shared" ca="1" si="393"/>
        <v>0.68489273849890331</v>
      </c>
      <c r="P4646" s="4">
        <f t="shared" ca="1" si="394"/>
        <v>0.48142492840382117</v>
      </c>
      <c r="Q4646" s="4">
        <f t="shared" ca="1" si="395"/>
        <v>1908.6795373327068</v>
      </c>
      <c r="R4646" s="4">
        <f t="shared" ca="1" si="396"/>
        <v>-14.990506667293175</v>
      </c>
      <c r="S4646" s="4">
        <f t="shared" ca="1" si="397"/>
        <v>-7.4968666264111024</v>
      </c>
    </row>
    <row r="4647" spans="15:19" x14ac:dyDescent="0.2">
      <c r="O4647" s="4">
        <f t="shared" ca="1" si="393"/>
        <v>0.99239772091946266</v>
      </c>
      <c r="P4647" s="4">
        <f t="shared" ca="1" si="394"/>
        <v>2.4274696685937691</v>
      </c>
      <c r="Q4647" s="4">
        <f t="shared" ca="1" si="395"/>
        <v>1849.7241983310848</v>
      </c>
      <c r="R4647" s="4">
        <f t="shared" ca="1" si="396"/>
        <v>-73.945845668915126</v>
      </c>
      <c r="S4647" s="4">
        <f t="shared" ca="1" si="397"/>
        <v>-35.206261691378472</v>
      </c>
    </row>
    <row r="4648" spans="15:19" x14ac:dyDescent="0.2">
      <c r="O4648" s="4">
        <f t="shared" ca="1" si="393"/>
        <v>0.16307043217701223</v>
      </c>
      <c r="P4648" s="4">
        <f t="shared" ca="1" si="394"/>
        <v>-0.9819167474981727</v>
      </c>
      <c r="Q4648" s="4">
        <f t="shared" ca="1" si="395"/>
        <v>1953.0114084332565</v>
      </c>
      <c r="R4648" s="4">
        <f t="shared" ca="1" si="396"/>
        <v>29.341364433256558</v>
      </c>
      <c r="S4648" s="4">
        <f t="shared" ca="1" si="397"/>
        <v>15.203338345911327</v>
      </c>
    </row>
    <row r="4649" spans="15:19" x14ac:dyDescent="0.2">
      <c r="O4649" s="4">
        <f t="shared" ca="1" si="393"/>
        <v>0.81274402423894465</v>
      </c>
      <c r="P4649" s="4">
        <f t="shared" ca="1" si="394"/>
        <v>0.88805354140077564</v>
      </c>
      <c r="Q4649" s="4">
        <f t="shared" ca="1" si="395"/>
        <v>1896.3607415558663</v>
      </c>
      <c r="R4649" s="4">
        <f t="shared" ca="1" si="396"/>
        <v>-27.309302444133664</v>
      </c>
      <c r="S4649" s="4">
        <f t="shared" ca="1" si="397"/>
        <v>-13.520644974849851</v>
      </c>
    </row>
    <row r="4650" spans="15:19" x14ac:dyDescent="0.2">
      <c r="O4650" s="4">
        <f t="shared" ca="1" si="393"/>
        <v>0.88693516564041008</v>
      </c>
      <c r="P4650" s="4">
        <f t="shared" ca="1" si="394"/>
        <v>1.2103889793918314</v>
      </c>
      <c r="Q4650" s="4">
        <f t="shared" ca="1" si="395"/>
        <v>1886.5956037732969</v>
      </c>
      <c r="R4650" s="4">
        <f t="shared" ca="1" si="396"/>
        <v>-37.074440226703018</v>
      </c>
      <c r="S4650" s="4">
        <f t="shared" ca="1" si="397"/>
        <v>-18.207922385572381</v>
      </c>
    </row>
    <row r="4651" spans="15:19" x14ac:dyDescent="0.2">
      <c r="O4651" s="4">
        <f t="shared" ca="1" si="393"/>
        <v>0.32617475150401476</v>
      </c>
      <c r="P4651" s="4">
        <f t="shared" ca="1" si="394"/>
        <v>-0.45050062585923251</v>
      </c>
      <c r="Q4651" s="4">
        <f t="shared" ca="1" si="395"/>
        <v>1936.9121806225471</v>
      </c>
      <c r="R4651" s="4">
        <f t="shared" ca="1" si="396"/>
        <v>13.24213662254715</v>
      </c>
      <c r="S4651" s="4">
        <f t="shared" ca="1" si="397"/>
        <v>6.7746805550394793</v>
      </c>
    </row>
    <row r="4652" spans="15:19" x14ac:dyDescent="0.2">
      <c r="O4652" s="4">
        <f t="shared" ca="1" si="393"/>
        <v>0.38245942228292407</v>
      </c>
      <c r="P4652" s="4">
        <f t="shared" ca="1" si="394"/>
        <v>-0.29902778631912086</v>
      </c>
      <c r="Q4652" s="4">
        <f t="shared" ca="1" si="395"/>
        <v>1932.3233176739216</v>
      </c>
      <c r="R4652" s="4">
        <f t="shared" ca="1" si="396"/>
        <v>8.6532736739216034</v>
      </c>
      <c r="S4652" s="4">
        <f t="shared" ca="1" si="397"/>
        <v>4.4108528874274402</v>
      </c>
    </row>
    <row r="4653" spans="15:19" x14ac:dyDescent="0.2">
      <c r="O4653" s="4">
        <f t="shared" ca="1" si="393"/>
        <v>0.53675139387632909</v>
      </c>
      <c r="P4653" s="4">
        <f t="shared" ca="1" si="394"/>
        <v>9.2252770143563811E-2</v>
      </c>
      <c r="Q4653" s="4">
        <f t="shared" ca="1" si="395"/>
        <v>1920.4694905883482</v>
      </c>
      <c r="R4653" s="4">
        <f t="shared" ca="1" si="396"/>
        <v>-3.2005534116517538</v>
      </c>
      <c r="S4653" s="4">
        <f t="shared" ca="1" si="397"/>
        <v>-1.6159816553281601</v>
      </c>
    </row>
    <row r="4654" spans="15:19" x14ac:dyDescent="0.2">
      <c r="O4654" s="4">
        <f t="shared" ca="1" si="393"/>
        <v>0.89214695575573477</v>
      </c>
      <c r="P4654" s="4">
        <f t="shared" ca="1" si="394"/>
        <v>1.2380268951257056</v>
      </c>
      <c r="Q4654" s="4">
        <f t="shared" ca="1" si="395"/>
        <v>1885.758314343235</v>
      </c>
      <c r="R4654" s="4">
        <f t="shared" ca="1" si="396"/>
        <v>-37.911729656764919</v>
      </c>
      <c r="S4654" s="4">
        <f t="shared" ca="1" si="397"/>
        <v>-18.606208603024339</v>
      </c>
    </row>
    <row r="4655" spans="15:19" x14ac:dyDescent="0.2">
      <c r="O4655" s="4">
        <f t="shared" ca="1" si="393"/>
        <v>0.85684890726822915</v>
      </c>
      <c r="P4655" s="4">
        <f t="shared" ca="1" si="394"/>
        <v>1.0662687195558438</v>
      </c>
      <c r="Q4655" s="4">
        <f t="shared" ca="1" si="395"/>
        <v>1890.9617206462335</v>
      </c>
      <c r="R4655" s="4">
        <f t="shared" ca="1" si="396"/>
        <v>-32.708323353766446</v>
      </c>
      <c r="S4655" s="4">
        <f t="shared" ca="1" si="397"/>
        <v>-16.121776988979203</v>
      </c>
    </row>
    <row r="4656" spans="15:19" x14ac:dyDescent="0.2">
      <c r="O4656" s="4">
        <f t="shared" ca="1" si="393"/>
        <v>0.96492781030026797</v>
      </c>
      <c r="P4656" s="4">
        <f t="shared" ca="1" si="394"/>
        <v>1.8109772108169959</v>
      </c>
      <c r="Q4656" s="4">
        <f t="shared" ca="1" si="395"/>
        <v>1868.400809967786</v>
      </c>
      <c r="R4656" s="4">
        <f t="shared" ca="1" si="396"/>
        <v>-55.269234032213944</v>
      </c>
      <c r="S4656" s="4">
        <f t="shared" ca="1" si="397"/>
        <v>-26.734358051184831</v>
      </c>
    </row>
    <row r="4657" spans="15:19" x14ac:dyDescent="0.2">
      <c r="O4657" s="4">
        <f t="shared" ca="1" si="393"/>
        <v>0.94773630567064249</v>
      </c>
      <c r="P4657" s="4">
        <f t="shared" ca="1" si="394"/>
        <v>1.6232901758509155</v>
      </c>
      <c r="Q4657" s="4">
        <f t="shared" ca="1" si="395"/>
        <v>1874.0867803589676</v>
      </c>
      <c r="R4657" s="4">
        <f t="shared" ca="1" si="396"/>
        <v>-49.583263641032318</v>
      </c>
      <c r="S4657" s="4">
        <f t="shared" ca="1" si="397"/>
        <v>-24.098754013455405</v>
      </c>
    </row>
    <row r="4658" spans="15:19" x14ac:dyDescent="0.2">
      <c r="O4658" s="4">
        <f t="shared" ca="1" si="393"/>
        <v>0.85710354666089328</v>
      </c>
      <c r="P4658" s="4">
        <f t="shared" ca="1" si="394"/>
        <v>1.0673963262995088</v>
      </c>
      <c r="Q4658" s="4">
        <f t="shared" ca="1" si="395"/>
        <v>1890.9275598499987</v>
      </c>
      <c r="R4658" s="4">
        <f t="shared" ca="1" si="396"/>
        <v>-32.742484150001246</v>
      </c>
      <c r="S4658" s="4">
        <f t="shared" ca="1" si="397"/>
        <v>-16.138159372215256</v>
      </c>
    </row>
    <row r="4659" spans="15:19" x14ac:dyDescent="0.2">
      <c r="O4659" s="4">
        <f t="shared" ca="1" si="393"/>
        <v>0.50333134074450947</v>
      </c>
      <c r="P4659" s="4">
        <f t="shared" ca="1" si="394"/>
        <v>8.3505299505577096E-3</v>
      </c>
      <c r="Q4659" s="4">
        <f t="shared" ca="1" si="395"/>
        <v>1923.0113052298202</v>
      </c>
      <c r="R4659" s="4">
        <f t="shared" ca="1" si="396"/>
        <v>-0.65873877017975246</v>
      </c>
      <c r="S4659" s="4">
        <f t="shared" ca="1" si="397"/>
        <v>-0.33328337544506514</v>
      </c>
    </row>
    <row r="4660" spans="15:19" x14ac:dyDescent="0.2">
      <c r="O4660" s="4">
        <f t="shared" ca="1" si="393"/>
        <v>3.8277092616218367E-2</v>
      </c>
      <c r="P4660" s="4">
        <f t="shared" ca="1" si="394"/>
        <v>-1.7710391884704402</v>
      </c>
      <c r="Q4660" s="4">
        <f t="shared" ca="1" si="395"/>
        <v>1976.9178377462672</v>
      </c>
      <c r="R4660" s="4">
        <f t="shared" ca="1" si="396"/>
        <v>53.247793746267234</v>
      </c>
      <c r="S4660" s="4">
        <f t="shared" ca="1" si="397"/>
        <v>28.108729337398287</v>
      </c>
    </row>
    <row r="4661" spans="15:19" x14ac:dyDescent="0.2">
      <c r="O4661" s="4">
        <f t="shared" ca="1" si="393"/>
        <v>0.57011205012787436</v>
      </c>
      <c r="P4661" s="4">
        <f t="shared" ca="1" si="394"/>
        <v>0.17665944273108952</v>
      </c>
      <c r="Q4661" s="4">
        <f t="shared" ca="1" si="395"/>
        <v>1917.9123941898806</v>
      </c>
      <c r="R4661" s="4">
        <f t="shared" ca="1" si="396"/>
        <v>-5.7576498101193465</v>
      </c>
      <c r="S4661" s="4">
        <f t="shared" ca="1" si="397"/>
        <v>-2.9010841683944082</v>
      </c>
    </row>
    <row r="4662" spans="15:19" x14ac:dyDescent="0.2">
      <c r="O4662" s="4">
        <f t="shared" ca="1" si="393"/>
        <v>0.78559284576138289</v>
      </c>
      <c r="P4662" s="4">
        <f t="shared" ca="1" si="394"/>
        <v>0.79122225221762565</v>
      </c>
      <c r="Q4662" s="4">
        <f t="shared" ca="1" si="395"/>
        <v>1899.2942411624579</v>
      </c>
      <c r="R4662" s="4">
        <f t="shared" ca="1" si="396"/>
        <v>-24.375802837542096</v>
      </c>
      <c r="S4662" s="4">
        <f t="shared" ca="1" si="397"/>
        <v>-12.097397858581443</v>
      </c>
    </row>
    <row r="4663" spans="15:19" x14ac:dyDescent="0.2">
      <c r="O4663" s="4">
        <f t="shared" ca="1" si="393"/>
        <v>0.38683630115677237</v>
      </c>
      <c r="P4663" s="4">
        <f t="shared" ca="1" si="394"/>
        <v>-0.28757432288362628</v>
      </c>
      <c r="Q4663" s="4">
        <f t="shared" ca="1" si="395"/>
        <v>1931.9763355076655</v>
      </c>
      <c r="R4663" s="4">
        <f t="shared" ca="1" si="396"/>
        <v>8.3062915076654917</v>
      </c>
      <c r="S4663" s="4">
        <f t="shared" ca="1" si="397"/>
        <v>4.2328116495078838</v>
      </c>
    </row>
    <row r="4664" spans="15:19" x14ac:dyDescent="0.2">
      <c r="O4664" s="4">
        <f t="shared" ca="1" si="393"/>
        <v>0.99655733199566365</v>
      </c>
      <c r="P4664" s="4">
        <f t="shared" ca="1" si="394"/>
        <v>2.7023397782375898</v>
      </c>
      <c r="Q4664" s="4">
        <f t="shared" ca="1" si="395"/>
        <v>1841.3970205633823</v>
      </c>
      <c r="R4664" s="4">
        <f t="shared" ca="1" si="396"/>
        <v>-82.273023436617677</v>
      </c>
      <c r="S4664" s="4">
        <f t="shared" ca="1" si="397"/>
        <v>-38.892019634624205</v>
      </c>
    </row>
    <row r="4665" spans="15:19" x14ac:dyDescent="0.2">
      <c r="O4665" s="4">
        <f t="shared" ca="1" si="393"/>
        <v>0.57120410897301443</v>
      </c>
      <c r="P4665" s="4">
        <f t="shared" ca="1" si="394"/>
        <v>0.17944056491785809</v>
      </c>
      <c r="Q4665" s="4">
        <f t="shared" ca="1" si="395"/>
        <v>1917.8281402167115</v>
      </c>
      <c r="R4665" s="4">
        <f t="shared" ca="1" si="396"/>
        <v>-5.8419037832884442</v>
      </c>
      <c r="S4665" s="4">
        <f t="shared" ca="1" si="397"/>
        <v>-2.9433365226671793</v>
      </c>
    </row>
    <row r="4666" spans="15:19" x14ac:dyDescent="0.2">
      <c r="O4666" s="4">
        <f t="shared" ca="1" si="393"/>
        <v>0.97433071578175301</v>
      </c>
      <c r="P4666" s="4">
        <f t="shared" ca="1" si="394"/>
        <v>1.9486388560299137</v>
      </c>
      <c r="Q4666" s="4">
        <f t="shared" ca="1" si="395"/>
        <v>1864.2303565380996</v>
      </c>
      <c r="R4666" s="4">
        <f t="shared" ca="1" si="396"/>
        <v>-59.439687461900348</v>
      </c>
      <c r="S4666" s="4">
        <f t="shared" ca="1" si="397"/>
        <v>-28.650745306185307</v>
      </c>
    </row>
    <row r="4667" spans="15:19" x14ac:dyDescent="0.2">
      <c r="O4667" s="4">
        <f t="shared" ca="1" si="393"/>
        <v>0.77141212313303376</v>
      </c>
      <c r="P4667" s="4">
        <f t="shared" ca="1" si="394"/>
        <v>0.7435053994805757</v>
      </c>
      <c r="Q4667" s="4">
        <f t="shared" ca="1" si="395"/>
        <v>1900.7398210975462</v>
      </c>
      <c r="R4667" s="4">
        <f t="shared" ca="1" si="396"/>
        <v>-22.930222902453806</v>
      </c>
      <c r="S4667" s="4">
        <f t="shared" ca="1" si="397"/>
        <v>-11.39346841923653</v>
      </c>
    </row>
    <row r="4668" spans="15:19" x14ac:dyDescent="0.2">
      <c r="O4668" s="4">
        <f t="shared" ca="1" si="393"/>
        <v>0.92751529747718642</v>
      </c>
      <c r="P4668" s="4">
        <f t="shared" ca="1" si="394"/>
        <v>1.4575326516236693</v>
      </c>
      <c r="Q4668" s="4">
        <f t="shared" ca="1" si="395"/>
        <v>1879.1083971959645</v>
      </c>
      <c r="R4668" s="4">
        <f t="shared" ca="1" si="396"/>
        <v>-44.56164680403549</v>
      </c>
      <c r="S4668" s="4">
        <f t="shared" ca="1" si="397"/>
        <v>-21.749208296074503</v>
      </c>
    </row>
    <row r="4669" spans="15:19" x14ac:dyDescent="0.2">
      <c r="O4669" s="4">
        <f t="shared" ca="1" si="393"/>
        <v>8.2608452560496537E-2</v>
      </c>
      <c r="P4669" s="4">
        <f t="shared" ca="1" si="394"/>
        <v>-1.3877377871497425</v>
      </c>
      <c r="Q4669" s="4">
        <f t="shared" ca="1" si="395"/>
        <v>1965.3057388114541</v>
      </c>
      <c r="R4669" s="4">
        <f t="shared" ca="1" si="396"/>
        <v>41.635694811454186</v>
      </c>
      <c r="S4669" s="4">
        <f t="shared" ca="1" si="397"/>
        <v>21.782063686759336</v>
      </c>
    </row>
    <row r="4670" spans="15:19" x14ac:dyDescent="0.2">
      <c r="O4670" s="4">
        <f t="shared" ca="1" si="393"/>
        <v>0.92259962816155283</v>
      </c>
      <c r="P4670" s="4">
        <f t="shared" ca="1" si="394"/>
        <v>1.4227772316128713</v>
      </c>
      <c r="Q4670" s="4">
        <f t="shared" ca="1" si="395"/>
        <v>1880.1613111020858</v>
      </c>
      <c r="R4670" s="4">
        <f t="shared" ca="1" si="396"/>
        <v>-43.508732897914115</v>
      </c>
      <c r="S4670" s="4">
        <f t="shared" ca="1" si="397"/>
        <v>-21.253960707637059</v>
      </c>
    </row>
    <row r="4671" spans="15:19" x14ac:dyDescent="0.2">
      <c r="O4671" s="4">
        <f t="shared" ca="1" si="393"/>
        <v>0.80807849345645744</v>
      </c>
      <c r="P4671" s="4">
        <f t="shared" ca="1" si="394"/>
        <v>0.87083726826511321</v>
      </c>
      <c r="Q4671" s="4">
        <f t="shared" ca="1" si="395"/>
        <v>1896.8823077861259</v>
      </c>
      <c r="R4671" s="4">
        <f t="shared" ca="1" si="396"/>
        <v>-26.787736213874041</v>
      </c>
      <c r="S4671" s="4">
        <f t="shared" ca="1" si="397"/>
        <v>-13.268108575345655</v>
      </c>
    </row>
    <row r="4672" spans="15:19" x14ac:dyDescent="0.2">
      <c r="O4672" s="4">
        <f t="shared" ca="1" si="393"/>
        <v>0.18017781686456991</v>
      </c>
      <c r="P4672" s="4">
        <f t="shared" ca="1" si="394"/>
        <v>-0.91468764219115206</v>
      </c>
      <c r="Q4672" s="4">
        <f t="shared" ca="1" si="395"/>
        <v>1950.9747056728854</v>
      </c>
      <c r="R4672" s="4">
        <f t="shared" ca="1" si="396"/>
        <v>27.304661672885459</v>
      </c>
      <c r="S4672" s="4">
        <f t="shared" ca="1" si="397"/>
        <v>14.125375427732582</v>
      </c>
    </row>
    <row r="4673" spans="15:19" x14ac:dyDescent="0.2">
      <c r="O4673" s="4">
        <f t="shared" ca="1" si="393"/>
        <v>0.23605691912997473</v>
      </c>
      <c r="P4673" s="4">
        <f t="shared" ca="1" si="394"/>
        <v>-0.71904395364898399</v>
      </c>
      <c r="Q4673" s="4">
        <f t="shared" ca="1" si="395"/>
        <v>1945.0476888148833</v>
      </c>
      <c r="R4673" s="4">
        <f t="shared" ca="1" si="396"/>
        <v>21.377644814883297</v>
      </c>
      <c r="S4673" s="4">
        <f t="shared" ca="1" si="397"/>
        <v>11.007605338736241</v>
      </c>
    </row>
    <row r="4674" spans="15:19" x14ac:dyDescent="0.2">
      <c r="O4674" s="4">
        <f t="shared" ca="1" si="393"/>
        <v>0.98430233956456914</v>
      </c>
      <c r="P4674" s="4">
        <f t="shared" ca="1" si="394"/>
        <v>2.1520258194054818</v>
      </c>
      <c r="Q4674" s="4">
        <f t="shared" ca="1" si="395"/>
        <v>1858.0687575128136</v>
      </c>
      <c r="R4674" s="4">
        <f t="shared" ca="1" si="396"/>
        <v>-65.601286487186371</v>
      </c>
      <c r="S4674" s="4">
        <f t="shared" ca="1" si="397"/>
        <v>-31.456179646253361</v>
      </c>
    </row>
    <row r="4675" spans="15:19" x14ac:dyDescent="0.2">
      <c r="O4675" s="4">
        <f t="shared" ref="O4675:O4738" ca="1" si="398">RAND()</f>
        <v>0.84563660335299229</v>
      </c>
      <c r="P4675" s="4">
        <f t="shared" ref="P4675:P4738" ca="1" si="399">NORMSINV(O4675)</f>
        <v>1.0178972402521205</v>
      </c>
      <c r="Q4675" s="4">
        <f t="shared" ref="Q4675:Q4738" ca="1" si="400">$B$4*(1+$B$17-$B$6/SQRT(252)*P4675)</f>
        <v>1892.4271324640947</v>
      </c>
      <c r="R4675" s="4">
        <f t="shared" ref="R4675:R4738" ca="1" si="401">Q4675-$B$4</f>
        <v>-31.24291153590525</v>
      </c>
      <c r="S4675" s="4">
        <f t="shared" ref="S4675:S4738" ca="1" si="402">R4675*$B$12+0.5*$B$13*R4675^2</f>
        <v>-15.418119623107115</v>
      </c>
    </row>
    <row r="4676" spans="15:19" x14ac:dyDescent="0.2">
      <c r="O4676" s="4">
        <f t="shared" ca="1" si="398"/>
        <v>0.20080265849182888</v>
      </c>
      <c r="P4676" s="4">
        <f t="shared" ca="1" si="399"/>
        <v>-0.83875765572357419</v>
      </c>
      <c r="Q4676" s="4">
        <f t="shared" ca="1" si="400"/>
        <v>1948.6744101040649</v>
      </c>
      <c r="R4676" s="4">
        <f t="shared" ca="1" si="401"/>
        <v>25.004366104064957</v>
      </c>
      <c r="S4676" s="4">
        <f t="shared" ca="1" si="402"/>
        <v>12.911962176451635</v>
      </c>
    </row>
    <row r="4677" spans="15:19" x14ac:dyDescent="0.2">
      <c r="O4677" s="4">
        <f t="shared" ca="1" si="398"/>
        <v>0.39536591419902456</v>
      </c>
      <c r="P4677" s="4">
        <f t="shared" ca="1" si="399"/>
        <v>-0.26536041394850385</v>
      </c>
      <c r="Q4677" s="4">
        <f t="shared" ca="1" si="400"/>
        <v>1931.303366122751</v>
      </c>
      <c r="R4677" s="4">
        <f t="shared" ca="1" si="401"/>
        <v>7.6333221227509966</v>
      </c>
      <c r="S4677" s="4">
        <f t="shared" ca="1" si="402"/>
        <v>3.8877813757209925</v>
      </c>
    </row>
    <row r="4678" spans="15:19" x14ac:dyDescent="0.2">
      <c r="O4678" s="4">
        <f t="shared" ca="1" si="398"/>
        <v>0.81932584674048325</v>
      </c>
      <c r="P4678" s="4">
        <f t="shared" ca="1" si="399"/>
        <v>0.9127989198641141</v>
      </c>
      <c r="Q4678" s="4">
        <f t="shared" ca="1" si="400"/>
        <v>1895.6110814139893</v>
      </c>
      <c r="R4678" s="4">
        <f t="shared" ca="1" si="401"/>
        <v>-28.058962586010693</v>
      </c>
      <c r="S4678" s="4">
        <f t="shared" ca="1" si="402"/>
        <v>-13.883233903902259</v>
      </c>
    </row>
    <row r="4679" spans="15:19" x14ac:dyDescent="0.2">
      <c r="O4679" s="4">
        <f t="shared" ca="1" si="398"/>
        <v>0.39178904174029106</v>
      </c>
      <c r="P4679" s="4">
        <f t="shared" ca="1" si="399"/>
        <v>-0.27465919502300401</v>
      </c>
      <c r="Q4679" s="4">
        <f t="shared" ca="1" si="400"/>
        <v>1931.5850722825467</v>
      </c>
      <c r="R4679" s="4">
        <f t="shared" ca="1" si="401"/>
        <v>7.9150282825467002</v>
      </c>
      <c r="S4679" s="4">
        <f t="shared" ca="1" si="402"/>
        <v>4.0321667832041763</v>
      </c>
    </row>
    <row r="4680" spans="15:19" x14ac:dyDescent="0.2">
      <c r="O4680" s="4">
        <f t="shared" ca="1" si="398"/>
        <v>4.8027729271769015E-2</v>
      </c>
      <c r="P4680" s="4">
        <f t="shared" ca="1" si="399"/>
        <v>-1.6642851502704472</v>
      </c>
      <c r="Q4680" s="4">
        <f t="shared" ca="1" si="400"/>
        <v>1973.6837288987706</v>
      </c>
      <c r="R4680" s="4">
        <f t="shared" ca="1" si="401"/>
        <v>50.013684898770634</v>
      </c>
      <c r="S4680" s="4">
        <f t="shared" ca="1" si="402"/>
        <v>26.335647385750228</v>
      </c>
    </row>
    <row r="4681" spans="15:19" x14ac:dyDescent="0.2">
      <c r="O4681" s="4">
        <f t="shared" ca="1" si="398"/>
        <v>0.73458331768049168</v>
      </c>
      <c r="P4681" s="4">
        <f t="shared" ca="1" si="399"/>
        <v>0.62673437866120074</v>
      </c>
      <c r="Q4681" s="4">
        <f t="shared" ca="1" si="400"/>
        <v>1904.2773939887531</v>
      </c>
      <c r="R4681" s="4">
        <f t="shared" ca="1" si="401"/>
        <v>-19.392650011246815</v>
      </c>
      <c r="S4681" s="4">
        <f t="shared" ca="1" si="402"/>
        <v>-9.6636608769035064</v>
      </c>
    </row>
    <row r="4682" spans="15:19" x14ac:dyDescent="0.2">
      <c r="O4682" s="4">
        <f t="shared" ca="1" si="398"/>
        <v>0.24847911532304279</v>
      </c>
      <c r="P4682" s="4">
        <f t="shared" ca="1" si="399"/>
        <v>-0.67928352904104472</v>
      </c>
      <c r="Q4682" s="4">
        <f t="shared" ca="1" si="400"/>
        <v>1943.8431485167089</v>
      </c>
      <c r="R4682" s="4">
        <f t="shared" ca="1" si="401"/>
        <v>20.173104516708918</v>
      </c>
      <c r="S4682" s="4">
        <f t="shared" ca="1" si="402"/>
        <v>10.377481609065569</v>
      </c>
    </row>
    <row r="4683" spans="15:19" x14ac:dyDescent="0.2">
      <c r="O4683" s="4">
        <f t="shared" ca="1" si="398"/>
        <v>0.69515787992713396</v>
      </c>
      <c r="P4683" s="4">
        <f t="shared" ca="1" si="399"/>
        <v>0.51052423533195768</v>
      </c>
      <c r="Q4683" s="4">
        <f t="shared" ca="1" si="400"/>
        <v>1907.797975121299</v>
      </c>
      <c r="R4683" s="4">
        <f t="shared" ca="1" si="401"/>
        <v>-15.872068878700929</v>
      </c>
      <c r="S4683" s="4">
        <f t="shared" ca="1" si="402"/>
        <v>-7.932046806098672</v>
      </c>
    </row>
    <row r="4684" spans="15:19" x14ac:dyDescent="0.2">
      <c r="O4684" s="4">
        <f t="shared" ca="1" si="398"/>
        <v>0.78604025495857976</v>
      </c>
      <c r="P4684" s="4">
        <f t="shared" ca="1" si="399"/>
        <v>0.79275686889557673</v>
      </c>
      <c r="Q4684" s="4">
        <f t="shared" ca="1" si="400"/>
        <v>1899.2477500183347</v>
      </c>
      <c r="R4684" s="4">
        <f t="shared" ca="1" si="401"/>
        <v>-24.422293981665234</v>
      </c>
      <c r="S4684" s="4">
        <f t="shared" ca="1" si="402"/>
        <v>-12.120008621565622</v>
      </c>
    </row>
    <row r="4685" spans="15:19" x14ac:dyDescent="0.2">
      <c r="O4685" s="4">
        <f t="shared" ca="1" si="398"/>
        <v>0.6251767345255268</v>
      </c>
      <c r="P4685" s="4">
        <f t="shared" ca="1" si="399"/>
        <v>0.31910547650218368</v>
      </c>
      <c r="Q4685" s="4">
        <f t="shared" ca="1" si="400"/>
        <v>1913.5969979212464</v>
      </c>
      <c r="R4685" s="4">
        <f t="shared" ca="1" si="401"/>
        <v>-10.073046078753578</v>
      </c>
      <c r="S4685" s="4">
        <f t="shared" ca="1" si="402"/>
        <v>-5.0577707988001244</v>
      </c>
    </row>
    <row r="4686" spans="15:19" x14ac:dyDescent="0.2">
      <c r="O4686" s="4">
        <f t="shared" ca="1" si="398"/>
        <v>8.4701119508639677E-2</v>
      </c>
      <c r="P4686" s="4">
        <f t="shared" ca="1" si="399"/>
        <v>-1.3741270630582791</v>
      </c>
      <c r="Q4686" s="4">
        <f t="shared" ca="1" si="400"/>
        <v>1964.8934025294059</v>
      </c>
      <c r="R4686" s="4">
        <f t="shared" ca="1" si="401"/>
        <v>41.223358529405914</v>
      </c>
      <c r="S4686" s="4">
        <f t="shared" ca="1" si="402"/>
        <v>21.55942717868616</v>
      </c>
    </row>
    <row r="4687" spans="15:19" x14ac:dyDescent="0.2">
      <c r="O4687" s="4">
        <f t="shared" ca="1" si="398"/>
        <v>0.14777310224689022</v>
      </c>
      <c r="P4687" s="4">
        <f t="shared" ca="1" si="399"/>
        <v>-1.0460321167096491</v>
      </c>
      <c r="Q4687" s="4">
        <f t="shared" ca="1" si="400"/>
        <v>1954.9537806968601</v>
      </c>
      <c r="R4687" s="4">
        <f t="shared" ca="1" si="401"/>
        <v>31.28373669686016</v>
      </c>
      <c r="S4687" s="4">
        <f t="shared" ca="1" si="402"/>
        <v>16.234521264450731</v>
      </c>
    </row>
    <row r="4688" spans="15:19" x14ac:dyDescent="0.2">
      <c r="O4688" s="4">
        <f t="shared" ca="1" si="398"/>
        <v>0.60356181975803758</v>
      </c>
      <c r="P4688" s="4">
        <f t="shared" ca="1" si="399"/>
        <v>0.26257734898603335</v>
      </c>
      <c r="Q4688" s="4">
        <f t="shared" ca="1" si="400"/>
        <v>1915.3095150345559</v>
      </c>
      <c r="R4688" s="4">
        <f t="shared" ca="1" si="401"/>
        <v>-8.3605289654440185</v>
      </c>
      <c r="S4688" s="4">
        <f t="shared" ca="1" si="402"/>
        <v>-4.203728147182666</v>
      </c>
    </row>
    <row r="4689" spans="15:19" x14ac:dyDescent="0.2">
      <c r="O4689" s="4">
        <f t="shared" ca="1" si="398"/>
        <v>0.56317500913403351</v>
      </c>
      <c r="P4689" s="4">
        <f t="shared" ca="1" si="399"/>
        <v>0.15902397897893869</v>
      </c>
      <c r="Q4689" s="4">
        <f t="shared" ca="1" si="400"/>
        <v>1918.4466597812552</v>
      </c>
      <c r="R4689" s="4">
        <f t="shared" ca="1" si="401"/>
        <v>-5.2233842187447408</v>
      </c>
      <c r="S4689" s="4">
        <f t="shared" ca="1" si="402"/>
        <v>-2.633021882068574</v>
      </c>
    </row>
    <row r="4690" spans="15:19" x14ac:dyDescent="0.2">
      <c r="O4690" s="4">
        <f t="shared" ca="1" si="398"/>
        <v>0.51195238120867237</v>
      </c>
      <c r="P4690" s="4">
        <f t="shared" ca="1" si="399"/>
        <v>2.9964660198776319E-2</v>
      </c>
      <c r="Q4690" s="4">
        <f t="shared" ca="1" si="400"/>
        <v>1922.3565061135962</v>
      </c>
      <c r="R4690" s="4">
        <f t="shared" ca="1" si="401"/>
        <v>-1.3135378864037648</v>
      </c>
      <c r="S4690" s="4">
        <f t="shared" ca="1" si="402"/>
        <v>-0.66422339425211396</v>
      </c>
    </row>
    <row r="4691" spans="15:19" x14ac:dyDescent="0.2">
      <c r="O4691" s="4">
        <f t="shared" ca="1" si="398"/>
        <v>0.12459293776621516</v>
      </c>
      <c r="P4691" s="4">
        <f t="shared" ca="1" si="399"/>
        <v>-1.1523290704206484</v>
      </c>
      <c r="Q4691" s="4">
        <f t="shared" ca="1" si="400"/>
        <v>1958.1740421900572</v>
      </c>
      <c r="R4691" s="4">
        <f t="shared" ca="1" si="401"/>
        <v>34.503998190057246</v>
      </c>
      <c r="S4691" s="4">
        <f t="shared" ca="1" si="402"/>
        <v>17.950888299909998</v>
      </c>
    </row>
    <row r="4692" spans="15:19" x14ac:dyDescent="0.2">
      <c r="O4692" s="4">
        <f t="shared" ca="1" si="398"/>
        <v>0.81901761353287061</v>
      </c>
      <c r="P4692" s="4">
        <f t="shared" ca="1" si="399"/>
        <v>0.91162762898407279</v>
      </c>
      <c r="Q4692" s="4">
        <f t="shared" ca="1" si="400"/>
        <v>1895.6465656191961</v>
      </c>
      <c r="R4692" s="4">
        <f t="shared" ca="1" si="401"/>
        <v>-28.023478380803908</v>
      </c>
      <c r="S4692" s="4">
        <f t="shared" ca="1" si="402"/>
        <v>-13.866081536047592</v>
      </c>
    </row>
    <row r="4693" spans="15:19" x14ac:dyDescent="0.2">
      <c r="O4693" s="4">
        <f t="shared" ca="1" si="398"/>
        <v>0.67047000328505324</v>
      </c>
      <c r="P4693" s="4">
        <f t="shared" ca="1" si="399"/>
        <v>0.44121135510331988</v>
      </c>
      <c r="Q4693" s="4">
        <f t="shared" ca="1" si="400"/>
        <v>1909.8978057504032</v>
      </c>
      <c r="R4693" s="4">
        <f t="shared" ca="1" si="401"/>
        <v>-13.772238249596739</v>
      </c>
      <c r="S4693" s="4">
        <f t="shared" ca="1" si="402"/>
        <v>-6.8944312289718859</v>
      </c>
    </row>
    <row r="4694" spans="15:19" x14ac:dyDescent="0.2">
      <c r="O4694" s="4">
        <f t="shared" ca="1" si="398"/>
        <v>0.56454829621476388</v>
      </c>
      <c r="P4694" s="4">
        <f t="shared" ca="1" si="399"/>
        <v>0.16251107505755211</v>
      </c>
      <c r="Q4694" s="4">
        <f t="shared" ca="1" si="400"/>
        <v>1918.3410183603771</v>
      </c>
      <c r="R4694" s="4">
        <f t="shared" ca="1" si="401"/>
        <v>-5.3290256396228415</v>
      </c>
      <c r="S4694" s="4">
        <f t="shared" ca="1" si="402"/>
        <v>-2.6860448148644718</v>
      </c>
    </row>
    <row r="4695" spans="15:19" x14ac:dyDescent="0.2">
      <c r="O4695" s="4">
        <f t="shared" ca="1" si="398"/>
        <v>0.99017547641870873</v>
      </c>
      <c r="P4695" s="4">
        <f t="shared" ca="1" si="399"/>
        <v>2.3329828172750799</v>
      </c>
      <c r="Q4695" s="4">
        <f t="shared" ca="1" si="400"/>
        <v>1852.5866732966633</v>
      </c>
      <c r="R4695" s="4">
        <f t="shared" ca="1" si="401"/>
        <v>-71.083370703336641</v>
      </c>
      <c r="S4695" s="4">
        <f t="shared" ca="1" si="402"/>
        <v>-33.926240562639499</v>
      </c>
    </row>
    <row r="4696" spans="15:19" x14ac:dyDescent="0.2">
      <c r="O4696" s="4">
        <f t="shared" ca="1" si="398"/>
        <v>0.3016945083895276</v>
      </c>
      <c r="P4696" s="4">
        <f t="shared" ca="1" si="399"/>
        <v>-0.51953312885872205</v>
      </c>
      <c r="Q4696" s="4">
        <f t="shared" ca="1" si="400"/>
        <v>1939.0035172359428</v>
      </c>
      <c r="R4696" s="4">
        <f t="shared" ca="1" si="401"/>
        <v>15.333473235942847</v>
      </c>
      <c r="S4696" s="4">
        <f t="shared" ca="1" si="402"/>
        <v>7.8576625863917808</v>
      </c>
    </row>
    <row r="4697" spans="15:19" x14ac:dyDescent="0.2">
      <c r="O4697" s="4">
        <f t="shared" ca="1" si="398"/>
        <v>0.84743431184930573</v>
      </c>
      <c r="P4697" s="4">
        <f t="shared" ca="1" si="399"/>
        <v>1.0254914104317407</v>
      </c>
      <c r="Q4697" s="4">
        <f t="shared" ca="1" si="400"/>
        <v>1892.1970674156764</v>
      </c>
      <c r="R4697" s="4">
        <f t="shared" ca="1" si="401"/>
        <v>-31.472976584323533</v>
      </c>
      <c r="S4697" s="4">
        <f t="shared" ca="1" si="402"/>
        <v>-15.528707310570544</v>
      </c>
    </row>
    <row r="4698" spans="15:19" x14ac:dyDescent="0.2">
      <c r="O4698" s="4">
        <f t="shared" ca="1" si="398"/>
        <v>0.28841225854799402</v>
      </c>
      <c r="P4698" s="4">
        <f t="shared" ca="1" si="399"/>
        <v>-0.55802909438702197</v>
      </c>
      <c r="Q4698" s="4">
        <f t="shared" ca="1" si="400"/>
        <v>1940.1697508024406</v>
      </c>
      <c r="R4698" s="4">
        <f t="shared" ca="1" si="401"/>
        <v>16.499706802440642</v>
      </c>
      <c r="S4698" s="4">
        <f t="shared" ca="1" si="402"/>
        <v>8.4631338545977126</v>
      </c>
    </row>
    <row r="4699" spans="15:19" x14ac:dyDescent="0.2">
      <c r="O4699" s="4">
        <f t="shared" ca="1" si="398"/>
        <v>0.23994987014852498</v>
      </c>
      <c r="P4699" s="4">
        <f t="shared" ca="1" si="399"/>
        <v>-0.70646382700742238</v>
      </c>
      <c r="Q4699" s="4">
        <f t="shared" ca="1" si="400"/>
        <v>1944.6665744368222</v>
      </c>
      <c r="R4699" s="4">
        <f t="shared" ca="1" si="401"/>
        <v>20.996530436822241</v>
      </c>
      <c r="S4699" s="4">
        <f t="shared" ca="1" si="402"/>
        <v>10.808107580797</v>
      </c>
    </row>
    <row r="4700" spans="15:19" x14ac:dyDescent="0.2">
      <c r="O4700" s="4">
        <f t="shared" ca="1" si="398"/>
        <v>0.9538059468732456</v>
      </c>
      <c r="P4700" s="4">
        <f t="shared" ca="1" si="399"/>
        <v>1.68293277341682</v>
      </c>
      <c r="Q4700" s="4">
        <f t="shared" ca="1" si="400"/>
        <v>1872.2799105137801</v>
      </c>
      <c r="R4700" s="4">
        <f t="shared" ca="1" si="401"/>
        <v>-51.390133486219838</v>
      </c>
      <c r="S4700" s="4">
        <f t="shared" ca="1" si="402"/>
        <v>-24.93914116218642</v>
      </c>
    </row>
    <row r="4701" spans="15:19" x14ac:dyDescent="0.2">
      <c r="O4701" s="4">
        <f t="shared" ca="1" si="398"/>
        <v>0.22493154440170682</v>
      </c>
      <c r="P4701" s="4">
        <f t="shared" ca="1" si="399"/>
        <v>-0.75564329793273044</v>
      </c>
      <c r="Q4701" s="4">
        <f t="shared" ca="1" si="400"/>
        <v>1946.1564643249856</v>
      </c>
      <c r="R4701" s="4">
        <f t="shared" ca="1" si="401"/>
        <v>22.486420324985602</v>
      </c>
      <c r="S4701" s="4">
        <f t="shared" ca="1" si="402"/>
        <v>11.588676337411187</v>
      </c>
    </row>
    <row r="4702" spans="15:19" x14ac:dyDescent="0.2">
      <c r="O4702" s="4">
        <f t="shared" ca="1" si="398"/>
        <v>0.69917189359850063</v>
      </c>
      <c r="P4702" s="4">
        <f t="shared" ca="1" si="399"/>
        <v>0.52202027672670592</v>
      </c>
      <c r="Q4702" s="4">
        <f t="shared" ca="1" si="400"/>
        <v>1907.4497030576576</v>
      </c>
      <c r="R4702" s="4">
        <f t="shared" ca="1" si="401"/>
        <v>-16.220340942342318</v>
      </c>
      <c r="S4702" s="4">
        <f t="shared" ca="1" si="402"/>
        <v>-8.1037957681306985</v>
      </c>
    </row>
    <row r="4703" spans="15:19" x14ac:dyDescent="0.2">
      <c r="O4703" s="4">
        <f t="shared" ca="1" si="398"/>
        <v>0.33091472587786974</v>
      </c>
      <c r="P4703" s="4">
        <f t="shared" ca="1" si="399"/>
        <v>-0.43738873583567123</v>
      </c>
      <c r="Q4703" s="4">
        <f t="shared" ca="1" si="400"/>
        <v>1936.5149564964379</v>
      </c>
      <c r="R4703" s="4">
        <f t="shared" ca="1" si="401"/>
        <v>12.844912496437928</v>
      </c>
      <c r="S4703" s="4">
        <f t="shared" ca="1" si="402"/>
        <v>6.5693835953325008</v>
      </c>
    </row>
    <row r="4704" spans="15:19" x14ac:dyDescent="0.2">
      <c r="O4704" s="4">
        <f t="shared" ca="1" si="398"/>
        <v>0.60297445674585359</v>
      </c>
      <c r="P4704" s="4">
        <f t="shared" ca="1" si="399"/>
        <v>0.26105371223207546</v>
      </c>
      <c r="Q4704" s="4">
        <f t="shared" ca="1" si="400"/>
        <v>1915.3556735423692</v>
      </c>
      <c r="R4704" s="4">
        <f t="shared" ca="1" si="401"/>
        <v>-8.31437045763073</v>
      </c>
      <c r="S4704" s="4">
        <f t="shared" ca="1" si="402"/>
        <v>-4.1806755749010565</v>
      </c>
    </row>
    <row r="4705" spans="15:19" x14ac:dyDescent="0.2">
      <c r="O4705" s="4">
        <f t="shared" ca="1" si="398"/>
        <v>0.20593173250703023</v>
      </c>
      <c r="P4705" s="4">
        <f t="shared" ca="1" si="399"/>
        <v>-0.82061874851720307</v>
      </c>
      <c r="Q4705" s="4">
        <f t="shared" ca="1" si="400"/>
        <v>1948.1248927155973</v>
      </c>
      <c r="R4705" s="4">
        <f t="shared" ca="1" si="401"/>
        <v>24.454848715597336</v>
      </c>
      <c r="S4705" s="4">
        <f t="shared" ca="1" si="402"/>
        <v>12.622727480157888</v>
      </c>
    </row>
    <row r="4706" spans="15:19" x14ac:dyDescent="0.2">
      <c r="O4706" s="4">
        <f t="shared" ca="1" si="398"/>
        <v>0.87661206266091785</v>
      </c>
      <c r="P4706" s="4">
        <f t="shared" ca="1" si="399"/>
        <v>1.1582160633162151</v>
      </c>
      <c r="Q4706" s="4">
        <f t="shared" ca="1" si="400"/>
        <v>1888.1761799493827</v>
      </c>
      <c r="R4706" s="4">
        <f t="shared" ca="1" si="401"/>
        <v>-35.493864050617276</v>
      </c>
      <c r="S4706" s="4">
        <f t="shared" ca="1" si="402"/>
        <v>-17.454509975098503</v>
      </c>
    </row>
    <row r="4707" spans="15:19" x14ac:dyDescent="0.2">
      <c r="O4707" s="4">
        <f t="shared" ca="1" si="398"/>
        <v>0.34265146300422511</v>
      </c>
      <c r="P4707" s="4">
        <f t="shared" ca="1" si="399"/>
        <v>-0.40523752273082536</v>
      </c>
      <c r="Q4707" s="4">
        <f t="shared" ca="1" si="400"/>
        <v>1935.5409369229085</v>
      </c>
      <c r="R4707" s="4">
        <f t="shared" ca="1" si="401"/>
        <v>11.870892922908524</v>
      </c>
      <c r="S4707" s="4">
        <f t="shared" ca="1" si="402"/>
        <v>6.0665256932149285</v>
      </c>
    </row>
    <row r="4708" spans="15:19" x14ac:dyDescent="0.2">
      <c r="O4708" s="4">
        <f t="shared" ca="1" si="398"/>
        <v>0.3998565315762429</v>
      </c>
      <c r="P4708" s="4">
        <f t="shared" ca="1" si="399"/>
        <v>-0.25371847093466027</v>
      </c>
      <c r="Q4708" s="4">
        <f t="shared" ca="1" si="400"/>
        <v>1930.950673976037</v>
      </c>
      <c r="R4708" s="4">
        <f t="shared" ca="1" si="401"/>
        <v>7.2806299760370621</v>
      </c>
      <c r="S4708" s="4">
        <f t="shared" ca="1" si="402"/>
        <v>3.7071039585893262</v>
      </c>
    </row>
    <row r="4709" spans="15:19" x14ac:dyDescent="0.2">
      <c r="O4709" s="4">
        <f t="shared" ca="1" si="398"/>
        <v>0.14244257714221631</v>
      </c>
      <c r="P4709" s="4">
        <f t="shared" ca="1" si="399"/>
        <v>-1.0694095758935773</v>
      </c>
      <c r="Q4709" s="4">
        <f t="shared" ca="1" si="400"/>
        <v>1955.6619997849014</v>
      </c>
      <c r="R4709" s="4">
        <f t="shared" ca="1" si="401"/>
        <v>31.991955784901393</v>
      </c>
      <c r="S4709" s="4">
        <f t="shared" ca="1" si="402"/>
        <v>16.611270718635012</v>
      </c>
    </row>
    <row r="4710" spans="15:19" x14ac:dyDescent="0.2">
      <c r="O4710" s="4">
        <f t="shared" ca="1" si="398"/>
        <v>0.87257048973326112</v>
      </c>
      <c r="P4710" s="4">
        <f t="shared" ca="1" si="399"/>
        <v>1.1386263804953143</v>
      </c>
      <c r="Q4710" s="4">
        <f t="shared" ca="1" si="400"/>
        <v>1888.7696485206795</v>
      </c>
      <c r="R4710" s="4">
        <f t="shared" ca="1" si="401"/>
        <v>-34.900395479320423</v>
      </c>
      <c r="S4710" s="4">
        <f t="shared" ca="1" si="402"/>
        <v>-17.171096413084395</v>
      </c>
    </row>
    <row r="4711" spans="15:19" x14ac:dyDescent="0.2">
      <c r="O4711" s="4">
        <f t="shared" ca="1" si="398"/>
        <v>0.30832664416937705</v>
      </c>
      <c r="P4711" s="4">
        <f t="shared" ca="1" si="399"/>
        <v>-0.50059911085265629</v>
      </c>
      <c r="Q4711" s="4">
        <f t="shared" ca="1" si="400"/>
        <v>1938.4299120011005</v>
      </c>
      <c r="R4711" s="4">
        <f t="shared" ca="1" si="401"/>
        <v>14.759868001100585</v>
      </c>
      <c r="S4711" s="4">
        <f t="shared" ca="1" si="402"/>
        <v>7.560271292038454</v>
      </c>
    </row>
    <row r="4712" spans="15:19" x14ac:dyDescent="0.2">
      <c r="O4712" s="4">
        <f t="shared" ca="1" si="398"/>
        <v>0.47992839806487109</v>
      </c>
      <c r="P4712" s="4">
        <f t="shared" ca="1" si="399"/>
        <v>-5.0333289582320959E-2</v>
      </c>
      <c r="Q4712" s="4">
        <f t="shared" ca="1" si="400"/>
        <v>1924.7891289370659</v>
      </c>
      <c r="R4712" s="4">
        <f t="shared" ca="1" si="401"/>
        <v>1.1190849370659635</v>
      </c>
      <c r="S4712" s="4">
        <f t="shared" ca="1" si="402"/>
        <v>0.56700155006508368</v>
      </c>
    </row>
    <row r="4713" spans="15:19" x14ac:dyDescent="0.2">
      <c r="O4713" s="4">
        <f t="shared" ca="1" si="398"/>
        <v>0.27934681965308705</v>
      </c>
      <c r="P4713" s="4">
        <f t="shared" ca="1" si="399"/>
        <v>-0.58478299588115334</v>
      </c>
      <c r="Q4713" s="4">
        <f t="shared" ca="1" si="400"/>
        <v>1940.9802590603588</v>
      </c>
      <c r="R4713" s="4">
        <f t="shared" ca="1" si="401"/>
        <v>17.310215060358814</v>
      </c>
      <c r="S4713" s="4">
        <f t="shared" ca="1" si="402"/>
        <v>8.8845760815094863</v>
      </c>
    </row>
    <row r="4714" spans="15:19" x14ac:dyDescent="0.2">
      <c r="O4714" s="4">
        <f t="shared" ca="1" si="398"/>
        <v>0.7465854594237995</v>
      </c>
      <c r="P4714" s="4">
        <f t="shared" ca="1" si="399"/>
        <v>0.66378319772875061</v>
      </c>
      <c r="Q4714" s="4">
        <f t="shared" ca="1" si="400"/>
        <v>1903.155001660032</v>
      </c>
      <c r="R4714" s="4">
        <f t="shared" ca="1" si="401"/>
        <v>-20.515042339967977</v>
      </c>
      <c r="S4714" s="4">
        <f t="shared" ca="1" si="402"/>
        <v>-10.213593386948812</v>
      </c>
    </row>
    <row r="4715" spans="15:19" x14ac:dyDescent="0.2">
      <c r="O4715" s="4">
        <f t="shared" ca="1" si="398"/>
        <v>0.54832508516413148</v>
      </c>
      <c r="P4715" s="4">
        <f t="shared" ca="1" si="399"/>
        <v>0.12143079095511702</v>
      </c>
      <c r="Q4715" s="4">
        <f t="shared" ca="1" si="400"/>
        <v>1919.585543743337</v>
      </c>
      <c r="R4715" s="4">
        <f t="shared" ca="1" si="401"/>
        <v>-4.0845002566629773</v>
      </c>
      <c r="S4715" s="4">
        <f t="shared" ca="1" si="402"/>
        <v>-2.0608228433787992</v>
      </c>
    </row>
    <row r="4716" spans="15:19" x14ac:dyDescent="0.2">
      <c r="O4716" s="4">
        <f t="shared" ca="1" si="398"/>
        <v>0.42598181686122116</v>
      </c>
      <c r="P4716" s="4">
        <f t="shared" ca="1" si="399"/>
        <v>-0.18661356058004314</v>
      </c>
      <c r="Q4716" s="4">
        <f t="shared" ca="1" si="400"/>
        <v>1928.9177336962348</v>
      </c>
      <c r="R4716" s="4">
        <f t="shared" ca="1" si="401"/>
        <v>5.2476896962348292</v>
      </c>
      <c r="S4716" s="4">
        <f t="shared" ca="1" si="402"/>
        <v>2.6676418978030072</v>
      </c>
    </row>
    <row r="4717" spans="15:19" x14ac:dyDescent="0.2">
      <c r="O4717" s="4">
        <f t="shared" ca="1" si="398"/>
        <v>0.12734409926245294</v>
      </c>
      <c r="P4717" s="4">
        <f t="shared" ca="1" si="399"/>
        <v>-1.1390358578649815</v>
      </c>
      <c r="Q4717" s="4">
        <f t="shared" ca="1" si="400"/>
        <v>1957.7713249058882</v>
      </c>
      <c r="R4717" s="4">
        <f t="shared" ca="1" si="401"/>
        <v>34.101280905888188</v>
      </c>
      <c r="S4717" s="4">
        <f t="shared" ca="1" si="402"/>
        <v>17.735782141087974</v>
      </c>
    </row>
    <row r="4718" spans="15:19" x14ac:dyDescent="0.2">
      <c r="O4718" s="4">
        <f t="shared" ca="1" si="398"/>
        <v>0.93182756925295052</v>
      </c>
      <c r="P4718" s="4">
        <f t="shared" ca="1" si="399"/>
        <v>1.4895413942472642</v>
      </c>
      <c r="Q4718" s="4">
        <f t="shared" ca="1" si="400"/>
        <v>1878.1386937593386</v>
      </c>
      <c r="R4718" s="4">
        <f t="shared" ca="1" si="401"/>
        <v>-45.531350240661368</v>
      </c>
      <c r="S4718" s="4">
        <f t="shared" ca="1" si="402"/>
        <v>-22.204518686084569</v>
      </c>
    </row>
    <row r="4719" spans="15:19" x14ac:dyDescent="0.2">
      <c r="O4719" s="4">
        <f t="shared" ca="1" si="398"/>
        <v>0.90385011593556186</v>
      </c>
      <c r="P4719" s="4">
        <f t="shared" ca="1" si="399"/>
        <v>1.3038059068725252</v>
      </c>
      <c r="Q4719" s="4">
        <f t="shared" ca="1" si="400"/>
        <v>1883.7655421028871</v>
      </c>
      <c r="R4719" s="4">
        <f t="shared" ca="1" si="401"/>
        <v>-39.904501897112823</v>
      </c>
      <c r="S4719" s="4">
        <f t="shared" ca="1" si="402"/>
        <v>-19.551845194649911</v>
      </c>
    </row>
    <row r="4720" spans="15:19" x14ac:dyDescent="0.2">
      <c r="O4720" s="4">
        <f t="shared" ca="1" si="398"/>
        <v>0.69405253188355309</v>
      </c>
      <c r="P4720" s="4">
        <f t="shared" ca="1" si="399"/>
        <v>0.5073704204663777</v>
      </c>
      <c r="Q4720" s="4">
        <f t="shared" ca="1" si="400"/>
        <v>1907.8935198026254</v>
      </c>
      <c r="R4720" s="4">
        <f t="shared" ca="1" si="401"/>
        <v>-15.776524197374556</v>
      </c>
      <c r="S4720" s="4">
        <f t="shared" ca="1" si="402"/>
        <v>-7.8849120707678306</v>
      </c>
    </row>
    <row r="4721" spans="15:19" x14ac:dyDescent="0.2">
      <c r="O4721" s="4">
        <f t="shared" ca="1" si="398"/>
        <v>0.32023973267059336</v>
      </c>
      <c r="P4721" s="4">
        <f t="shared" ca="1" si="399"/>
        <v>-0.46702853128663246</v>
      </c>
      <c r="Q4721" s="4">
        <f t="shared" ca="1" si="400"/>
        <v>1937.4128927836475</v>
      </c>
      <c r="R4721" s="4">
        <f t="shared" ca="1" si="401"/>
        <v>13.74284878364756</v>
      </c>
      <c r="S4721" s="4">
        <f t="shared" ca="1" si="402"/>
        <v>7.0336461568913355</v>
      </c>
    </row>
    <row r="4722" spans="15:19" x14ac:dyDescent="0.2">
      <c r="O4722" s="4">
        <f t="shared" ca="1" si="398"/>
        <v>0.70258320012312048</v>
      </c>
      <c r="P4722" s="4">
        <f t="shared" ca="1" si="399"/>
        <v>0.53184464354696737</v>
      </c>
      <c r="Q4722" s="4">
        <f t="shared" ca="1" si="400"/>
        <v>1907.1520743010299</v>
      </c>
      <c r="R4722" s="4">
        <f t="shared" ca="1" si="401"/>
        <v>-16.517969698970091</v>
      </c>
      <c r="S4722" s="4">
        <f t="shared" ca="1" si="402"/>
        <v>-8.250491933340248</v>
      </c>
    </row>
    <row r="4723" spans="15:19" x14ac:dyDescent="0.2">
      <c r="O4723" s="4">
        <f t="shared" ca="1" si="398"/>
        <v>0.40949676557984716</v>
      </c>
      <c r="P4723" s="4">
        <f t="shared" ca="1" si="399"/>
        <v>-0.22883967183308682</v>
      </c>
      <c r="Q4723" s="4">
        <f t="shared" ca="1" si="400"/>
        <v>1930.1969718618489</v>
      </c>
      <c r="R4723" s="4">
        <f t="shared" ca="1" si="401"/>
        <v>6.5269278618488897</v>
      </c>
      <c r="S4723" s="4">
        <f t="shared" ca="1" si="402"/>
        <v>3.3213362838165712</v>
      </c>
    </row>
    <row r="4724" spans="15:19" x14ac:dyDescent="0.2">
      <c r="O4724" s="4">
        <f t="shared" ca="1" si="398"/>
        <v>0.13443487791453146</v>
      </c>
      <c r="P4724" s="4">
        <f t="shared" ca="1" si="399"/>
        <v>-1.1056691307810647</v>
      </c>
      <c r="Q4724" s="4">
        <f t="shared" ca="1" si="400"/>
        <v>1956.7604813903299</v>
      </c>
      <c r="R4724" s="4">
        <f t="shared" ca="1" si="401"/>
        <v>33.090437390329953</v>
      </c>
      <c r="S4724" s="4">
        <f t="shared" ca="1" si="402"/>
        <v>17.196434983277655</v>
      </c>
    </row>
    <row r="4725" spans="15:19" x14ac:dyDescent="0.2">
      <c r="O4725" s="4">
        <f t="shared" ca="1" si="398"/>
        <v>0.80725909932117113</v>
      </c>
      <c r="P4725" s="4">
        <f t="shared" ca="1" si="399"/>
        <v>0.86784023320951542</v>
      </c>
      <c r="Q4725" s="4">
        <f t="shared" ca="1" si="400"/>
        <v>1896.9731028300698</v>
      </c>
      <c r="R4725" s="4">
        <f t="shared" ca="1" si="401"/>
        <v>-26.696941169930142</v>
      </c>
      <c r="S4725" s="4">
        <f t="shared" ca="1" si="402"/>
        <v>-13.224124021401266</v>
      </c>
    </row>
    <row r="4726" spans="15:19" x14ac:dyDescent="0.2">
      <c r="O4726" s="4">
        <f t="shared" ca="1" si="398"/>
        <v>0.53931012570747194</v>
      </c>
      <c r="P4726" s="4">
        <f t="shared" ca="1" si="399"/>
        <v>9.8695869412724832E-2</v>
      </c>
      <c r="Q4726" s="4">
        <f t="shared" ca="1" si="400"/>
        <v>1920.274297182056</v>
      </c>
      <c r="R4726" s="4">
        <f t="shared" ca="1" si="401"/>
        <v>-3.3957468179439729</v>
      </c>
      <c r="S4726" s="4">
        <f t="shared" ca="1" si="402"/>
        <v>-1.7142663457578802</v>
      </c>
    </row>
    <row r="4727" spans="15:19" x14ac:dyDescent="0.2">
      <c r="O4727" s="4">
        <f t="shared" ca="1" si="398"/>
        <v>0.82048106172353108</v>
      </c>
      <c r="P4727" s="4">
        <f t="shared" ca="1" si="399"/>
        <v>0.91719994325894205</v>
      </c>
      <c r="Q4727" s="4">
        <f t="shared" ca="1" si="400"/>
        <v>1895.4777526056441</v>
      </c>
      <c r="R4727" s="4">
        <f t="shared" ca="1" si="401"/>
        <v>-28.192291394355834</v>
      </c>
      <c r="S4727" s="4">
        <f t="shared" ca="1" si="402"/>
        <v>-13.947673268989623</v>
      </c>
    </row>
    <row r="4728" spans="15:19" x14ac:dyDescent="0.2">
      <c r="O4728" s="4">
        <f t="shared" ca="1" si="398"/>
        <v>0.31716469307574424</v>
      </c>
      <c r="P4728" s="4">
        <f t="shared" ca="1" si="399"/>
        <v>-0.47564208694960886</v>
      </c>
      <c r="Q4728" s="4">
        <f t="shared" ca="1" si="400"/>
        <v>1937.6738400700242</v>
      </c>
      <c r="R4728" s="4">
        <f t="shared" ca="1" si="401"/>
        <v>14.003796070024237</v>
      </c>
      <c r="S4728" s="4">
        <f t="shared" ca="1" si="402"/>
        <v>7.168687577986014</v>
      </c>
    </row>
    <row r="4729" spans="15:19" x14ac:dyDescent="0.2">
      <c r="O4729" s="4">
        <f t="shared" ca="1" si="398"/>
        <v>6.6037044936168354E-2</v>
      </c>
      <c r="P4729" s="4">
        <f t="shared" ca="1" si="399"/>
        <v>-1.5059730588130871</v>
      </c>
      <c r="Q4729" s="4">
        <f t="shared" ca="1" si="400"/>
        <v>1968.887671116968</v>
      </c>
      <c r="R4729" s="4">
        <f t="shared" ca="1" si="401"/>
        <v>45.21762711696806</v>
      </c>
      <c r="S4729" s="4">
        <f t="shared" ca="1" si="402"/>
        <v>23.721913247712276</v>
      </c>
    </row>
    <row r="4730" spans="15:19" x14ac:dyDescent="0.2">
      <c r="O4730" s="4">
        <f t="shared" ca="1" si="398"/>
        <v>0.72157439633125875</v>
      </c>
      <c r="P4730" s="4">
        <f t="shared" ca="1" si="399"/>
        <v>0.58752493729741395</v>
      </c>
      <c r="Q4730" s="4">
        <f t="shared" ca="1" si="400"/>
        <v>1905.4652422740094</v>
      </c>
      <c r="R4730" s="4">
        <f t="shared" ca="1" si="401"/>
        <v>-18.204801725990592</v>
      </c>
      <c r="S4730" s="4">
        <f t="shared" ca="1" si="402"/>
        <v>-9.0805401795815381</v>
      </c>
    </row>
    <row r="4731" spans="15:19" x14ac:dyDescent="0.2">
      <c r="O4731" s="4">
        <f t="shared" ca="1" si="398"/>
        <v>5.6612980937343793E-2</v>
      </c>
      <c r="P4731" s="4">
        <f t="shared" ca="1" si="399"/>
        <v>-1.5838583298870907</v>
      </c>
      <c r="Q4731" s="4">
        <f t="shared" ca="1" si="400"/>
        <v>1971.247201946127</v>
      </c>
      <c r="R4731" s="4">
        <f t="shared" ca="1" si="401"/>
        <v>47.577157946127045</v>
      </c>
      <c r="S4731" s="4">
        <f t="shared" ca="1" si="402"/>
        <v>25.005459549486702</v>
      </c>
    </row>
    <row r="4732" spans="15:19" x14ac:dyDescent="0.2">
      <c r="O4732" s="4">
        <f t="shared" ca="1" si="398"/>
        <v>0.39630239117793431</v>
      </c>
      <c r="P4732" s="4">
        <f t="shared" ca="1" si="399"/>
        <v>-0.2629296764097056</v>
      </c>
      <c r="Q4732" s="4">
        <f t="shared" ca="1" si="400"/>
        <v>1931.2297270369356</v>
      </c>
      <c r="R4732" s="4">
        <f t="shared" ca="1" si="401"/>
        <v>7.5596830369356667</v>
      </c>
      <c r="S4732" s="4">
        <f t="shared" ca="1" si="402"/>
        <v>3.8500491205463354</v>
      </c>
    </row>
    <row r="4733" spans="15:19" x14ac:dyDescent="0.2">
      <c r="O4733" s="4">
        <f t="shared" ca="1" si="398"/>
        <v>0.47420337191565454</v>
      </c>
      <c r="P4733" s="4">
        <f t="shared" ca="1" si="399"/>
        <v>-6.4707685090620706E-2</v>
      </c>
      <c r="Q4733" s="4">
        <f t="shared" ca="1" si="400"/>
        <v>1925.2246006107814</v>
      </c>
      <c r="R4733" s="4">
        <f t="shared" ca="1" si="401"/>
        <v>1.5545566107814466</v>
      </c>
      <c r="S4733" s="4">
        <f t="shared" ca="1" si="402"/>
        <v>0.78791552543293697</v>
      </c>
    </row>
    <row r="4734" spans="15:19" x14ac:dyDescent="0.2">
      <c r="O4734" s="4">
        <f t="shared" ca="1" si="398"/>
        <v>0.59545342455010208</v>
      </c>
      <c r="P4734" s="4">
        <f t="shared" ca="1" si="399"/>
        <v>0.24159609152553874</v>
      </c>
      <c r="Q4734" s="4">
        <f t="shared" ca="1" si="400"/>
        <v>1915.9451412977749</v>
      </c>
      <c r="R4734" s="4">
        <f t="shared" ca="1" si="401"/>
        <v>-7.7249027022251084</v>
      </c>
      <c r="S4734" s="4">
        <f t="shared" ca="1" si="402"/>
        <v>-3.8861299140173649</v>
      </c>
    </row>
    <row r="4735" spans="15:19" x14ac:dyDescent="0.2">
      <c r="O4735" s="4">
        <f t="shared" ca="1" si="398"/>
        <v>0.25670151309277556</v>
      </c>
      <c r="P4735" s="4">
        <f t="shared" ca="1" si="399"/>
        <v>-0.65354804503030783</v>
      </c>
      <c r="Q4735" s="4">
        <f t="shared" ca="1" si="400"/>
        <v>1943.0634931712332</v>
      </c>
      <c r="R4735" s="4">
        <f t="shared" ca="1" si="401"/>
        <v>19.393449171233215</v>
      </c>
      <c r="S4735" s="4">
        <f t="shared" ca="1" si="402"/>
        <v>9.9702550530814325</v>
      </c>
    </row>
    <row r="4736" spans="15:19" x14ac:dyDescent="0.2">
      <c r="O4736" s="4">
        <f t="shared" ca="1" si="398"/>
        <v>0.59447127560307722</v>
      </c>
      <c r="P4736" s="4">
        <f t="shared" ca="1" si="399"/>
        <v>0.23906207522515807</v>
      </c>
      <c r="Q4736" s="4">
        <f t="shared" ca="1" si="400"/>
        <v>1916.021909209087</v>
      </c>
      <c r="R4736" s="4">
        <f t="shared" ca="1" si="401"/>
        <v>-7.6481347909129909</v>
      </c>
      <c r="S4736" s="4">
        <f t="shared" ca="1" si="402"/>
        <v>-3.847749650557299</v>
      </c>
    </row>
    <row r="4737" spans="15:19" x14ac:dyDescent="0.2">
      <c r="O4737" s="4">
        <f t="shared" ca="1" si="398"/>
        <v>0.15388223011179902</v>
      </c>
      <c r="P4737" s="4">
        <f t="shared" ca="1" si="399"/>
        <v>-1.0199240969335543</v>
      </c>
      <c r="Q4737" s="4">
        <f t="shared" ca="1" si="400"/>
        <v>1954.1628393969133</v>
      </c>
      <c r="R4737" s="4">
        <f t="shared" ca="1" si="401"/>
        <v>30.49279539691338</v>
      </c>
      <c r="S4737" s="4">
        <f t="shared" ca="1" si="402"/>
        <v>15.814248973227304</v>
      </c>
    </row>
    <row r="4738" spans="15:19" x14ac:dyDescent="0.2">
      <c r="O4738" s="4">
        <f t="shared" ca="1" si="398"/>
        <v>0.43840932920114861</v>
      </c>
      <c r="P4738" s="4">
        <f t="shared" ca="1" si="399"/>
        <v>-0.15500337271421211</v>
      </c>
      <c r="Q4738" s="4">
        <f t="shared" ca="1" si="400"/>
        <v>1927.9601044583003</v>
      </c>
      <c r="R4738" s="4">
        <f t="shared" ca="1" si="401"/>
        <v>4.2900604583003314</v>
      </c>
      <c r="S4738" s="4">
        <f t="shared" ca="1" si="402"/>
        <v>2.1791625786268907</v>
      </c>
    </row>
    <row r="4739" spans="15:19" x14ac:dyDescent="0.2">
      <c r="O4739" s="4">
        <f t="shared" ref="O4739:O4802" ca="1" si="403">RAND()</f>
        <v>0.80176335918609187</v>
      </c>
      <c r="P4739" s="4">
        <f t="shared" ref="P4739:P4802" ca="1" si="404">NORMSINV(O4739)</f>
        <v>0.84793659719855019</v>
      </c>
      <c r="Q4739" s="4">
        <f t="shared" ref="Q4739:Q4802" ca="1" si="405">$B$4*(1+$B$17-$B$6/SQRT(252)*P4739)</f>
        <v>1897.5760825993207</v>
      </c>
      <c r="R4739" s="4">
        <f t="shared" ref="R4739:R4802" ca="1" si="406">Q4739-$B$4</f>
        <v>-26.093961400679291</v>
      </c>
      <c r="S4739" s="4">
        <f t="shared" ref="S4739:S4802" ca="1" si="407">R4739*$B$12+0.5*$B$13*R4739^2</f>
        <v>-12.931847521083478</v>
      </c>
    </row>
    <row r="4740" spans="15:19" x14ac:dyDescent="0.2">
      <c r="O4740" s="4">
        <f t="shared" ca="1" si="403"/>
        <v>0.70479038860410048</v>
      </c>
      <c r="P4740" s="4">
        <f t="shared" ca="1" si="404"/>
        <v>0.5382286212614239</v>
      </c>
      <c r="Q4740" s="4">
        <f t="shared" ca="1" si="405"/>
        <v>1906.9586719796127</v>
      </c>
      <c r="R4740" s="4">
        <f t="shared" ca="1" si="406"/>
        <v>-16.711372020387216</v>
      </c>
      <c r="S4740" s="4">
        <f t="shared" ca="1" si="407"/>
        <v>-8.3457779987568905</v>
      </c>
    </row>
    <row r="4741" spans="15:19" x14ac:dyDescent="0.2">
      <c r="O4741" s="4">
        <f t="shared" ca="1" si="403"/>
        <v>0.72343339737130552</v>
      </c>
      <c r="P4741" s="4">
        <f t="shared" ca="1" si="404"/>
        <v>0.59307164571061532</v>
      </c>
      <c r="Q4741" s="4">
        <f t="shared" ca="1" si="405"/>
        <v>1905.2972049888995</v>
      </c>
      <c r="R4741" s="4">
        <f t="shared" ca="1" si="406"/>
        <v>-18.372839011100496</v>
      </c>
      <c r="S4741" s="4">
        <f t="shared" ca="1" si="407"/>
        <v>-9.1631002858937496</v>
      </c>
    </row>
    <row r="4742" spans="15:19" x14ac:dyDescent="0.2">
      <c r="O4742" s="4">
        <f t="shared" ca="1" si="403"/>
        <v>0.88655675445972482</v>
      </c>
      <c r="P4742" s="4">
        <f t="shared" ca="1" si="404"/>
        <v>1.2084180740362094</v>
      </c>
      <c r="Q4742" s="4">
        <f t="shared" ca="1" si="405"/>
        <v>1886.6553122635394</v>
      </c>
      <c r="R4742" s="4">
        <f t="shared" ca="1" si="406"/>
        <v>-37.01473173646059</v>
      </c>
      <c r="S4742" s="4">
        <f t="shared" ca="1" si="407"/>
        <v>-18.179498136518859</v>
      </c>
    </row>
    <row r="4743" spans="15:19" x14ac:dyDescent="0.2">
      <c r="O4743" s="4">
        <f t="shared" ca="1" si="403"/>
        <v>0.54343418065716564</v>
      </c>
      <c r="P4743" s="4">
        <f t="shared" ca="1" si="404"/>
        <v>0.10908932889243778</v>
      </c>
      <c r="Q4743" s="4">
        <f t="shared" ca="1" si="405"/>
        <v>1919.9594277885774</v>
      </c>
      <c r="R4743" s="4">
        <f t="shared" ca="1" si="406"/>
        <v>-3.7106162114225754</v>
      </c>
      <c r="S4743" s="4">
        <f t="shared" ca="1" si="407"/>
        <v>-1.8727454684345608</v>
      </c>
    </row>
    <row r="4744" spans="15:19" x14ac:dyDescent="0.2">
      <c r="O4744" s="4">
        <f t="shared" ca="1" si="403"/>
        <v>0.432627980485501</v>
      </c>
      <c r="P4744" s="4">
        <f t="shared" ca="1" si="404"/>
        <v>-0.1696874289075562</v>
      </c>
      <c r="Q4744" s="4">
        <f t="shared" ca="1" si="405"/>
        <v>1928.4049572887202</v>
      </c>
      <c r="R4744" s="4">
        <f t="shared" ca="1" si="406"/>
        <v>4.7349132887202359</v>
      </c>
      <c r="S4744" s="4">
        <f t="shared" ca="1" si="407"/>
        <v>2.405985734145438</v>
      </c>
    </row>
    <row r="4745" spans="15:19" x14ac:dyDescent="0.2">
      <c r="O4745" s="4">
        <f t="shared" ca="1" si="403"/>
        <v>0.5912179668623494</v>
      </c>
      <c r="P4745" s="4">
        <f t="shared" ca="1" si="404"/>
        <v>0.2306791581335258</v>
      </c>
      <c r="Q4745" s="4">
        <f t="shared" ca="1" si="405"/>
        <v>1916.2758693101848</v>
      </c>
      <c r="R4745" s="4">
        <f t="shared" ca="1" si="406"/>
        <v>-7.394174689815145</v>
      </c>
      <c r="S4745" s="4">
        <f t="shared" ca="1" si="407"/>
        <v>-3.7207476239184656</v>
      </c>
    </row>
    <row r="4746" spans="15:19" x14ac:dyDescent="0.2">
      <c r="O4746" s="4">
        <f t="shared" ca="1" si="403"/>
        <v>0.97908845229698216</v>
      </c>
      <c r="P4746" s="4">
        <f t="shared" ca="1" si="404"/>
        <v>2.0352761416186094</v>
      </c>
      <c r="Q4746" s="4">
        <f t="shared" ca="1" si="405"/>
        <v>1861.6056838177985</v>
      </c>
      <c r="R4746" s="4">
        <f t="shared" ca="1" si="406"/>
        <v>-62.064360182201426</v>
      </c>
      <c r="S4746" s="4">
        <f t="shared" ca="1" si="407"/>
        <v>-29.849562566740573</v>
      </c>
    </row>
    <row r="4747" spans="15:19" x14ac:dyDescent="0.2">
      <c r="O4747" s="4">
        <f t="shared" ca="1" si="403"/>
        <v>0.5072887217606673</v>
      </c>
      <c r="P4747" s="4">
        <f t="shared" ca="1" si="404"/>
        <v>1.8271132588720384E-2</v>
      </c>
      <c r="Q4747" s="4">
        <f t="shared" ca="1" si="405"/>
        <v>1922.7107610133619</v>
      </c>
      <c r="R4747" s="4">
        <f t="shared" ca="1" si="406"/>
        <v>-0.95928298663807254</v>
      </c>
      <c r="S4747" s="4">
        <f t="shared" ca="1" si="407"/>
        <v>-0.48522384911285815</v>
      </c>
    </row>
    <row r="4748" spans="15:19" x14ac:dyDescent="0.2">
      <c r="O4748" s="4">
        <f t="shared" ca="1" si="403"/>
        <v>0.53161074152073851</v>
      </c>
      <c r="P4748" s="4">
        <f t="shared" ca="1" si="404"/>
        <v>7.931947416495784E-2</v>
      </c>
      <c r="Q4748" s="4">
        <f t="shared" ca="1" si="405"/>
        <v>1920.8613042157949</v>
      </c>
      <c r="R4748" s="4">
        <f t="shared" ca="1" si="406"/>
        <v>-2.808739784205045</v>
      </c>
      <c r="S4748" s="4">
        <f t="shared" ca="1" si="407"/>
        <v>-1.4186002131777169</v>
      </c>
    </row>
    <row r="4749" spans="15:19" x14ac:dyDescent="0.2">
      <c r="O4749" s="4">
        <f t="shared" ca="1" si="403"/>
        <v>0.55266400030168916</v>
      </c>
      <c r="P4749" s="4">
        <f t="shared" ca="1" si="404"/>
        <v>0.13239483549625067</v>
      </c>
      <c r="Q4749" s="4">
        <f t="shared" ca="1" si="405"/>
        <v>1919.2533885007558</v>
      </c>
      <c r="R4749" s="4">
        <f t="shared" ca="1" si="406"/>
        <v>-4.4166554992441434</v>
      </c>
      <c r="S4749" s="4">
        <f t="shared" ca="1" si="407"/>
        <v>-2.2278136378245494</v>
      </c>
    </row>
    <row r="4750" spans="15:19" x14ac:dyDescent="0.2">
      <c r="O4750" s="4">
        <f t="shared" ca="1" si="403"/>
        <v>0.34938737356376781</v>
      </c>
      <c r="P4750" s="4">
        <f t="shared" ca="1" si="404"/>
        <v>-0.38697495793376441</v>
      </c>
      <c r="Q4750" s="4">
        <f t="shared" ca="1" si="405"/>
        <v>1934.987673333221</v>
      </c>
      <c r="R4750" s="4">
        <f t="shared" ca="1" si="406"/>
        <v>11.317629333221021</v>
      </c>
      <c r="S4750" s="4">
        <f t="shared" ca="1" si="407"/>
        <v>5.7812358052477535</v>
      </c>
    </row>
    <row r="4751" spans="15:19" x14ac:dyDescent="0.2">
      <c r="O4751" s="4">
        <f t="shared" ca="1" si="403"/>
        <v>0.58843656547507894</v>
      </c>
      <c r="P4751" s="4">
        <f t="shared" ca="1" si="404"/>
        <v>0.22352507587978987</v>
      </c>
      <c r="Q4751" s="4">
        <f t="shared" ca="1" si="405"/>
        <v>1916.4926019144277</v>
      </c>
      <c r="R4751" s="4">
        <f t="shared" ca="1" si="406"/>
        <v>-7.1774420855722383</v>
      </c>
      <c r="S4751" s="4">
        <f t="shared" ca="1" si="407"/>
        <v>-3.6123210401920649</v>
      </c>
    </row>
    <row r="4752" spans="15:19" x14ac:dyDescent="0.2">
      <c r="O4752" s="4">
        <f t="shared" ca="1" si="403"/>
        <v>0.25262703445252677</v>
      </c>
      <c r="P4752" s="4">
        <f t="shared" ca="1" si="404"/>
        <v>-0.66624569663373967</v>
      </c>
      <c r="Q4752" s="4">
        <f t="shared" ca="1" si="405"/>
        <v>1943.4481679627961</v>
      </c>
      <c r="R4752" s="4">
        <f t="shared" ca="1" si="406"/>
        <v>19.778123962796144</v>
      </c>
      <c r="S4752" s="4">
        <f t="shared" ca="1" si="407"/>
        <v>10.171115048448373</v>
      </c>
    </row>
    <row r="4753" spans="15:19" x14ac:dyDescent="0.2">
      <c r="O4753" s="4">
        <f t="shared" ca="1" si="403"/>
        <v>0.17700229628396891</v>
      </c>
      <c r="P4753" s="4">
        <f t="shared" ca="1" si="404"/>
        <v>-0.92684966863320495</v>
      </c>
      <c r="Q4753" s="4">
        <f t="shared" ca="1" si="405"/>
        <v>1951.3431537239653</v>
      </c>
      <c r="R4753" s="4">
        <f t="shared" ca="1" si="406"/>
        <v>27.673109723965354</v>
      </c>
      <c r="S4753" s="4">
        <f t="shared" ca="1" si="407"/>
        <v>14.320133218629428</v>
      </c>
    </row>
    <row r="4754" spans="15:19" x14ac:dyDescent="0.2">
      <c r="O4754" s="4">
        <f t="shared" ca="1" si="403"/>
        <v>0.34020198660325218</v>
      </c>
      <c r="P4754" s="4">
        <f t="shared" ca="1" si="404"/>
        <v>-0.41191193413795985</v>
      </c>
      <c r="Q4754" s="4">
        <f t="shared" ca="1" si="405"/>
        <v>1935.74313792015</v>
      </c>
      <c r="R4754" s="4">
        <f t="shared" ca="1" si="406"/>
        <v>12.073093920150086</v>
      </c>
      <c r="S4754" s="4">
        <f t="shared" ca="1" si="407"/>
        <v>6.170852643407664</v>
      </c>
    </row>
    <row r="4755" spans="15:19" x14ac:dyDescent="0.2">
      <c r="O4755" s="4">
        <f t="shared" ca="1" si="403"/>
        <v>6.0460912974409364E-3</v>
      </c>
      <c r="P4755" s="4">
        <f t="shared" ca="1" si="404"/>
        <v>-2.5094427180287742</v>
      </c>
      <c r="Q4755" s="4">
        <f t="shared" ca="1" si="405"/>
        <v>1999.2877398898618</v>
      </c>
      <c r="R4755" s="4">
        <f t="shared" ca="1" si="406"/>
        <v>75.617695889861807</v>
      </c>
      <c r="S4755" s="4">
        <f t="shared" ca="1" si="407"/>
        <v>40.606054787047803</v>
      </c>
    </row>
    <row r="4756" spans="15:19" x14ac:dyDescent="0.2">
      <c r="O4756" s="4">
        <f t="shared" ca="1" si="403"/>
        <v>0.78454717642709815</v>
      </c>
      <c r="P4756" s="4">
        <f t="shared" ca="1" si="404"/>
        <v>0.78764284287191322</v>
      </c>
      <c r="Q4756" s="4">
        <f t="shared" ca="1" si="405"/>
        <v>1899.4026792096638</v>
      </c>
      <c r="R4756" s="4">
        <f t="shared" ca="1" si="406"/>
        <v>-24.26736479033616</v>
      </c>
      <c r="S4756" s="4">
        <f t="shared" ca="1" si="407"/>
        <v>-12.04465265352894</v>
      </c>
    </row>
    <row r="4757" spans="15:19" x14ac:dyDescent="0.2">
      <c r="O4757" s="4">
        <f t="shared" ca="1" si="403"/>
        <v>0.68043507774096657</v>
      </c>
      <c r="P4757" s="4">
        <f t="shared" ca="1" si="404"/>
        <v>0.46891576878052671</v>
      </c>
      <c r="Q4757" s="4">
        <f t="shared" ca="1" si="405"/>
        <v>1909.0585017681003</v>
      </c>
      <c r="R4757" s="4">
        <f t="shared" ca="1" si="406"/>
        <v>-14.611542231899648</v>
      </c>
      <c r="S4757" s="4">
        <f t="shared" ca="1" si="407"/>
        <v>-7.3095976702421677</v>
      </c>
    </row>
    <row r="4758" spans="15:19" x14ac:dyDescent="0.2">
      <c r="O4758" s="4">
        <f t="shared" ca="1" si="403"/>
        <v>0.20339755330180254</v>
      </c>
      <c r="P4758" s="4">
        <f t="shared" ca="1" si="404"/>
        <v>-0.82954672843084021</v>
      </c>
      <c r="Q4758" s="4">
        <f t="shared" ca="1" si="405"/>
        <v>1948.3953654706877</v>
      </c>
      <c r="R4758" s="4">
        <f t="shared" ca="1" si="406"/>
        <v>24.725321470687732</v>
      </c>
      <c r="S4758" s="4">
        <f t="shared" ca="1" si="407"/>
        <v>12.765058230596519</v>
      </c>
    </row>
    <row r="4759" spans="15:19" x14ac:dyDescent="0.2">
      <c r="O4759" s="4">
        <f t="shared" ca="1" si="403"/>
        <v>9.4866738192896927E-3</v>
      </c>
      <c r="P4759" s="4">
        <f t="shared" ca="1" si="404"/>
        <v>-2.3460542109356486</v>
      </c>
      <c r="Q4759" s="4">
        <f t="shared" ca="1" si="405"/>
        <v>1994.3378923217613</v>
      </c>
      <c r="R4759" s="4">
        <f t="shared" ca="1" si="406"/>
        <v>70.667848321761312</v>
      </c>
      <c r="S4759" s="4">
        <f t="shared" ca="1" si="407"/>
        <v>37.805638242924758</v>
      </c>
    </row>
    <row r="4760" spans="15:19" x14ac:dyDescent="0.2">
      <c r="O4760" s="4">
        <f t="shared" ca="1" si="403"/>
        <v>0.62560605941789316</v>
      </c>
      <c r="P4760" s="4">
        <f t="shared" ca="1" si="404"/>
        <v>0.32023804977625348</v>
      </c>
      <c r="Q4760" s="4">
        <f t="shared" ca="1" si="405"/>
        <v>1913.5626866641935</v>
      </c>
      <c r="R4760" s="4">
        <f t="shared" ca="1" si="406"/>
        <v>-10.107357335806455</v>
      </c>
      <c r="S4760" s="4">
        <f t="shared" ca="1" si="407"/>
        <v>-5.0748576323542167</v>
      </c>
    </row>
    <row r="4761" spans="15:19" x14ac:dyDescent="0.2">
      <c r="O4761" s="4">
        <f t="shared" ca="1" si="403"/>
        <v>0.1962174445365904</v>
      </c>
      <c r="P4761" s="4">
        <f t="shared" ca="1" si="404"/>
        <v>-0.85521002179606587</v>
      </c>
      <c r="Q4761" s="4">
        <f t="shared" ca="1" si="405"/>
        <v>1949.1728338037626</v>
      </c>
      <c r="R4761" s="4">
        <f t="shared" ca="1" si="406"/>
        <v>25.502789803762653</v>
      </c>
      <c r="S4761" s="4">
        <f t="shared" ca="1" si="407"/>
        <v>13.174516681085736</v>
      </c>
    </row>
    <row r="4762" spans="15:19" x14ac:dyDescent="0.2">
      <c r="O4762" s="4">
        <f t="shared" ca="1" si="403"/>
        <v>7.6167740573876541E-2</v>
      </c>
      <c r="P4762" s="4">
        <f t="shared" ca="1" si="404"/>
        <v>-1.431330623822439</v>
      </c>
      <c r="Q4762" s="4">
        <f t="shared" ca="1" si="405"/>
        <v>1966.6263818629754</v>
      </c>
      <c r="R4762" s="4">
        <f t="shared" ca="1" si="406"/>
        <v>42.956337862975488</v>
      </c>
      <c r="S4762" s="4">
        <f t="shared" ca="1" si="407"/>
        <v>22.496062231854133</v>
      </c>
    </row>
    <row r="4763" spans="15:19" x14ac:dyDescent="0.2">
      <c r="O4763" s="4">
        <f t="shared" ca="1" si="403"/>
        <v>0.57859910546550264</v>
      </c>
      <c r="P4763" s="4">
        <f t="shared" ca="1" si="404"/>
        <v>0.19831094475238129</v>
      </c>
      <c r="Q4763" s="4">
        <f t="shared" ca="1" si="405"/>
        <v>1917.2564628974505</v>
      </c>
      <c r="R4763" s="4">
        <f t="shared" ca="1" si="406"/>
        <v>-6.4135811025494149</v>
      </c>
      <c r="S4763" s="4">
        <f t="shared" ca="1" si="407"/>
        <v>-3.2298731798167162</v>
      </c>
    </row>
    <row r="4764" spans="15:19" x14ac:dyDescent="0.2">
      <c r="O4764" s="4">
        <f t="shared" ca="1" si="403"/>
        <v>4.2656923978837802E-2</v>
      </c>
      <c r="P4764" s="4">
        <f t="shared" ca="1" si="404"/>
        <v>-1.7206527900120672</v>
      </c>
      <c r="Q4764" s="4">
        <f t="shared" ca="1" si="405"/>
        <v>1975.3913840420762</v>
      </c>
      <c r="R4764" s="4">
        <f t="shared" ca="1" si="406"/>
        <v>51.721340042076235</v>
      </c>
      <c r="S4764" s="4">
        <f t="shared" ca="1" si="407"/>
        <v>27.270798605891486</v>
      </c>
    </row>
    <row r="4765" spans="15:19" x14ac:dyDescent="0.2">
      <c r="O4765" s="4">
        <f t="shared" ca="1" si="403"/>
        <v>0.15945380577737089</v>
      </c>
      <c r="P4765" s="4">
        <f t="shared" ca="1" si="404"/>
        <v>-0.99670522750158075</v>
      </c>
      <c r="Q4765" s="4">
        <f t="shared" ca="1" si="405"/>
        <v>1953.4594247783659</v>
      </c>
      <c r="R4765" s="4">
        <f t="shared" ca="1" si="406"/>
        <v>29.789380778365967</v>
      </c>
      <c r="S4765" s="4">
        <f t="shared" ca="1" si="407"/>
        <v>15.440912498903504</v>
      </c>
    </row>
    <row r="4766" spans="15:19" x14ac:dyDescent="0.2">
      <c r="O4766" s="4">
        <f t="shared" ca="1" si="403"/>
        <v>0.59835557009165308</v>
      </c>
      <c r="P4766" s="4">
        <f t="shared" ca="1" si="404"/>
        <v>0.24909297959202223</v>
      </c>
      <c r="Q4766" s="4">
        <f t="shared" ca="1" si="405"/>
        <v>1915.718023406655</v>
      </c>
      <c r="R4766" s="4">
        <f t="shared" ca="1" si="406"/>
        <v>-7.9520205933449688</v>
      </c>
      <c r="S4766" s="4">
        <f t="shared" ca="1" si="407"/>
        <v>-3.9996498411500534</v>
      </c>
    </row>
    <row r="4767" spans="15:19" x14ac:dyDescent="0.2">
      <c r="O4767" s="4">
        <f t="shared" ca="1" si="403"/>
        <v>0.18276677966138433</v>
      </c>
      <c r="P4767" s="4">
        <f t="shared" ca="1" si="404"/>
        <v>-0.90487132607727272</v>
      </c>
      <c r="Q4767" s="4">
        <f t="shared" ca="1" si="405"/>
        <v>1950.6773208120496</v>
      </c>
      <c r="R4767" s="4">
        <f t="shared" ca="1" si="406"/>
        <v>27.007276812049668</v>
      </c>
      <c r="S4767" s="4">
        <f t="shared" ca="1" si="407"/>
        <v>13.968261500073067</v>
      </c>
    </row>
    <row r="4768" spans="15:19" x14ac:dyDescent="0.2">
      <c r="O4768" s="4">
        <f t="shared" ca="1" si="403"/>
        <v>0.36880557702177941</v>
      </c>
      <c r="P4768" s="4">
        <f t="shared" ca="1" si="404"/>
        <v>-0.33501846926111473</v>
      </c>
      <c r="Q4768" s="4">
        <f t="shared" ca="1" si="405"/>
        <v>1933.413653815699</v>
      </c>
      <c r="R4768" s="4">
        <f t="shared" ca="1" si="406"/>
        <v>9.7436098156990738</v>
      </c>
      <c r="S4768" s="4">
        <f t="shared" ca="1" si="407"/>
        <v>4.9709570370134877</v>
      </c>
    </row>
    <row r="4769" spans="15:19" x14ac:dyDescent="0.2">
      <c r="O4769" s="4">
        <f t="shared" ca="1" si="403"/>
        <v>0.81907971426951176</v>
      </c>
      <c r="P4769" s="4">
        <f t="shared" ca="1" si="404"/>
        <v>0.91186351209209726</v>
      </c>
      <c r="Q4769" s="4">
        <f t="shared" ca="1" si="405"/>
        <v>1895.6394195509115</v>
      </c>
      <c r="R4769" s="4">
        <f t="shared" ca="1" si="406"/>
        <v>-28.030624449088464</v>
      </c>
      <c r="S4769" s="4">
        <f t="shared" ca="1" si="407"/>
        <v>-13.869535887535086</v>
      </c>
    </row>
    <row r="4770" spans="15:19" x14ac:dyDescent="0.2">
      <c r="O4770" s="4">
        <f t="shared" ca="1" si="403"/>
        <v>9.7686641158795329E-2</v>
      </c>
      <c r="P4770" s="4">
        <f t="shared" ca="1" si="404"/>
        <v>-1.2948462246778591</v>
      </c>
      <c r="Q4770" s="4">
        <f t="shared" ca="1" si="405"/>
        <v>1962.4915930506606</v>
      </c>
      <c r="R4770" s="4">
        <f t="shared" ca="1" si="406"/>
        <v>38.821549050660678</v>
      </c>
      <c r="S4770" s="4">
        <f t="shared" ca="1" si="407"/>
        <v>20.265347570795793</v>
      </c>
    </row>
    <row r="4771" spans="15:19" x14ac:dyDescent="0.2">
      <c r="O4771" s="4">
        <f t="shared" ca="1" si="403"/>
        <v>0.72638767730087395</v>
      </c>
      <c r="P4771" s="4">
        <f t="shared" ca="1" si="404"/>
        <v>0.60192412385754279</v>
      </c>
      <c r="Q4771" s="4">
        <f t="shared" ca="1" si="405"/>
        <v>1905.0290195564796</v>
      </c>
      <c r="R4771" s="4">
        <f t="shared" ca="1" si="406"/>
        <v>-18.641024443520337</v>
      </c>
      <c r="S4771" s="4">
        <f t="shared" ca="1" si="407"/>
        <v>-9.2948175738176619</v>
      </c>
    </row>
    <row r="4772" spans="15:19" x14ac:dyDescent="0.2">
      <c r="O4772" s="4">
        <f t="shared" ca="1" si="403"/>
        <v>7.649148255739957E-2</v>
      </c>
      <c r="P4772" s="4">
        <f t="shared" ca="1" si="404"/>
        <v>-1.4290740013566856</v>
      </c>
      <c r="Q4772" s="4">
        <f t="shared" ca="1" si="405"/>
        <v>1966.5580175855669</v>
      </c>
      <c r="R4772" s="4">
        <f t="shared" ca="1" si="406"/>
        <v>42.887973585566897</v>
      </c>
      <c r="S4772" s="4">
        <f t="shared" ca="1" si="407"/>
        <v>22.459066604225331</v>
      </c>
    </row>
    <row r="4773" spans="15:19" x14ac:dyDescent="0.2">
      <c r="O4773" s="4">
        <f t="shared" ca="1" si="403"/>
        <v>0.51345344560483397</v>
      </c>
      <c r="P4773" s="4">
        <f t="shared" ca="1" si="404"/>
        <v>3.3729181430121026E-2</v>
      </c>
      <c r="Q4773" s="4">
        <f t="shared" ca="1" si="405"/>
        <v>1922.2424601100333</v>
      </c>
      <c r="R4773" s="4">
        <f t="shared" ca="1" si="406"/>
        <v>-1.4275838899666269</v>
      </c>
      <c r="S4773" s="4">
        <f t="shared" ca="1" si="407"/>
        <v>-0.72182734279308824</v>
      </c>
    </row>
    <row r="4774" spans="15:19" x14ac:dyDescent="0.2">
      <c r="O4774" s="4">
        <f t="shared" ca="1" si="403"/>
        <v>0.81132612448696073</v>
      </c>
      <c r="P4774" s="4">
        <f t="shared" ca="1" si="404"/>
        <v>0.88279368881852538</v>
      </c>
      <c r="Q4774" s="4">
        <f t="shared" ca="1" si="405"/>
        <v>1896.5200885563133</v>
      </c>
      <c r="R4774" s="4">
        <f t="shared" ca="1" si="406"/>
        <v>-27.149955443686622</v>
      </c>
      <c r="S4774" s="4">
        <f t="shared" ca="1" si="407"/>
        <v>-13.443514476362209</v>
      </c>
    </row>
    <row r="4775" spans="15:19" x14ac:dyDescent="0.2">
      <c r="O4775" s="4">
        <f t="shared" ca="1" si="403"/>
        <v>0.27795570469897646</v>
      </c>
      <c r="P4775" s="4">
        <f t="shared" ca="1" si="404"/>
        <v>-0.58892526377226395</v>
      </c>
      <c r="Q4775" s="4">
        <f t="shared" ca="1" si="405"/>
        <v>1941.1057488822075</v>
      </c>
      <c r="R4775" s="4">
        <f t="shared" ca="1" si="406"/>
        <v>17.435704882207574</v>
      </c>
      <c r="S4775" s="4">
        <f t="shared" ca="1" si="407"/>
        <v>8.9498751858689563</v>
      </c>
    </row>
    <row r="4776" spans="15:19" x14ac:dyDescent="0.2">
      <c r="O4776" s="4">
        <f t="shared" ca="1" si="403"/>
        <v>0.82330401900342243</v>
      </c>
      <c r="P4776" s="4">
        <f t="shared" ca="1" si="404"/>
        <v>0.9280300889186518</v>
      </c>
      <c r="Q4776" s="4">
        <f t="shared" ca="1" si="405"/>
        <v>1895.1496538237307</v>
      </c>
      <c r="R4776" s="4">
        <f t="shared" ca="1" si="406"/>
        <v>-28.520390176269302</v>
      </c>
      <c r="S4776" s="4">
        <f t="shared" ca="1" si="407"/>
        <v>-14.106185601753399</v>
      </c>
    </row>
    <row r="4777" spans="15:19" x14ac:dyDescent="0.2">
      <c r="O4777" s="4">
        <f t="shared" ca="1" si="403"/>
        <v>0.40213867755179278</v>
      </c>
      <c r="P4777" s="4">
        <f t="shared" ca="1" si="404"/>
        <v>-0.24781525001405685</v>
      </c>
      <c r="Q4777" s="4">
        <f t="shared" ca="1" si="405"/>
        <v>1930.7718361603445</v>
      </c>
      <c r="R4777" s="4">
        <f t="shared" ca="1" si="406"/>
        <v>7.1017921603445302</v>
      </c>
      <c r="S4777" s="4">
        <f t="shared" ca="1" si="407"/>
        <v>3.6155274732989064</v>
      </c>
    </row>
    <row r="4778" spans="15:19" x14ac:dyDescent="0.2">
      <c r="O4778" s="4">
        <f t="shared" ca="1" si="403"/>
        <v>0.2353549001251054</v>
      </c>
      <c r="P4778" s="4">
        <f t="shared" ca="1" si="404"/>
        <v>-0.72132464026602949</v>
      </c>
      <c r="Q4778" s="4">
        <f t="shared" ca="1" si="405"/>
        <v>1945.1167821146869</v>
      </c>
      <c r="R4778" s="4">
        <f t="shared" ca="1" si="406"/>
        <v>21.446738114686923</v>
      </c>
      <c r="S4778" s="4">
        <f t="shared" ca="1" si="407"/>
        <v>11.043785512006625</v>
      </c>
    </row>
    <row r="4779" spans="15:19" x14ac:dyDescent="0.2">
      <c r="O4779" s="4">
        <f t="shared" ca="1" si="403"/>
        <v>0.39475030093120933</v>
      </c>
      <c r="P4779" s="4">
        <f t="shared" ca="1" si="404"/>
        <v>-0.26695916514827384</v>
      </c>
      <c r="Q4779" s="4">
        <f t="shared" ca="1" si="405"/>
        <v>1931.3518002193653</v>
      </c>
      <c r="R4779" s="4">
        <f t="shared" ca="1" si="406"/>
        <v>7.6817562193652975</v>
      </c>
      <c r="S4779" s="4">
        <f t="shared" ca="1" si="407"/>
        <v>3.9126011423817766</v>
      </c>
    </row>
    <row r="4780" spans="15:19" x14ac:dyDescent="0.2">
      <c r="O4780" s="4">
        <f t="shared" ca="1" si="403"/>
        <v>0.32980171560911642</v>
      </c>
      <c r="P4780" s="4">
        <f t="shared" ca="1" si="404"/>
        <v>-0.44046075365210169</v>
      </c>
      <c r="Q4780" s="4">
        <f t="shared" ca="1" si="405"/>
        <v>1936.6080231397923</v>
      </c>
      <c r="R4780" s="4">
        <f t="shared" ca="1" si="406"/>
        <v>12.937979139792333</v>
      </c>
      <c r="S4780" s="4">
        <f t="shared" ca="1" si="407"/>
        <v>6.6174716154489825</v>
      </c>
    </row>
    <row r="4781" spans="15:19" x14ac:dyDescent="0.2">
      <c r="O4781" s="4">
        <f t="shared" ca="1" si="403"/>
        <v>0.30404504954370992</v>
      </c>
      <c r="P4781" s="4">
        <f t="shared" ca="1" si="404"/>
        <v>-0.51280161623680487</v>
      </c>
      <c r="Q4781" s="4">
        <f t="shared" ca="1" si="405"/>
        <v>1938.7995863599342</v>
      </c>
      <c r="R4781" s="4">
        <f t="shared" ca="1" si="406"/>
        <v>15.129542359934248</v>
      </c>
      <c r="S4781" s="4">
        <f t="shared" ca="1" si="407"/>
        <v>7.7519019231894175</v>
      </c>
    </row>
    <row r="4782" spans="15:19" x14ac:dyDescent="0.2">
      <c r="O4782" s="4">
        <f t="shared" ca="1" si="403"/>
        <v>0.47577739302599653</v>
      </c>
      <c r="P4782" s="4">
        <f t="shared" ca="1" si="404"/>
        <v>-6.0754425955146969E-2</v>
      </c>
      <c r="Q4782" s="4">
        <f t="shared" ca="1" si="405"/>
        <v>1925.1048368007928</v>
      </c>
      <c r="R4782" s="4">
        <f t="shared" ca="1" si="406"/>
        <v>1.4347928007928203</v>
      </c>
      <c r="S4782" s="4">
        <f t="shared" ca="1" si="407"/>
        <v>0.72714417449649682</v>
      </c>
    </row>
    <row r="4783" spans="15:19" x14ac:dyDescent="0.2">
      <c r="O4783" s="4">
        <f t="shared" ca="1" si="403"/>
        <v>0.69447714384982562</v>
      </c>
      <c r="P4783" s="4">
        <f t="shared" ca="1" si="404"/>
        <v>0.50858133850065923</v>
      </c>
      <c r="Q4783" s="4">
        <f t="shared" ca="1" si="405"/>
        <v>1907.8568350945404</v>
      </c>
      <c r="R4783" s="4">
        <f t="shared" ca="1" si="406"/>
        <v>-15.813208905459533</v>
      </c>
      <c r="S4783" s="4">
        <f t="shared" ca="1" si="407"/>
        <v>-7.9030104930248477</v>
      </c>
    </row>
    <row r="4784" spans="15:19" x14ac:dyDescent="0.2">
      <c r="O4784" s="4">
        <f t="shared" ca="1" si="403"/>
        <v>0.25327496194355603</v>
      </c>
      <c r="P4784" s="4">
        <f t="shared" ca="1" si="404"/>
        <v>-0.66421936050089969</v>
      </c>
      <c r="Q4784" s="4">
        <f t="shared" ca="1" si="405"/>
        <v>1943.3867801996191</v>
      </c>
      <c r="R4784" s="4">
        <f t="shared" ca="1" si="406"/>
        <v>19.716736199619163</v>
      </c>
      <c r="S4784" s="4">
        <f t="shared" ca="1" si="407"/>
        <v>10.139053021646184</v>
      </c>
    </row>
    <row r="4785" spans="15:19" x14ac:dyDescent="0.2">
      <c r="O4785" s="4">
        <f t="shared" ca="1" si="403"/>
        <v>0.60147046784019886</v>
      </c>
      <c r="P4785" s="4">
        <f t="shared" ca="1" si="404"/>
        <v>0.25715507323896553</v>
      </c>
      <c r="Q4785" s="4">
        <f t="shared" ca="1" si="405"/>
        <v>1915.4737826375697</v>
      </c>
      <c r="R4785" s="4">
        <f t="shared" ca="1" si="406"/>
        <v>-8.1962613624302776</v>
      </c>
      <c r="S4785" s="4">
        <f t="shared" ca="1" si="407"/>
        <v>-4.1216814017418857</v>
      </c>
    </row>
    <row r="4786" spans="15:19" x14ac:dyDescent="0.2">
      <c r="O4786" s="4">
        <f t="shared" ca="1" si="403"/>
        <v>0.56380591457455309</v>
      </c>
      <c r="P4786" s="4">
        <f t="shared" ca="1" si="404"/>
        <v>0.16062575230933879</v>
      </c>
      <c r="Q4786" s="4">
        <f t="shared" ca="1" si="405"/>
        <v>1918.3981341293277</v>
      </c>
      <c r="R4786" s="4">
        <f t="shared" ca="1" si="406"/>
        <v>-5.2719098706722889</v>
      </c>
      <c r="S4786" s="4">
        <f t="shared" ca="1" si="407"/>
        <v>-2.6573787256903709</v>
      </c>
    </row>
    <row r="4787" spans="15:19" x14ac:dyDescent="0.2">
      <c r="O4787" s="4">
        <f t="shared" ca="1" si="403"/>
        <v>0.37317411825489799</v>
      </c>
      <c r="P4787" s="4">
        <f t="shared" ca="1" si="404"/>
        <v>-0.32345822974126887</v>
      </c>
      <c r="Q4787" s="4">
        <f t="shared" ca="1" si="405"/>
        <v>1933.0634368727083</v>
      </c>
      <c r="R4787" s="4">
        <f t="shared" ca="1" si="406"/>
        <v>9.3933928727083185</v>
      </c>
      <c r="S4787" s="4">
        <f t="shared" ca="1" si="407"/>
        <v>4.7909455704218979</v>
      </c>
    </row>
    <row r="4788" spans="15:19" x14ac:dyDescent="0.2">
      <c r="O4788" s="4">
        <f t="shared" ca="1" si="403"/>
        <v>0.65660000083147407</v>
      </c>
      <c r="P4788" s="4">
        <f t="shared" ca="1" si="404"/>
        <v>0.403201497230675</v>
      </c>
      <c r="Q4788" s="4">
        <f t="shared" ca="1" si="405"/>
        <v>1911.0493127070554</v>
      </c>
      <c r="R4788" s="4">
        <f t="shared" ca="1" si="406"/>
        <v>-12.620731292944583</v>
      </c>
      <c r="S4788" s="4">
        <f t="shared" ca="1" si="407"/>
        <v>-6.3238986495298537</v>
      </c>
    </row>
    <row r="4789" spans="15:19" x14ac:dyDescent="0.2">
      <c r="O4789" s="4">
        <f t="shared" ca="1" si="403"/>
        <v>0.80657820455279827</v>
      </c>
      <c r="P4789" s="4">
        <f t="shared" ca="1" si="404"/>
        <v>0.8653556942754832</v>
      </c>
      <c r="Q4789" s="4">
        <f t="shared" ca="1" si="405"/>
        <v>1897.0483718267653</v>
      </c>
      <c r="R4789" s="4">
        <f t="shared" ca="1" si="406"/>
        <v>-26.621672173234629</v>
      </c>
      <c r="S4789" s="4">
        <f t="shared" ca="1" si="407"/>
        <v>-13.187655783922999</v>
      </c>
    </row>
    <row r="4790" spans="15:19" x14ac:dyDescent="0.2">
      <c r="O4790" s="4">
        <f t="shared" ca="1" si="403"/>
        <v>0.15108374371084932</v>
      </c>
      <c r="P4790" s="4">
        <f t="shared" ca="1" si="404"/>
        <v>-1.031796439851524</v>
      </c>
      <c r="Q4790" s="4">
        <f t="shared" ca="1" si="405"/>
        <v>1954.522511498493</v>
      </c>
      <c r="R4790" s="4">
        <f t="shared" ca="1" si="406"/>
        <v>30.85246749849307</v>
      </c>
      <c r="S4790" s="4">
        <f t="shared" ca="1" si="407"/>
        <v>16.005300162518555</v>
      </c>
    </row>
    <row r="4791" spans="15:19" x14ac:dyDescent="0.2">
      <c r="O4791" s="4">
        <f t="shared" ca="1" si="403"/>
        <v>0.26308323885790752</v>
      </c>
      <c r="P4791" s="4">
        <f t="shared" ca="1" si="404"/>
        <v>-0.63386875544863619</v>
      </c>
      <c r="Q4791" s="4">
        <f t="shared" ca="1" si="405"/>
        <v>1942.4673099670974</v>
      </c>
      <c r="R4791" s="4">
        <f t="shared" ca="1" si="406"/>
        <v>18.797265967097474</v>
      </c>
      <c r="S4791" s="4">
        <f t="shared" ca="1" si="407"/>
        <v>9.6591928536042637</v>
      </c>
    </row>
    <row r="4792" spans="15:19" x14ac:dyDescent="0.2">
      <c r="O4792" s="4">
        <f t="shared" ca="1" si="403"/>
        <v>0.59076472340216324</v>
      </c>
      <c r="P4792" s="4">
        <f t="shared" ca="1" si="404"/>
        <v>0.22951256834525943</v>
      </c>
      <c r="Q4792" s="4">
        <f t="shared" ca="1" si="405"/>
        <v>1916.3112110960251</v>
      </c>
      <c r="R4792" s="4">
        <f t="shared" ca="1" si="406"/>
        <v>-7.3588329039748714</v>
      </c>
      <c r="S4792" s="4">
        <f t="shared" ca="1" si="407"/>
        <v>-3.7030695106881972</v>
      </c>
    </row>
    <row r="4793" spans="15:19" x14ac:dyDescent="0.2">
      <c r="O4793" s="4">
        <f t="shared" ca="1" si="403"/>
        <v>0.88268322049112735</v>
      </c>
      <c r="P4793" s="4">
        <f t="shared" ca="1" si="404"/>
        <v>1.1885074180752202</v>
      </c>
      <c r="Q4793" s="4">
        <f t="shared" ca="1" si="405"/>
        <v>1887.2585047018645</v>
      </c>
      <c r="R4793" s="4">
        <f t="shared" ca="1" si="406"/>
        <v>-36.411539298135494</v>
      </c>
      <c r="S4793" s="4">
        <f t="shared" ca="1" si="407"/>
        <v>-17.892185381830537</v>
      </c>
    </row>
    <row r="4794" spans="15:19" x14ac:dyDescent="0.2">
      <c r="O4794" s="4">
        <f t="shared" ca="1" si="403"/>
        <v>0.2489559667005744</v>
      </c>
      <c r="P4794" s="4">
        <f t="shared" ca="1" si="404"/>
        <v>-0.67777883369172875</v>
      </c>
      <c r="Q4794" s="4">
        <f t="shared" ca="1" si="405"/>
        <v>1943.7975638379085</v>
      </c>
      <c r="R4794" s="4">
        <f t="shared" ca="1" si="406"/>
        <v>20.127519837908494</v>
      </c>
      <c r="S4794" s="4">
        <f t="shared" ca="1" si="407"/>
        <v>10.353658374941425</v>
      </c>
    </row>
    <row r="4795" spans="15:19" x14ac:dyDescent="0.2">
      <c r="O4795" s="4">
        <f t="shared" ca="1" si="403"/>
        <v>0.83000587373178536</v>
      </c>
      <c r="P4795" s="4">
        <f t="shared" ca="1" si="404"/>
        <v>0.95418846482253694</v>
      </c>
      <c r="Q4795" s="4">
        <f t="shared" ca="1" si="405"/>
        <v>1894.3571869871282</v>
      </c>
      <c r="R4795" s="4">
        <f t="shared" ca="1" si="406"/>
        <v>-29.312857012871746</v>
      </c>
      <c r="S4795" s="4">
        <f t="shared" ca="1" si="407"/>
        <v>-14.488683715206287</v>
      </c>
    </row>
    <row r="4796" spans="15:19" x14ac:dyDescent="0.2">
      <c r="O4796" s="4">
        <f t="shared" ca="1" si="403"/>
        <v>0.11494887121464514</v>
      </c>
      <c r="P4796" s="4">
        <f t="shared" ca="1" si="404"/>
        <v>-1.2006223110367995</v>
      </c>
      <c r="Q4796" s="4">
        <f t="shared" ca="1" si="405"/>
        <v>1959.6370837703519</v>
      </c>
      <c r="R4796" s="4">
        <f t="shared" ca="1" si="406"/>
        <v>35.967039770351903</v>
      </c>
      <c r="S4796" s="4">
        <f t="shared" ca="1" si="407"/>
        <v>18.733463953432768</v>
      </c>
    </row>
    <row r="4797" spans="15:19" x14ac:dyDescent="0.2">
      <c r="O4797" s="4">
        <f t="shared" ca="1" si="403"/>
        <v>0.62722008893832193</v>
      </c>
      <c r="P4797" s="4">
        <f t="shared" ca="1" si="404"/>
        <v>0.3244996038569446</v>
      </c>
      <c r="Q4797" s="4">
        <f t="shared" ca="1" si="405"/>
        <v>1913.4335830725277</v>
      </c>
      <c r="R4797" s="4">
        <f t="shared" ca="1" si="406"/>
        <v>-10.236460927472308</v>
      </c>
      <c r="S4797" s="4">
        <f t="shared" ca="1" si="407"/>
        <v>-5.1391419839718937</v>
      </c>
    </row>
    <row r="4798" spans="15:19" x14ac:dyDescent="0.2">
      <c r="O4798" s="4">
        <f t="shared" ca="1" si="403"/>
        <v>0.85584926931252925</v>
      </c>
      <c r="P4798" s="4">
        <f t="shared" ca="1" si="404"/>
        <v>1.0618551216809642</v>
      </c>
      <c r="Q4798" s="4">
        <f t="shared" ca="1" si="405"/>
        <v>1891.0954303978936</v>
      </c>
      <c r="R4798" s="4">
        <f t="shared" ca="1" si="406"/>
        <v>-32.57461360210641</v>
      </c>
      <c r="S4798" s="4">
        <f t="shared" ca="1" si="407"/>
        <v>-16.057645096155746</v>
      </c>
    </row>
    <row r="4799" spans="15:19" x14ac:dyDescent="0.2">
      <c r="O4799" s="4">
        <f t="shared" ca="1" si="403"/>
        <v>7.3201176154703451E-2</v>
      </c>
      <c r="P4799" s="4">
        <f t="shared" ca="1" si="404"/>
        <v>-1.4523570493592481</v>
      </c>
      <c r="Q4799" s="4">
        <f t="shared" ca="1" si="405"/>
        <v>1967.2633764910606</v>
      </c>
      <c r="R4799" s="4">
        <f t="shared" ca="1" si="406"/>
        <v>43.593332491060664</v>
      </c>
      <c r="S4799" s="4">
        <f t="shared" ca="1" si="407"/>
        <v>22.840957560180311</v>
      </c>
    </row>
    <row r="4800" spans="15:19" x14ac:dyDescent="0.2">
      <c r="O4800" s="4">
        <f t="shared" ca="1" si="403"/>
        <v>0.76909623100489599</v>
      </c>
      <c r="P4800" s="4">
        <f t="shared" ca="1" si="404"/>
        <v>0.73587374283114204</v>
      </c>
      <c r="Q4800" s="4">
        <f t="shared" ca="1" si="405"/>
        <v>1900.971021796903</v>
      </c>
      <c r="R4800" s="4">
        <f t="shared" ca="1" si="406"/>
        <v>-22.699022203097002</v>
      </c>
      <c r="S4800" s="4">
        <f t="shared" ca="1" si="407"/>
        <v>-11.280726742876372</v>
      </c>
    </row>
    <row r="4801" spans="15:19" x14ac:dyDescent="0.2">
      <c r="O4801" s="4">
        <f t="shared" ca="1" si="403"/>
        <v>8.1528487769165658E-2</v>
      </c>
      <c r="P4801" s="4">
        <f t="shared" ca="1" si="404"/>
        <v>-1.3948635999968584</v>
      </c>
      <c r="Q4801" s="4">
        <f t="shared" ca="1" si="405"/>
        <v>1965.5216149952785</v>
      </c>
      <c r="R4801" s="4">
        <f t="shared" ca="1" si="406"/>
        <v>41.851570995278507</v>
      </c>
      <c r="S4801" s="4">
        <f t="shared" ca="1" si="407"/>
        <v>21.8986788984698</v>
      </c>
    </row>
    <row r="4802" spans="15:19" x14ac:dyDescent="0.2">
      <c r="O4802" s="4">
        <f t="shared" ca="1" si="403"/>
        <v>0.91265130130782646</v>
      </c>
      <c r="P4802" s="4">
        <f t="shared" ca="1" si="404"/>
        <v>1.357263824619273</v>
      </c>
      <c r="Q4802" s="4">
        <f t="shared" ca="1" si="405"/>
        <v>1882.1460368582273</v>
      </c>
      <c r="R4802" s="4">
        <f t="shared" ca="1" si="406"/>
        <v>-41.524007141772699</v>
      </c>
      <c r="S4802" s="4">
        <f t="shared" ca="1" si="407"/>
        <v>-20.317972807066987</v>
      </c>
    </row>
    <row r="4803" spans="15:19" x14ac:dyDescent="0.2">
      <c r="O4803" s="4">
        <f t="shared" ref="O4803:O4866" ca="1" si="408">RAND()</f>
        <v>0.22532945261658555</v>
      </c>
      <c r="P4803" s="4">
        <f t="shared" ref="P4803:P4866" ca="1" si="409">NORMSINV(O4803)</f>
        <v>-0.75431698593578156</v>
      </c>
      <c r="Q4803" s="4">
        <f t="shared" ref="Q4803:Q4866" ca="1" si="410">$B$4*(1+$B$17-$B$6/SQRT(252)*P4803)</f>
        <v>1946.1162837619247</v>
      </c>
      <c r="R4803" s="4">
        <f t="shared" ref="R4803:R4866" ca="1" si="411">Q4803-$B$4</f>
        <v>22.446239761924744</v>
      </c>
      <c r="S4803" s="4">
        <f t="shared" ref="S4803:S4866" ca="1" si="412">R4803*$B$12+0.5*$B$13*R4803^2</f>
        <v>11.567601612073553</v>
      </c>
    </row>
    <row r="4804" spans="15:19" x14ac:dyDescent="0.2">
      <c r="O4804" s="4">
        <f t="shared" ca="1" si="408"/>
        <v>0.25778907662102302</v>
      </c>
      <c r="P4804" s="4">
        <f t="shared" ca="1" si="409"/>
        <v>-0.65017660167194358</v>
      </c>
      <c r="Q4804" s="4">
        <f t="shared" ca="1" si="410"/>
        <v>1942.9613554443802</v>
      </c>
      <c r="R4804" s="4">
        <f t="shared" ca="1" si="411"/>
        <v>19.291311444380199</v>
      </c>
      <c r="S4804" s="4">
        <f t="shared" ca="1" si="412"/>
        <v>9.9169435341763386</v>
      </c>
    </row>
    <row r="4805" spans="15:19" x14ac:dyDescent="0.2">
      <c r="O4805" s="4">
        <f t="shared" ca="1" si="408"/>
        <v>0.61506213787245645</v>
      </c>
      <c r="P4805" s="4">
        <f t="shared" ca="1" si="409"/>
        <v>0.29253745823330984</v>
      </c>
      <c r="Q4805" s="4">
        <f t="shared" ca="1" si="410"/>
        <v>1914.4018748551084</v>
      </c>
      <c r="R4805" s="4">
        <f t="shared" ca="1" si="411"/>
        <v>-9.2681691448915444</v>
      </c>
      <c r="S4805" s="4">
        <f t="shared" ca="1" si="412"/>
        <v>-4.6566711791318811</v>
      </c>
    </row>
    <row r="4806" spans="15:19" x14ac:dyDescent="0.2">
      <c r="O4806" s="4">
        <f t="shared" ca="1" si="408"/>
        <v>0.12574867912787324</v>
      </c>
      <c r="P4806" s="4">
        <f t="shared" ca="1" si="409"/>
        <v>-1.1467200086960703</v>
      </c>
      <c r="Q4806" s="4">
        <f t="shared" ca="1" si="410"/>
        <v>1958.0041159141476</v>
      </c>
      <c r="R4806" s="4">
        <f t="shared" ca="1" si="411"/>
        <v>34.334071914147671</v>
      </c>
      <c r="S4806" s="4">
        <f t="shared" ca="1" si="412"/>
        <v>17.860108304336212</v>
      </c>
    </row>
    <row r="4807" spans="15:19" x14ac:dyDescent="0.2">
      <c r="O4807" s="4">
        <f t="shared" ca="1" si="408"/>
        <v>0.78151251604806893</v>
      </c>
      <c r="P4807" s="4">
        <f t="shared" ca="1" si="409"/>
        <v>0.77731157445351484</v>
      </c>
      <c r="Q4807" s="4">
        <f t="shared" ca="1" si="410"/>
        <v>1899.7156645277014</v>
      </c>
      <c r="R4807" s="4">
        <f t="shared" ca="1" si="411"/>
        <v>-23.954379472298569</v>
      </c>
      <c r="S4807" s="4">
        <f t="shared" ca="1" si="412"/>
        <v>-11.892360192751269</v>
      </c>
    </row>
    <row r="4808" spans="15:19" x14ac:dyDescent="0.2">
      <c r="O4808" s="4">
        <f t="shared" ca="1" si="408"/>
        <v>0.58583568597705926</v>
      </c>
      <c r="P4808" s="4">
        <f t="shared" ca="1" si="409"/>
        <v>0.21684565855920462</v>
      </c>
      <c r="Q4808" s="4">
        <f t="shared" ca="1" si="410"/>
        <v>1916.6949545655955</v>
      </c>
      <c r="R4808" s="4">
        <f t="shared" ca="1" si="411"/>
        <v>-6.9750894344044809</v>
      </c>
      <c r="S4808" s="4">
        <f t="shared" ca="1" si="412"/>
        <v>-3.5110539119201047</v>
      </c>
    </row>
    <row r="4809" spans="15:19" x14ac:dyDescent="0.2">
      <c r="O4809" s="4">
        <f t="shared" ca="1" si="408"/>
        <v>0.51627864424266157</v>
      </c>
      <c r="P4809" s="4">
        <f t="shared" ca="1" si="409"/>
        <v>4.0815839840873884E-2</v>
      </c>
      <c r="Q4809" s="4">
        <f t="shared" ca="1" si="410"/>
        <v>1922.0277701081202</v>
      </c>
      <c r="R4809" s="4">
        <f t="shared" ca="1" si="411"/>
        <v>-1.6422738918797677</v>
      </c>
      <c r="S4809" s="4">
        <f t="shared" ca="1" si="412"/>
        <v>-0.83023723842170705</v>
      </c>
    </row>
    <row r="4810" spans="15:19" x14ac:dyDescent="0.2">
      <c r="O4810" s="4">
        <f t="shared" ca="1" si="408"/>
        <v>0.2177216654856452</v>
      </c>
      <c r="P4810" s="4">
        <f t="shared" ca="1" si="409"/>
        <v>-0.77991088501467487</v>
      </c>
      <c r="Q4810" s="4">
        <f t="shared" ca="1" si="410"/>
        <v>1946.8916497981766</v>
      </c>
      <c r="R4810" s="4">
        <f t="shared" ca="1" si="411"/>
        <v>23.221605798176597</v>
      </c>
      <c r="S4810" s="4">
        <f t="shared" ca="1" si="412"/>
        <v>11.97451352912891</v>
      </c>
    </row>
    <row r="4811" spans="15:19" x14ac:dyDescent="0.2">
      <c r="O4811" s="4">
        <f t="shared" ca="1" si="408"/>
        <v>0.79997787704106871</v>
      </c>
      <c r="P4811" s="4">
        <f t="shared" ca="1" si="409"/>
        <v>0.84154221488601599</v>
      </c>
      <c r="Q4811" s="4">
        <f t="shared" ca="1" si="410"/>
        <v>1897.7698001275746</v>
      </c>
      <c r="R4811" s="4">
        <f t="shared" ca="1" si="411"/>
        <v>-25.900243872425335</v>
      </c>
      <c r="S4811" s="4">
        <f t="shared" ca="1" si="412"/>
        <v>-12.837885888985213</v>
      </c>
    </row>
    <row r="4812" spans="15:19" x14ac:dyDescent="0.2">
      <c r="O4812" s="4">
        <f t="shared" ca="1" si="408"/>
        <v>0.60169366605984542</v>
      </c>
      <c r="P4812" s="4">
        <f t="shared" ca="1" si="409"/>
        <v>0.25773339914877896</v>
      </c>
      <c r="Q4812" s="4">
        <f t="shared" ca="1" si="410"/>
        <v>1915.4562622798089</v>
      </c>
      <c r="R4812" s="4">
        <f t="shared" ca="1" si="411"/>
        <v>-8.2137817201910366</v>
      </c>
      <c r="S4812" s="4">
        <f t="shared" ca="1" si="412"/>
        <v>-4.1304333420485015</v>
      </c>
    </row>
    <row r="4813" spans="15:19" x14ac:dyDescent="0.2">
      <c r="O4813" s="4">
        <f t="shared" ca="1" si="408"/>
        <v>2.4323963217482869E-2</v>
      </c>
      <c r="P4813" s="4">
        <f t="shared" ca="1" si="409"/>
        <v>-1.9716644327926316</v>
      </c>
      <c r="Q4813" s="4">
        <f t="shared" ca="1" si="410"/>
        <v>1982.9957706154485</v>
      </c>
      <c r="R4813" s="4">
        <f t="shared" ca="1" si="411"/>
        <v>59.325726615448502</v>
      </c>
      <c r="S4813" s="4">
        <f t="shared" ca="1" si="412"/>
        <v>31.463961073730577</v>
      </c>
    </row>
    <row r="4814" spans="15:19" x14ac:dyDescent="0.2">
      <c r="O4814" s="4">
        <f t="shared" ca="1" si="408"/>
        <v>0.68287167361760825</v>
      </c>
      <c r="P4814" s="4">
        <f t="shared" ca="1" si="409"/>
        <v>0.47574416460453861</v>
      </c>
      <c r="Q4814" s="4">
        <f t="shared" ca="1" si="410"/>
        <v>1908.851635819786</v>
      </c>
      <c r="R4814" s="4">
        <f t="shared" ca="1" si="411"/>
        <v>-14.818408180213964</v>
      </c>
      <c r="S4814" s="4">
        <f t="shared" ca="1" si="412"/>
        <v>-7.4118369798387036</v>
      </c>
    </row>
    <row r="4815" spans="15:19" x14ac:dyDescent="0.2">
      <c r="O4815" s="4">
        <f t="shared" ca="1" si="408"/>
        <v>0.68383255360671169</v>
      </c>
      <c r="P4815" s="4">
        <f t="shared" ca="1" si="409"/>
        <v>0.47844305889135874</v>
      </c>
      <c r="Q4815" s="4">
        <f t="shared" ca="1" si="410"/>
        <v>1908.7698729371948</v>
      </c>
      <c r="R4815" s="4">
        <f t="shared" ca="1" si="411"/>
        <v>-14.900171062805157</v>
      </c>
      <c r="S4815" s="4">
        <f t="shared" ca="1" si="412"/>
        <v>-7.45223702383697</v>
      </c>
    </row>
    <row r="4816" spans="15:19" x14ac:dyDescent="0.2">
      <c r="O4816" s="4">
        <f t="shared" ca="1" si="408"/>
        <v>3.7335484440218614E-2</v>
      </c>
      <c r="P4816" s="4">
        <f t="shared" ca="1" si="409"/>
        <v>-1.7824801287178547</v>
      </c>
      <c r="Q4816" s="4">
        <f t="shared" ca="1" si="410"/>
        <v>1977.2644405230963</v>
      </c>
      <c r="R4816" s="4">
        <f t="shared" ca="1" si="411"/>
        <v>53.594396523096293</v>
      </c>
      <c r="S4816" s="4">
        <f t="shared" ca="1" si="412"/>
        <v>28.299257564054766</v>
      </c>
    </row>
    <row r="4817" spans="15:19" x14ac:dyDescent="0.2">
      <c r="O4817" s="4">
        <f t="shared" ca="1" si="408"/>
        <v>0.17756525882054841</v>
      </c>
      <c r="P4817" s="4">
        <f t="shared" ca="1" si="409"/>
        <v>-0.92468359034568859</v>
      </c>
      <c r="Q4817" s="4">
        <f t="shared" ca="1" si="410"/>
        <v>1951.2775324784168</v>
      </c>
      <c r="R4817" s="4">
        <f t="shared" ca="1" si="411"/>
        <v>27.607488478416826</v>
      </c>
      <c r="S4817" s="4">
        <f t="shared" ca="1" si="412"/>
        <v>14.285438424501425</v>
      </c>
    </row>
    <row r="4818" spans="15:19" x14ac:dyDescent="0.2">
      <c r="O4818" s="4">
        <f t="shared" ca="1" si="408"/>
        <v>0.31447379728248903</v>
      </c>
      <c r="P4818" s="4">
        <f t="shared" ca="1" si="409"/>
        <v>-0.48320864937291891</v>
      </c>
      <c r="Q4818" s="4">
        <f t="shared" ca="1" si="410"/>
        <v>1937.9030687426907</v>
      </c>
      <c r="R4818" s="4">
        <f t="shared" ca="1" si="411"/>
        <v>14.233024742690759</v>
      </c>
      <c r="S4818" s="4">
        <f t="shared" ca="1" si="412"/>
        <v>7.2873602098443859</v>
      </c>
    </row>
    <row r="4819" spans="15:19" x14ac:dyDescent="0.2">
      <c r="O4819" s="4">
        <f t="shared" ca="1" si="408"/>
        <v>0.31033863287587315</v>
      </c>
      <c r="P4819" s="4">
        <f t="shared" ca="1" si="409"/>
        <v>-0.49489071417245833</v>
      </c>
      <c r="Q4819" s="4">
        <f t="shared" ca="1" si="410"/>
        <v>1938.256976377121</v>
      </c>
      <c r="R4819" s="4">
        <f t="shared" ca="1" si="411"/>
        <v>14.586932377121002</v>
      </c>
      <c r="S4819" s="4">
        <f t="shared" ca="1" si="412"/>
        <v>7.4706636653191616</v>
      </c>
    </row>
    <row r="4820" spans="15:19" x14ac:dyDescent="0.2">
      <c r="O4820" s="4">
        <f t="shared" ca="1" si="408"/>
        <v>0.86899963105209466</v>
      </c>
      <c r="P4820" s="4">
        <f t="shared" ca="1" si="409"/>
        <v>1.1216747930826021</v>
      </c>
      <c r="Q4820" s="4">
        <f t="shared" ca="1" si="410"/>
        <v>1889.2831961087143</v>
      </c>
      <c r="R4820" s="4">
        <f t="shared" ca="1" si="411"/>
        <v>-34.386847891285697</v>
      </c>
      <c r="S4820" s="4">
        <f t="shared" ca="1" si="412"/>
        <v>-16.925618051844484</v>
      </c>
    </row>
    <row r="4821" spans="15:19" x14ac:dyDescent="0.2">
      <c r="O4821" s="4">
        <f t="shared" ca="1" si="408"/>
        <v>0.31755110624245864</v>
      </c>
      <c r="P4821" s="4">
        <f t="shared" ca="1" si="409"/>
        <v>-0.47455776979288389</v>
      </c>
      <c r="Q4821" s="4">
        <f t="shared" ca="1" si="410"/>
        <v>1937.6409907299042</v>
      </c>
      <c r="R4821" s="4">
        <f t="shared" ca="1" si="411"/>
        <v>13.970946729904199</v>
      </c>
      <c r="S4821" s="4">
        <f t="shared" ca="1" si="412"/>
        <v>7.1516848432466684</v>
      </c>
    </row>
    <row r="4822" spans="15:19" x14ac:dyDescent="0.2">
      <c r="O4822" s="4">
        <f t="shared" ca="1" si="408"/>
        <v>0.64325375218688019</v>
      </c>
      <c r="P4822" s="4">
        <f t="shared" ca="1" si="409"/>
        <v>0.36716962433159789</v>
      </c>
      <c r="Q4822" s="4">
        <f t="shared" ca="1" si="410"/>
        <v>1912.1408966967542</v>
      </c>
      <c r="R4822" s="4">
        <f t="shared" ca="1" si="411"/>
        <v>-11.529147303245736</v>
      </c>
      <c r="S4822" s="4">
        <f t="shared" ca="1" si="412"/>
        <v>-5.7820591465621192</v>
      </c>
    </row>
    <row r="4823" spans="15:19" x14ac:dyDescent="0.2">
      <c r="O4823" s="4">
        <f t="shared" ca="1" si="408"/>
        <v>0.70376287298408347</v>
      </c>
      <c r="P4823" s="4">
        <f t="shared" ca="1" si="409"/>
        <v>0.5352539656454407</v>
      </c>
      <c r="Q4823" s="4">
        <f t="shared" ca="1" si="410"/>
        <v>1907.0487890394272</v>
      </c>
      <c r="R4823" s="4">
        <f t="shared" ca="1" si="411"/>
        <v>-16.621254960572742</v>
      </c>
      <c r="S4823" s="4">
        <f t="shared" ca="1" si="412"/>
        <v>-8.3013826305377716</v>
      </c>
    </row>
    <row r="4824" spans="15:19" x14ac:dyDescent="0.2">
      <c r="O4824" s="4">
        <f t="shared" ca="1" si="408"/>
        <v>0.86098722000684036</v>
      </c>
      <c r="P4824" s="4">
        <f t="shared" ca="1" si="409"/>
        <v>1.0847654307352839</v>
      </c>
      <c r="Q4824" s="4">
        <f t="shared" ca="1" si="410"/>
        <v>1890.4013636022878</v>
      </c>
      <c r="R4824" s="4">
        <f t="shared" ca="1" si="411"/>
        <v>-33.26868039771216</v>
      </c>
      <c r="S4824" s="4">
        <f t="shared" ca="1" si="412"/>
        <v>-16.390385587678747</v>
      </c>
    </row>
    <row r="4825" spans="15:19" x14ac:dyDescent="0.2">
      <c r="O4825" s="4">
        <f t="shared" ca="1" si="408"/>
        <v>6.177880171003991E-2</v>
      </c>
      <c r="P4825" s="4">
        <f t="shared" ca="1" si="409"/>
        <v>-1.5400112819289777</v>
      </c>
      <c r="Q4825" s="4">
        <f t="shared" ca="1" si="410"/>
        <v>1969.9188575750009</v>
      </c>
      <c r="R4825" s="4">
        <f t="shared" ca="1" si="411"/>
        <v>46.248813575000895</v>
      </c>
      <c r="S4825" s="4">
        <f t="shared" ca="1" si="412"/>
        <v>24.282304277128453</v>
      </c>
    </row>
    <row r="4826" spans="15:19" x14ac:dyDescent="0.2">
      <c r="O4826" s="4">
        <f t="shared" ca="1" si="408"/>
        <v>0.82060710890457378</v>
      </c>
      <c r="P4826" s="4">
        <f t="shared" ca="1" si="409"/>
        <v>0.91768122047408074</v>
      </c>
      <c r="Q4826" s="4">
        <f t="shared" ca="1" si="410"/>
        <v>1895.4631723337798</v>
      </c>
      <c r="R4826" s="4">
        <f t="shared" ca="1" si="411"/>
        <v>-28.206871666220195</v>
      </c>
      <c r="S4826" s="4">
        <f t="shared" ca="1" si="412"/>
        <v>-13.95471920623633</v>
      </c>
    </row>
    <row r="4827" spans="15:19" x14ac:dyDescent="0.2">
      <c r="O4827" s="4">
        <f t="shared" ca="1" si="408"/>
        <v>0.84350684917516117</v>
      </c>
      <c r="P4827" s="4">
        <f t="shared" ca="1" si="409"/>
        <v>1.0089756721045422</v>
      </c>
      <c r="Q4827" s="4">
        <f t="shared" ca="1" si="410"/>
        <v>1892.6974109750167</v>
      </c>
      <c r="R4827" s="4">
        <f t="shared" ca="1" si="411"/>
        <v>-30.972633024983224</v>
      </c>
      <c r="S4827" s="4">
        <f t="shared" ca="1" si="412"/>
        <v>-15.288147076162154</v>
      </c>
    </row>
    <row r="4828" spans="15:19" x14ac:dyDescent="0.2">
      <c r="O4828" s="4">
        <f t="shared" ca="1" si="408"/>
        <v>0.2535251554058795</v>
      </c>
      <c r="P4828" s="4">
        <f t="shared" ca="1" si="409"/>
        <v>-0.66343763226818797</v>
      </c>
      <c r="Q4828" s="4">
        <f t="shared" ca="1" si="410"/>
        <v>1943.3630977775172</v>
      </c>
      <c r="R4828" s="4">
        <f t="shared" ca="1" si="411"/>
        <v>19.693053777517207</v>
      </c>
      <c r="S4828" s="4">
        <f t="shared" ca="1" si="412"/>
        <v>10.126684822053935</v>
      </c>
    </row>
    <row r="4829" spans="15:19" x14ac:dyDescent="0.2">
      <c r="O4829" s="4">
        <f t="shared" ca="1" si="408"/>
        <v>3.4086575823606302E-2</v>
      </c>
      <c r="P4829" s="4">
        <f t="shared" ca="1" si="409"/>
        <v>-1.8238605858700474</v>
      </c>
      <c r="Q4829" s="4">
        <f t="shared" ca="1" si="410"/>
        <v>1978.5180596352716</v>
      </c>
      <c r="R4829" s="4">
        <f t="shared" ca="1" si="411"/>
        <v>54.848015635271622</v>
      </c>
      <c r="S4829" s="4">
        <f t="shared" ca="1" si="412"/>
        <v>28.989191059187924</v>
      </c>
    </row>
    <row r="4830" spans="15:19" x14ac:dyDescent="0.2">
      <c r="O4830" s="4">
        <f t="shared" ca="1" si="408"/>
        <v>0.17905986355766323</v>
      </c>
      <c r="P4830" s="4">
        <f t="shared" ca="1" si="409"/>
        <v>-0.91895382038460505</v>
      </c>
      <c r="Q4830" s="4">
        <f t="shared" ca="1" si="410"/>
        <v>1951.1039493518417</v>
      </c>
      <c r="R4830" s="4">
        <f t="shared" ca="1" si="411"/>
        <v>27.433905351841759</v>
      </c>
      <c r="S4830" s="4">
        <f t="shared" ca="1" si="412"/>
        <v>14.193679701504902</v>
      </c>
    </row>
    <row r="4831" spans="15:19" x14ac:dyDescent="0.2">
      <c r="O4831" s="4">
        <f t="shared" ca="1" si="408"/>
        <v>0.89898602928378302</v>
      </c>
      <c r="P4831" s="4">
        <f t="shared" ca="1" si="409"/>
        <v>1.2757951529825011</v>
      </c>
      <c r="Q4831" s="4">
        <f t="shared" ca="1" si="410"/>
        <v>1884.6141266483362</v>
      </c>
      <c r="R4831" s="4">
        <f t="shared" ca="1" si="411"/>
        <v>-39.055917351663766</v>
      </c>
      <c r="S4831" s="4">
        <f t="shared" ca="1" si="412"/>
        <v>-19.14955889311107</v>
      </c>
    </row>
    <row r="4832" spans="15:19" x14ac:dyDescent="0.2">
      <c r="O4832" s="4">
        <f t="shared" ca="1" si="408"/>
        <v>0.50410116153300943</v>
      </c>
      <c r="P4832" s="4">
        <f t="shared" ca="1" si="409"/>
        <v>1.0280268531114644E-2</v>
      </c>
      <c r="Q4832" s="4">
        <f t="shared" ca="1" si="410"/>
        <v>1922.9528438852005</v>
      </c>
      <c r="R4832" s="4">
        <f t="shared" ca="1" si="411"/>
        <v>-0.71720011479942514</v>
      </c>
      <c r="S4832" s="4">
        <f t="shared" ca="1" si="412"/>
        <v>-0.36284433637682806</v>
      </c>
    </row>
    <row r="4833" spans="15:19" x14ac:dyDescent="0.2">
      <c r="O4833" s="4">
        <f t="shared" ca="1" si="408"/>
        <v>0.67959893763386903</v>
      </c>
      <c r="P4833" s="4">
        <f t="shared" ca="1" si="409"/>
        <v>0.46657758819108225</v>
      </c>
      <c r="Q4833" s="4">
        <f t="shared" ca="1" si="410"/>
        <v>1909.1293368452446</v>
      </c>
      <c r="R4833" s="4">
        <f t="shared" ca="1" si="411"/>
        <v>-14.54070715475541</v>
      </c>
      <c r="S4833" s="4">
        <f t="shared" ca="1" si="412"/>
        <v>-7.274580859066667</v>
      </c>
    </row>
    <row r="4834" spans="15:19" x14ac:dyDescent="0.2">
      <c r="O4834" s="4">
        <f t="shared" ca="1" si="408"/>
        <v>1.7071371993551132E-3</v>
      </c>
      <c r="P4834" s="4">
        <f t="shared" ca="1" si="409"/>
        <v>-2.9277472794089547</v>
      </c>
      <c r="Q4834" s="4">
        <f t="shared" ca="1" si="410"/>
        <v>2011.9602580045716</v>
      </c>
      <c r="R4834" s="4">
        <f t="shared" ca="1" si="411"/>
        <v>88.290214004571681</v>
      </c>
      <c r="S4834" s="4">
        <f t="shared" ca="1" si="412"/>
        <v>47.866541638007874</v>
      </c>
    </row>
    <row r="4835" spans="15:19" x14ac:dyDescent="0.2">
      <c r="O4835" s="4">
        <f t="shared" ca="1" si="408"/>
        <v>0.69498340485785237</v>
      </c>
      <c r="P4835" s="4">
        <f t="shared" ca="1" si="409"/>
        <v>0.51002608058219201</v>
      </c>
      <c r="Q4835" s="4">
        <f t="shared" ca="1" si="410"/>
        <v>1907.8130666973254</v>
      </c>
      <c r="R4835" s="4">
        <f t="shared" ca="1" si="411"/>
        <v>-15.856977302674522</v>
      </c>
      <c r="S4835" s="4">
        <f t="shared" ca="1" si="412"/>
        <v>-7.9246022240559508</v>
      </c>
    </row>
    <row r="4836" spans="15:19" x14ac:dyDescent="0.2">
      <c r="O4836" s="4">
        <f t="shared" ca="1" si="408"/>
        <v>0.79363921033341378</v>
      </c>
      <c r="P4836" s="4">
        <f t="shared" ca="1" si="409"/>
        <v>0.81911364192164238</v>
      </c>
      <c r="Q4836" s="4">
        <f t="shared" ca="1" si="410"/>
        <v>1898.4492727497243</v>
      </c>
      <c r="R4836" s="4">
        <f t="shared" ca="1" si="411"/>
        <v>-25.220771250275675</v>
      </c>
      <c r="S4836" s="4">
        <f t="shared" ca="1" si="412"/>
        <v>-12.508069876249898</v>
      </c>
    </row>
    <row r="4837" spans="15:19" x14ac:dyDescent="0.2">
      <c r="O4837" s="4">
        <f t="shared" ca="1" si="408"/>
        <v>0.54948021072446773</v>
      </c>
      <c r="P4837" s="4">
        <f t="shared" ca="1" si="409"/>
        <v>0.12434820856665722</v>
      </c>
      <c r="Q4837" s="4">
        <f t="shared" ca="1" si="410"/>
        <v>1919.4971607063258</v>
      </c>
      <c r="R4837" s="4">
        <f t="shared" ca="1" si="411"/>
        <v>-4.1728832936742037</v>
      </c>
      <c r="S4837" s="4">
        <f t="shared" ca="1" si="412"/>
        <v>-2.1052661181527301</v>
      </c>
    </row>
    <row r="4838" spans="15:19" x14ac:dyDescent="0.2">
      <c r="O4838" s="4">
        <f t="shared" ca="1" si="408"/>
        <v>0.79246701263420494</v>
      </c>
      <c r="P4838" s="4">
        <f t="shared" ca="1" si="409"/>
        <v>0.81501106795073619</v>
      </c>
      <c r="Q4838" s="4">
        <f t="shared" ca="1" si="410"/>
        <v>1898.5735600460227</v>
      </c>
      <c r="R4838" s="4">
        <f t="shared" ca="1" si="411"/>
        <v>-25.096483953977213</v>
      </c>
      <c r="S4838" s="4">
        <f t="shared" ca="1" si="412"/>
        <v>-12.447700157216719</v>
      </c>
    </row>
    <row r="4839" spans="15:19" x14ac:dyDescent="0.2">
      <c r="O4839" s="4">
        <f t="shared" ca="1" si="408"/>
        <v>0.93655379438049824</v>
      </c>
      <c r="P4839" s="4">
        <f t="shared" ca="1" si="409"/>
        <v>1.5264717880200007</v>
      </c>
      <c r="Q4839" s="4">
        <f t="shared" ca="1" si="410"/>
        <v>1877.019889119666</v>
      </c>
      <c r="R4839" s="4">
        <f t="shared" ca="1" si="411"/>
        <v>-46.650154880333957</v>
      </c>
      <c r="S4839" s="4">
        <f t="shared" ca="1" si="412"/>
        <v>-22.728886243890621</v>
      </c>
    </row>
    <row r="4840" spans="15:19" x14ac:dyDescent="0.2">
      <c r="O4840" s="4">
        <f t="shared" ca="1" si="408"/>
        <v>0.95386863298868829</v>
      </c>
      <c r="P4840" s="4">
        <f t="shared" ca="1" si="409"/>
        <v>1.6835806855489759</v>
      </c>
      <c r="Q4840" s="4">
        <f t="shared" ca="1" si="410"/>
        <v>1872.2602820445029</v>
      </c>
      <c r="R4840" s="4">
        <f t="shared" ca="1" si="411"/>
        <v>-51.409761955497061</v>
      </c>
      <c r="S4840" s="4">
        <f t="shared" ca="1" si="412"/>
        <v>-24.948255899441673</v>
      </c>
    </row>
    <row r="4841" spans="15:19" x14ac:dyDescent="0.2">
      <c r="O4841" s="4">
        <f t="shared" ca="1" si="408"/>
        <v>8.7239922854261187E-2</v>
      </c>
      <c r="P4841" s="4">
        <f t="shared" ca="1" si="409"/>
        <v>-1.357949068894315</v>
      </c>
      <c r="Q4841" s="4">
        <f t="shared" ca="1" si="410"/>
        <v>1964.4032909144951</v>
      </c>
      <c r="R4841" s="4">
        <f t="shared" ca="1" si="411"/>
        <v>40.733246914495112</v>
      </c>
      <c r="S4841" s="4">
        <f t="shared" ca="1" si="412"/>
        <v>21.294976769081803</v>
      </c>
    </row>
    <row r="4842" spans="15:19" x14ac:dyDescent="0.2">
      <c r="O4842" s="4">
        <f t="shared" ca="1" si="408"/>
        <v>0.56107159330094369</v>
      </c>
      <c r="P4842" s="4">
        <f t="shared" ca="1" si="409"/>
        <v>0.15368664756098308</v>
      </c>
      <c r="Q4842" s="4">
        <f t="shared" ca="1" si="410"/>
        <v>1918.60835399959</v>
      </c>
      <c r="R4842" s="4">
        <f t="shared" ca="1" si="411"/>
        <v>-5.0616900004099534</v>
      </c>
      <c r="S4842" s="4">
        <f t="shared" ca="1" si="412"/>
        <v>-2.5518476561666863</v>
      </c>
    </row>
    <row r="4843" spans="15:19" x14ac:dyDescent="0.2">
      <c r="O4843" s="4">
        <f t="shared" ca="1" si="408"/>
        <v>0.24570752066950563</v>
      </c>
      <c r="P4843" s="4">
        <f t="shared" ca="1" si="409"/>
        <v>-0.68805993168199842</v>
      </c>
      <c r="Q4843" s="4">
        <f t="shared" ca="1" si="410"/>
        <v>1944.1090292450531</v>
      </c>
      <c r="R4843" s="4">
        <f t="shared" ca="1" si="411"/>
        <v>20.438985245053118</v>
      </c>
      <c r="S4843" s="4">
        <f t="shared" ca="1" si="412"/>
        <v>10.516468560133722</v>
      </c>
    </row>
    <row r="4844" spans="15:19" x14ac:dyDescent="0.2">
      <c r="O4844" s="4">
        <f t="shared" ca="1" si="408"/>
        <v>0.73568869234969669</v>
      </c>
      <c r="P4844" s="4">
        <f t="shared" ca="1" si="409"/>
        <v>0.63011000331635392</v>
      </c>
      <c r="Q4844" s="4">
        <f t="shared" ca="1" si="410"/>
        <v>1904.1751295896997</v>
      </c>
      <c r="R4844" s="4">
        <f t="shared" ca="1" si="411"/>
        <v>-19.494914410300225</v>
      </c>
      <c r="S4844" s="4">
        <f t="shared" ca="1" si="412"/>
        <v>-9.7138092790203139</v>
      </c>
    </row>
    <row r="4845" spans="15:19" x14ac:dyDescent="0.2">
      <c r="O4845" s="4">
        <f t="shared" ca="1" si="408"/>
        <v>0.15382328706619386</v>
      </c>
      <c r="P4845" s="4">
        <f t="shared" ca="1" si="409"/>
        <v>-1.020172675643904</v>
      </c>
      <c r="Q4845" s="4">
        <f t="shared" ca="1" si="410"/>
        <v>1954.1703700779065</v>
      </c>
      <c r="R4845" s="4">
        <f t="shared" ca="1" si="411"/>
        <v>30.500326077906493</v>
      </c>
      <c r="S4845" s="4">
        <f t="shared" ca="1" si="412"/>
        <v>15.818248052639497</v>
      </c>
    </row>
    <row r="4846" spans="15:19" x14ac:dyDescent="0.2">
      <c r="O4846" s="4">
        <f t="shared" ca="1" si="408"/>
        <v>0.46839348242811907</v>
      </c>
      <c r="P4846" s="4">
        <f t="shared" ca="1" si="409"/>
        <v>-7.9308852940141936E-2</v>
      </c>
      <c r="Q4846" s="4">
        <f t="shared" ca="1" si="410"/>
        <v>1925.6669423425053</v>
      </c>
      <c r="R4846" s="4">
        <f t="shared" ca="1" si="411"/>
        <v>1.9968983425053466</v>
      </c>
      <c r="S4846" s="4">
        <f t="shared" ca="1" si="412"/>
        <v>1.0124727308684531</v>
      </c>
    </row>
    <row r="4847" spans="15:19" x14ac:dyDescent="0.2">
      <c r="O4847" s="4">
        <f t="shared" ca="1" si="408"/>
        <v>0.89585728678056153</v>
      </c>
      <c r="P4847" s="4">
        <f t="shared" ca="1" si="409"/>
        <v>1.2582940659326345</v>
      </c>
      <c r="Q4847" s="4">
        <f t="shared" ca="1" si="410"/>
        <v>1885.1443213034811</v>
      </c>
      <c r="R4847" s="4">
        <f t="shared" ca="1" si="411"/>
        <v>-38.525722696518869</v>
      </c>
      <c r="S4847" s="4">
        <f t="shared" ca="1" si="412"/>
        <v>-18.897913294910495</v>
      </c>
    </row>
    <row r="4848" spans="15:19" x14ac:dyDescent="0.2">
      <c r="O4848" s="4">
        <f t="shared" ca="1" si="408"/>
        <v>0.3565801438717966</v>
      </c>
      <c r="P4848" s="4">
        <f t="shared" ca="1" si="409"/>
        <v>-0.36761505466261007</v>
      </c>
      <c r="Q4848" s="4">
        <f t="shared" ca="1" si="410"/>
        <v>1934.4011659231815</v>
      </c>
      <c r="R4848" s="4">
        <f t="shared" ca="1" si="411"/>
        <v>10.73112192318149</v>
      </c>
      <c r="S4848" s="4">
        <f t="shared" ca="1" si="412"/>
        <v>5.4790758896012912</v>
      </c>
    </row>
    <row r="4849" spans="15:19" x14ac:dyDescent="0.2">
      <c r="O4849" s="4">
        <f t="shared" ca="1" si="408"/>
        <v>0.91146727480516188</v>
      </c>
      <c r="P4849" s="4">
        <f t="shared" ca="1" si="409"/>
        <v>1.3498457995378159</v>
      </c>
      <c r="Q4849" s="4">
        <f t="shared" ca="1" si="410"/>
        <v>1882.3707655987173</v>
      </c>
      <c r="R4849" s="4">
        <f t="shared" ca="1" si="411"/>
        <v>-41.299278401282663</v>
      </c>
      <c r="S4849" s="4">
        <f t="shared" ca="1" si="412"/>
        <v>-20.211789604382805</v>
      </c>
    </row>
    <row r="4850" spans="15:19" x14ac:dyDescent="0.2">
      <c r="O4850" s="4">
        <f t="shared" ca="1" si="408"/>
        <v>0.19182666133448512</v>
      </c>
      <c r="P4850" s="4">
        <f t="shared" ca="1" si="409"/>
        <v>-0.87118468144021199</v>
      </c>
      <c r="Q4850" s="4">
        <f t="shared" ca="1" si="410"/>
        <v>1949.6567854084233</v>
      </c>
      <c r="R4850" s="4">
        <f t="shared" ca="1" si="411"/>
        <v>25.986741408423313</v>
      </c>
      <c r="S4850" s="4">
        <f t="shared" ca="1" si="412"/>
        <v>13.429641254212612</v>
      </c>
    </row>
    <row r="4851" spans="15:19" x14ac:dyDescent="0.2">
      <c r="O4851" s="4">
        <f t="shared" ca="1" si="408"/>
        <v>0.16564723874381371</v>
      </c>
      <c r="P4851" s="4">
        <f t="shared" ca="1" si="409"/>
        <v>-0.97150979579430474</v>
      </c>
      <c r="Q4851" s="4">
        <f t="shared" ca="1" si="410"/>
        <v>1952.6961302934458</v>
      </c>
      <c r="R4851" s="4">
        <f t="shared" ca="1" si="411"/>
        <v>29.026086293445815</v>
      </c>
      <c r="S4851" s="4">
        <f t="shared" ca="1" si="412"/>
        <v>15.036250583143666</v>
      </c>
    </row>
    <row r="4852" spans="15:19" x14ac:dyDescent="0.2">
      <c r="O4852" s="4">
        <f t="shared" ca="1" si="408"/>
        <v>0.49361084947628708</v>
      </c>
      <c r="P4852" s="4">
        <f t="shared" ca="1" si="409"/>
        <v>-1.6015910032444597E-2</v>
      </c>
      <c r="Q4852" s="4">
        <f t="shared" ca="1" si="410"/>
        <v>1923.7494854472598</v>
      </c>
      <c r="R4852" s="4">
        <f t="shared" ca="1" si="411"/>
        <v>7.9441447259796405E-2</v>
      </c>
      <c r="S4852" s="4">
        <f t="shared" ca="1" si="412"/>
        <v>4.0216607715275347E-2</v>
      </c>
    </row>
    <row r="4853" spans="15:19" x14ac:dyDescent="0.2">
      <c r="O4853" s="4">
        <f t="shared" ca="1" si="408"/>
        <v>8.7613564631584318E-2</v>
      </c>
      <c r="P4853" s="4">
        <f t="shared" ca="1" si="409"/>
        <v>-1.3555979349246094</v>
      </c>
      <c r="Q4853" s="4">
        <f t="shared" ca="1" si="410"/>
        <v>1964.332063415271</v>
      </c>
      <c r="R4853" s="4">
        <f t="shared" ca="1" si="411"/>
        <v>40.662019415271061</v>
      </c>
      <c r="S4853" s="4">
        <f t="shared" ca="1" si="412"/>
        <v>21.256560694389542</v>
      </c>
    </row>
    <row r="4854" spans="15:19" x14ac:dyDescent="0.2">
      <c r="O4854" s="4">
        <f t="shared" ca="1" si="408"/>
        <v>1.1421580610023407E-2</v>
      </c>
      <c r="P4854" s="4">
        <f t="shared" ca="1" si="409"/>
        <v>-2.2760475931548934</v>
      </c>
      <c r="Q4854" s="4">
        <f t="shared" ca="1" si="410"/>
        <v>1992.2170449443165</v>
      </c>
      <c r="R4854" s="4">
        <f t="shared" ca="1" si="411"/>
        <v>68.547000944316551</v>
      </c>
      <c r="S4854" s="4">
        <f t="shared" ca="1" si="412"/>
        <v>36.611855934504099</v>
      </c>
    </row>
    <row r="4855" spans="15:19" x14ac:dyDescent="0.2">
      <c r="O4855" s="4">
        <f t="shared" ca="1" si="408"/>
        <v>0.63660334827368292</v>
      </c>
      <c r="P4855" s="4">
        <f t="shared" ca="1" si="409"/>
        <v>0.3493943113381498</v>
      </c>
      <c r="Q4855" s="4">
        <f t="shared" ca="1" si="410"/>
        <v>1912.6793990146846</v>
      </c>
      <c r="R4855" s="4">
        <f t="shared" ca="1" si="411"/>
        <v>-10.990644985315384</v>
      </c>
      <c r="S4855" s="4">
        <f t="shared" ca="1" si="412"/>
        <v>-5.5144005110052925</v>
      </c>
    </row>
    <row r="4856" spans="15:19" x14ac:dyDescent="0.2">
      <c r="O4856" s="4">
        <f t="shared" ca="1" si="408"/>
        <v>0.47726018971647721</v>
      </c>
      <c r="P4856" s="4">
        <f t="shared" ca="1" si="409"/>
        <v>-5.7031152473666628E-2</v>
      </c>
      <c r="Q4856" s="4">
        <f t="shared" ca="1" si="410"/>
        <v>1924.9920403959807</v>
      </c>
      <c r="R4856" s="4">
        <f t="shared" ca="1" si="411"/>
        <v>1.3219963959807046</v>
      </c>
      <c r="S4856" s="4">
        <f t="shared" ca="1" si="412"/>
        <v>0.66991894896887316</v>
      </c>
    </row>
    <row r="4857" spans="15:19" x14ac:dyDescent="0.2">
      <c r="O4857" s="4">
        <f t="shared" ca="1" si="408"/>
        <v>0.63719561173753259</v>
      </c>
      <c r="P4857" s="4">
        <f t="shared" ca="1" si="409"/>
        <v>0.35097277053229042</v>
      </c>
      <c r="Q4857" s="4">
        <f t="shared" ca="1" si="410"/>
        <v>1912.6315796634799</v>
      </c>
      <c r="R4857" s="4">
        <f t="shared" ca="1" si="411"/>
        <v>-11.038464336520065</v>
      </c>
      <c r="S4857" s="4">
        <f t="shared" ca="1" si="412"/>
        <v>-5.5381783210373507</v>
      </c>
    </row>
    <row r="4858" spans="15:19" x14ac:dyDescent="0.2">
      <c r="O4858" s="4">
        <f t="shared" ca="1" si="408"/>
        <v>0.21675276564325541</v>
      </c>
      <c r="P4858" s="4">
        <f t="shared" ca="1" si="409"/>
        <v>-0.78320705732014162</v>
      </c>
      <c r="Q4858" s="4">
        <f t="shared" ca="1" si="410"/>
        <v>1946.991507191824</v>
      </c>
      <c r="R4858" s="4">
        <f t="shared" ca="1" si="411"/>
        <v>23.321463191824023</v>
      </c>
      <c r="S4858" s="4">
        <f t="shared" ca="1" si="412"/>
        <v>12.026954243136899</v>
      </c>
    </row>
    <row r="4859" spans="15:19" x14ac:dyDescent="0.2">
      <c r="O4859" s="4">
        <f t="shared" ca="1" si="408"/>
        <v>0.11199406706452464</v>
      </c>
      <c r="P4859" s="4">
        <f t="shared" ca="1" si="409"/>
        <v>-1.2159915679071613</v>
      </c>
      <c r="Q4859" s="4">
        <f t="shared" ca="1" si="410"/>
        <v>1960.1026947248597</v>
      </c>
      <c r="R4859" s="4">
        <f t="shared" ca="1" si="411"/>
        <v>36.432650724859741</v>
      </c>
      <c r="S4859" s="4">
        <f t="shared" ca="1" si="412"/>
        <v>18.982883119047482</v>
      </c>
    </row>
    <row r="4860" spans="15:19" x14ac:dyDescent="0.2">
      <c r="O4860" s="4">
        <f t="shared" ca="1" si="408"/>
        <v>0.79269170646960541</v>
      </c>
      <c r="P4860" s="4">
        <f t="shared" ca="1" si="409"/>
        <v>0.81579640965447486</v>
      </c>
      <c r="Q4860" s="4">
        <f t="shared" ca="1" si="410"/>
        <v>1898.5497681539762</v>
      </c>
      <c r="R4860" s="4">
        <f t="shared" ca="1" si="411"/>
        <v>-25.120275846023787</v>
      </c>
      <c r="S4860" s="4">
        <f t="shared" ca="1" si="412"/>
        <v>-12.459257499349134</v>
      </c>
    </row>
    <row r="4861" spans="15:19" x14ac:dyDescent="0.2">
      <c r="O4861" s="4">
        <f t="shared" ca="1" si="408"/>
        <v>0.43260585296120291</v>
      </c>
      <c r="P4861" s="4">
        <f t="shared" ca="1" si="409"/>
        <v>-0.16974369896175343</v>
      </c>
      <c r="Q4861" s="4">
        <f t="shared" ca="1" si="410"/>
        <v>1928.4066619875136</v>
      </c>
      <c r="R4861" s="4">
        <f t="shared" ca="1" si="411"/>
        <v>4.7366179875136822</v>
      </c>
      <c r="S4861" s="4">
        <f t="shared" ca="1" si="412"/>
        <v>2.4068552419557014</v>
      </c>
    </row>
    <row r="4862" spans="15:19" x14ac:dyDescent="0.2">
      <c r="O4862" s="4">
        <f t="shared" ca="1" si="408"/>
        <v>0.9627448655088312</v>
      </c>
      <c r="P4862" s="4">
        <f t="shared" ca="1" si="409"/>
        <v>1.7834672841651327</v>
      </c>
      <c r="Q4862" s="4">
        <f t="shared" ca="1" si="410"/>
        <v>1869.2342219742914</v>
      </c>
      <c r="R4862" s="4">
        <f t="shared" ca="1" si="411"/>
        <v>-54.435822025708603</v>
      </c>
      <c r="S4862" s="4">
        <f t="shared" ca="1" si="412"/>
        <v>-26.349694870508241</v>
      </c>
    </row>
    <row r="4863" spans="15:19" x14ac:dyDescent="0.2">
      <c r="O4863" s="4">
        <f t="shared" ca="1" si="408"/>
        <v>0.22817622939361437</v>
      </c>
      <c r="P4863" s="4">
        <f t="shared" ca="1" si="409"/>
        <v>-0.74486645017362307</v>
      </c>
      <c r="Q4863" s="4">
        <f t="shared" ca="1" si="410"/>
        <v>1945.8299802006045</v>
      </c>
      <c r="R4863" s="4">
        <f t="shared" ca="1" si="411"/>
        <v>22.159936200604534</v>
      </c>
      <c r="S4863" s="4">
        <f t="shared" ca="1" si="412"/>
        <v>11.417473301778344</v>
      </c>
    </row>
    <row r="4864" spans="15:19" x14ac:dyDescent="0.2">
      <c r="O4864" s="4">
        <f t="shared" ca="1" si="408"/>
        <v>0.39205324711779121</v>
      </c>
      <c r="P4864" s="4">
        <f t="shared" ca="1" si="409"/>
        <v>-0.27397153830474175</v>
      </c>
      <c r="Q4864" s="4">
        <f t="shared" ca="1" si="410"/>
        <v>1931.5642397527979</v>
      </c>
      <c r="R4864" s="4">
        <f t="shared" ca="1" si="411"/>
        <v>7.8941957527979412</v>
      </c>
      <c r="S4864" s="4">
        <f t="shared" ca="1" si="412"/>
        <v>4.0214870859185501</v>
      </c>
    </row>
    <row r="4865" spans="15:19" x14ac:dyDescent="0.2">
      <c r="O4865" s="4">
        <f t="shared" ca="1" si="408"/>
        <v>5.9157219906029512E-2</v>
      </c>
      <c r="P4865" s="4">
        <f t="shared" ca="1" si="409"/>
        <v>-1.5618877287454402</v>
      </c>
      <c r="Q4865" s="4">
        <f t="shared" ca="1" si="410"/>
        <v>1970.5816035600135</v>
      </c>
      <c r="R4865" s="4">
        <f t="shared" ca="1" si="411"/>
        <v>46.911559560013529</v>
      </c>
      <c r="S4865" s="4">
        <f t="shared" ca="1" si="412"/>
        <v>24.642925917333713</v>
      </c>
    </row>
    <row r="4866" spans="15:19" x14ac:dyDescent="0.2">
      <c r="O4866" s="4">
        <f t="shared" ca="1" si="408"/>
        <v>1.0207123359124659E-2</v>
      </c>
      <c r="P4866" s="4">
        <f t="shared" ca="1" si="409"/>
        <v>-2.3186458528440235</v>
      </c>
      <c r="Q4866" s="4">
        <f t="shared" ca="1" si="410"/>
        <v>1993.507557330279</v>
      </c>
      <c r="R4866" s="4">
        <f t="shared" ca="1" si="411"/>
        <v>69.83751333027908</v>
      </c>
      <c r="S4866" s="4">
        <f t="shared" ca="1" si="412"/>
        <v>37.337823187922545</v>
      </c>
    </row>
    <row r="4867" spans="15:19" x14ac:dyDescent="0.2">
      <c r="O4867" s="4">
        <f t="shared" ref="O4867:O4930" ca="1" si="413">RAND()</f>
        <v>0.19886594242459599</v>
      </c>
      <c r="P4867" s="4">
        <f t="shared" ref="P4867:P4930" ca="1" si="414">NORMSINV(O4867)</f>
        <v>-0.84567892189949678</v>
      </c>
      <c r="Q4867" s="4">
        <f t="shared" ref="Q4867:Q4930" ca="1" si="415">$B$4*(1+$B$17-$B$6/SQRT(252)*P4867)</f>
        <v>1948.8840895555675</v>
      </c>
      <c r="R4867" s="4">
        <f t="shared" ref="R4867:R4930" ca="1" si="416">Q4867-$B$4</f>
        <v>25.214045555567509</v>
      </c>
      <c r="S4867" s="4">
        <f t="shared" ref="S4867:S4930" ca="1" si="417">R4867*$B$12+0.5*$B$13*R4867^2</f>
        <v>13.022390313511524</v>
      </c>
    </row>
    <row r="4868" spans="15:19" x14ac:dyDescent="0.2">
      <c r="O4868" s="4">
        <f t="shared" ca="1" si="413"/>
        <v>0.21678877726250267</v>
      </c>
      <c r="P4868" s="4">
        <f t="shared" ca="1" si="414"/>
        <v>-0.78308439456142243</v>
      </c>
      <c r="Q4868" s="4">
        <f t="shared" ca="1" si="415"/>
        <v>1946.9877911289943</v>
      </c>
      <c r="R4868" s="4">
        <f t="shared" ca="1" si="416"/>
        <v>23.31774712899437</v>
      </c>
      <c r="S4868" s="4">
        <f t="shared" ca="1" si="417"/>
        <v>12.025002584842239</v>
      </c>
    </row>
    <row r="4869" spans="15:19" x14ac:dyDescent="0.2">
      <c r="O4869" s="4">
        <f t="shared" ca="1" si="413"/>
        <v>0.78418657764784561</v>
      </c>
      <c r="P4869" s="4">
        <f t="shared" ca="1" si="414"/>
        <v>0.78641082321324152</v>
      </c>
      <c r="Q4869" s="4">
        <f t="shared" ca="1" si="415"/>
        <v>1899.4400031905229</v>
      </c>
      <c r="R4869" s="4">
        <f t="shared" ca="1" si="416"/>
        <v>-24.230040809477032</v>
      </c>
      <c r="S4869" s="4">
        <f t="shared" ca="1" si="417"/>
        <v>-12.026495731448804</v>
      </c>
    </row>
    <row r="4870" spans="15:19" x14ac:dyDescent="0.2">
      <c r="O4870" s="4">
        <f t="shared" ca="1" si="413"/>
        <v>0.64584318569677668</v>
      </c>
      <c r="P4870" s="4">
        <f t="shared" ca="1" si="414"/>
        <v>0.37412189652228178</v>
      </c>
      <c r="Q4870" s="4">
        <f t="shared" ca="1" si="415"/>
        <v>1911.9302779194111</v>
      </c>
      <c r="R4870" s="4">
        <f t="shared" ca="1" si="416"/>
        <v>-11.739766080588879</v>
      </c>
      <c r="S4870" s="4">
        <f t="shared" ca="1" si="417"/>
        <v>-5.8866814412524997</v>
      </c>
    </row>
    <row r="4871" spans="15:19" x14ac:dyDescent="0.2">
      <c r="O4871" s="4">
        <f t="shared" ca="1" si="413"/>
        <v>0.90598376491259935</v>
      </c>
      <c r="P4871" s="4">
        <f t="shared" ca="1" si="414"/>
        <v>1.3164219171234137</v>
      </c>
      <c r="Q4871" s="4">
        <f t="shared" ca="1" si="415"/>
        <v>1883.3833406324745</v>
      </c>
      <c r="R4871" s="4">
        <f t="shared" ca="1" si="416"/>
        <v>-40.286703367525433</v>
      </c>
      <c r="S4871" s="4">
        <f t="shared" ca="1" si="417"/>
        <v>-19.732842977884502</v>
      </c>
    </row>
    <row r="4872" spans="15:19" x14ac:dyDescent="0.2">
      <c r="O4872" s="4">
        <f t="shared" ca="1" si="413"/>
        <v>0.74068019671271457</v>
      </c>
      <c r="P4872" s="4">
        <f t="shared" ca="1" si="414"/>
        <v>0.64544383154719354</v>
      </c>
      <c r="Q4872" s="4">
        <f t="shared" ca="1" si="415"/>
        <v>1903.7105919442529</v>
      </c>
      <c r="R4872" s="4">
        <f t="shared" ca="1" si="416"/>
        <v>-19.959452055747079</v>
      </c>
      <c r="S4872" s="4">
        <f t="shared" ca="1" si="417"/>
        <v>-9.9415020048061571</v>
      </c>
    </row>
    <row r="4873" spans="15:19" x14ac:dyDescent="0.2">
      <c r="O4873" s="4">
        <f t="shared" ca="1" si="413"/>
        <v>0.4280912620033589</v>
      </c>
      <c r="P4873" s="4">
        <f t="shared" ca="1" si="414"/>
        <v>-0.18123576371729955</v>
      </c>
      <c r="Q4873" s="4">
        <f t="shared" ca="1" si="415"/>
        <v>1928.7548135790469</v>
      </c>
      <c r="R4873" s="4">
        <f t="shared" ca="1" si="416"/>
        <v>5.0847695790469061</v>
      </c>
      <c r="S4873" s="4">
        <f t="shared" ca="1" si="417"/>
        <v>2.584484892414411</v>
      </c>
    </row>
    <row r="4874" spans="15:19" x14ac:dyDescent="0.2">
      <c r="O4874" s="4">
        <f t="shared" ca="1" si="413"/>
        <v>0.84674175806800378</v>
      </c>
      <c r="P4874" s="4">
        <f t="shared" ca="1" si="414"/>
        <v>1.0225588296225065</v>
      </c>
      <c r="Q4874" s="4">
        <f t="shared" ca="1" si="415"/>
        <v>1892.2859098210886</v>
      </c>
      <c r="R4874" s="4">
        <f t="shared" ca="1" si="416"/>
        <v>-31.384134178911381</v>
      </c>
      <c r="S4874" s="4">
        <f t="shared" ca="1" si="417"/>
        <v>-15.486007642735938</v>
      </c>
    </row>
    <row r="4875" spans="15:19" x14ac:dyDescent="0.2">
      <c r="O4875" s="4">
        <f t="shared" ca="1" si="413"/>
        <v>0.74933523789814571</v>
      </c>
      <c r="P4875" s="4">
        <f t="shared" ca="1" si="414"/>
        <v>0.67239930646456403</v>
      </c>
      <c r="Q4875" s="4">
        <f t="shared" ca="1" si="415"/>
        <v>1902.8939770284271</v>
      </c>
      <c r="R4875" s="4">
        <f t="shared" ca="1" si="416"/>
        <v>-20.776066971572845</v>
      </c>
      <c r="S4875" s="4">
        <f t="shared" ca="1" si="417"/>
        <v>-10.341339221449269</v>
      </c>
    </row>
    <row r="4876" spans="15:19" x14ac:dyDescent="0.2">
      <c r="O4876" s="4">
        <f t="shared" ca="1" si="413"/>
        <v>0.33926229721394918</v>
      </c>
      <c r="P4876" s="4">
        <f t="shared" ca="1" si="414"/>
        <v>-0.41447729141797696</v>
      </c>
      <c r="Q4876" s="4">
        <f t="shared" ca="1" si="415"/>
        <v>1935.8208553050492</v>
      </c>
      <c r="R4876" s="4">
        <f t="shared" ca="1" si="416"/>
        <v>12.150811305049274</v>
      </c>
      <c r="S4876" s="4">
        <f t="shared" ca="1" si="417"/>
        <v>6.2109603009601404</v>
      </c>
    </row>
    <row r="4877" spans="15:19" x14ac:dyDescent="0.2">
      <c r="O4877" s="4">
        <f t="shared" ca="1" si="413"/>
        <v>0.77758553782507533</v>
      </c>
      <c r="P4877" s="4">
        <f t="shared" ca="1" si="414"/>
        <v>0.76406430196405761</v>
      </c>
      <c r="Q4877" s="4">
        <f t="shared" ca="1" si="415"/>
        <v>1900.1169900596037</v>
      </c>
      <c r="R4877" s="4">
        <f t="shared" ca="1" si="416"/>
        <v>-23.553053940396239</v>
      </c>
      <c r="S4877" s="4">
        <f t="shared" ca="1" si="417"/>
        <v>-11.696966437426076</v>
      </c>
    </row>
    <row r="4878" spans="15:19" x14ac:dyDescent="0.2">
      <c r="O4878" s="4">
        <f t="shared" ca="1" si="413"/>
        <v>0.68625759607165204</v>
      </c>
      <c r="P4878" s="4">
        <f t="shared" ca="1" si="414"/>
        <v>0.48527003559400617</v>
      </c>
      <c r="Q4878" s="4">
        <f t="shared" ca="1" si="415"/>
        <v>1908.5630499810991</v>
      </c>
      <c r="R4878" s="4">
        <f t="shared" ca="1" si="416"/>
        <v>-15.106994018900878</v>
      </c>
      <c r="S4878" s="4">
        <f t="shared" ca="1" si="417"/>
        <v>-7.5544064889686222</v>
      </c>
    </row>
    <row r="4879" spans="15:19" x14ac:dyDescent="0.2">
      <c r="O4879" s="4">
        <f t="shared" ca="1" si="413"/>
        <v>0.74103131468288197</v>
      </c>
      <c r="P4879" s="4">
        <f t="shared" ca="1" si="414"/>
        <v>0.64652815310410972</v>
      </c>
      <c r="Q4879" s="4">
        <f t="shared" ca="1" si="415"/>
        <v>1903.6777424708289</v>
      </c>
      <c r="R4879" s="4">
        <f t="shared" ca="1" si="416"/>
        <v>-19.992301529171073</v>
      </c>
      <c r="S4879" s="4">
        <f t="shared" ca="1" si="417"/>
        <v>-9.957596494773906</v>
      </c>
    </row>
    <row r="4880" spans="15:19" x14ac:dyDescent="0.2">
      <c r="O4880" s="4">
        <f t="shared" ca="1" si="413"/>
        <v>0.4217847522179895</v>
      </c>
      <c r="P4880" s="4">
        <f t="shared" ca="1" si="414"/>
        <v>-0.19732974419143343</v>
      </c>
      <c r="Q4880" s="4">
        <f t="shared" ca="1" si="415"/>
        <v>1929.242380002954</v>
      </c>
      <c r="R4880" s="4">
        <f t="shared" ca="1" si="416"/>
        <v>5.572336002953989</v>
      </c>
      <c r="S4880" s="4">
        <f t="shared" ca="1" si="417"/>
        <v>2.8334109426344751</v>
      </c>
    </row>
    <row r="4881" spans="15:19" x14ac:dyDescent="0.2">
      <c r="O4881" s="4">
        <f t="shared" ca="1" si="413"/>
        <v>0.5391241369269868</v>
      </c>
      <c r="P4881" s="4">
        <f t="shared" ca="1" si="414"/>
        <v>9.8227399330542614E-2</v>
      </c>
      <c r="Q4881" s="4">
        <f t="shared" ca="1" si="415"/>
        <v>1920.2884894623962</v>
      </c>
      <c r="R4881" s="4">
        <f t="shared" ca="1" si="416"/>
        <v>-3.3815545376037335</v>
      </c>
      <c r="S4881" s="4">
        <f t="shared" ca="1" si="417"/>
        <v>-1.7071212285379496</v>
      </c>
    </row>
    <row r="4882" spans="15:19" x14ac:dyDescent="0.2">
      <c r="O4882" s="4">
        <f t="shared" ca="1" si="413"/>
        <v>0.85650032525014419</v>
      </c>
      <c r="P4882" s="4">
        <f t="shared" ca="1" si="414"/>
        <v>1.0647273061414708</v>
      </c>
      <c r="Q4882" s="4">
        <f t="shared" ca="1" si="415"/>
        <v>1891.0084176971845</v>
      </c>
      <c r="R4882" s="4">
        <f t="shared" ca="1" si="416"/>
        <v>-32.661626302815421</v>
      </c>
      <c r="S4882" s="4">
        <f t="shared" ca="1" si="417"/>
        <v>-16.099381097346949</v>
      </c>
    </row>
    <row r="4883" spans="15:19" x14ac:dyDescent="0.2">
      <c r="O4883" s="4">
        <f t="shared" ca="1" si="413"/>
        <v>0.53122928130362501</v>
      </c>
      <c r="P4883" s="4">
        <f t="shared" ca="1" si="414"/>
        <v>7.8360318865188267E-2</v>
      </c>
      <c r="Q4883" s="4">
        <f t="shared" ca="1" si="415"/>
        <v>1920.8903617830158</v>
      </c>
      <c r="R4883" s="4">
        <f t="shared" ca="1" si="416"/>
        <v>-2.7796822169841562</v>
      </c>
      <c r="S4883" s="4">
        <f t="shared" ca="1" si="417"/>
        <v>-1.4039570903564846</v>
      </c>
    </row>
    <row r="4884" spans="15:19" x14ac:dyDescent="0.2">
      <c r="O4884" s="4">
        <f t="shared" ca="1" si="413"/>
        <v>0.88627709339952765</v>
      </c>
      <c r="P4884" s="4">
        <f t="shared" ca="1" si="414"/>
        <v>1.2069645067813082</v>
      </c>
      <c r="Q4884" s="4">
        <f t="shared" ca="1" si="415"/>
        <v>1886.6993480189897</v>
      </c>
      <c r="R4884" s="4">
        <f t="shared" ca="1" si="416"/>
        <v>-36.970695981010294</v>
      </c>
      <c r="S4884" s="4">
        <f t="shared" ca="1" si="417"/>
        <v>-18.158533039031738</v>
      </c>
    </row>
    <row r="4885" spans="15:19" x14ac:dyDescent="0.2">
      <c r="O4885" s="4">
        <f t="shared" ca="1" si="413"/>
        <v>0.92439800560587448</v>
      </c>
      <c r="P4885" s="4">
        <f t="shared" ca="1" si="414"/>
        <v>1.4352917110826329</v>
      </c>
      <c r="Q4885" s="4">
        <f t="shared" ca="1" si="415"/>
        <v>1879.7821855021796</v>
      </c>
      <c r="R4885" s="4">
        <f t="shared" ca="1" si="416"/>
        <v>-43.887858497820389</v>
      </c>
      <c r="S4885" s="4">
        <f t="shared" ca="1" si="417"/>
        <v>-21.432389852010832</v>
      </c>
    </row>
    <row r="4886" spans="15:19" x14ac:dyDescent="0.2">
      <c r="O4886" s="4">
        <f t="shared" ca="1" si="413"/>
        <v>0.2808986593279984</v>
      </c>
      <c r="P4886" s="4">
        <f t="shared" ca="1" si="414"/>
        <v>-0.58017395023220386</v>
      </c>
      <c r="Q4886" s="4">
        <f t="shared" ca="1" si="415"/>
        <v>1940.8406282270607</v>
      </c>
      <c r="R4886" s="4">
        <f t="shared" ca="1" si="416"/>
        <v>17.170584227060772</v>
      </c>
      <c r="S4886" s="4">
        <f t="shared" ca="1" si="417"/>
        <v>8.8119337175561192</v>
      </c>
    </row>
    <row r="4887" spans="15:19" x14ac:dyDescent="0.2">
      <c r="O4887" s="4">
        <f t="shared" ca="1" si="413"/>
        <v>0.13242660284999419</v>
      </c>
      <c r="P4887" s="4">
        <f t="shared" ca="1" si="414"/>
        <v>-1.1149935033959772</v>
      </c>
      <c r="Q4887" s="4">
        <f t="shared" ca="1" si="415"/>
        <v>1957.0429628447062</v>
      </c>
      <c r="R4887" s="4">
        <f t="shared" ca="1" si="416"/>
        <v>33.372918844706192</v>
      </c>
      <c r="S4887" s="4">
        <f t="shared" ca="1" si="417"/>
        <v>17.347072450923523</v>
      </c>
    </row>
    <row r="4888" spans="15:19" x14ac:dyDescent="0.2">
      <c r="O4888" s="4">
        <f t="shared" ca="1" si="413"/>
        <v>0.23188614332214641</v>
      </c>
      <c r="P4888" s="4">
        <f t="shared" ca="1" si="414"/>
        <v>-0.73264941046848575</v>
      </c>
      <c r="Q4888" s="4">
        <f t="shared" ca="1" si="415"/>
        <v>1945.4598655251616</v>
      </c>
      <c r="R4888" s="4">
        <f t="shared" ca="1" si="416"/>
        <v>21.789821525161642</v>
      </c>
      <c r="S4888" s="4">
        <f t="shared" ca="1" si="417"/>
        <v>11.223496056495179</v>
      </c>
    </row>
    <row r="4889" spans="15:19" x14ac:dyDescent="0.2">
      <c r="O4889" s="4">
        <f t="shared" ca="1" si="413"/>
        <v>0.57021003006618587</v>
      </c>
      <c r="P4889" s="4">
        <f t="shared" ca="1" si="414"/>
        <v>0.17690890997130471</v>
      </c>
      <c r="Q4889" s="4">
        <f t="shared" ca="1" si="415"/>
        <v>1917.9048365909143</v>
      </c>
      <c r="R4889" s="4">
        <f t="shared" ca="1" si="416"/>
        <v>-5.7652074090856331</v>
      </c>
      <c r="S4889" s="4">
        <f t="shared" ca="1" si="417"/>
        <v>-2.9048744493391179</v>
      </c>
    </row>
    <row r="4890" spans="15:19" x14ac:dyDescent="0.2">
      <c r="O4890" s="4">
        <f t="shared" ca="1" si="413"/>
        <v>9.2942980787633189E-2</v>
      </c>
      <c r="P4890" s="4">
        <f t="shared" ca="1" si="414"/>
        <v>-1.3228479080144886</v>
      </c>
      <c r="Q4890" s="4">
        <f t="shared" ca="1" si="415"/>
        <v>1963.3399028040974</v>
      </c>
      <c r="R4890" s="4">
        <f t="shared" ca="1" si="416"/>
        <v>39.66985880409743</v>
      </c>
      <c r="S4890" s="4">
        <f t="shared" ca="1" si="417"/>
        <v>20.721874992422066</v>
      </c>
    </row>
    <row r="4891" spans="15:19" x14ac:dyDescent="0.2">
      <c r="O4891" s="4">
        <f t="shared" ca="1" si="413"/>
        <v>0.23753241396007485</v>
      </c>
      <c r="P4891" s="4">
        <f t="shared" ca="1" si="414"/>
        <v>-0.71426257770386847</v>
      </c>
      <c r="Q4891" s="4">
        <f t="shared" ca="1" si="415"/>
        <v>1944.9028372429143</v>
      </c>
      <c r="R4891" s="4">
        <f t="shared" ca="1" si="416"/>
        <v>21.23279324291434</v>
      </c>
      <c r="S4891" s="4">
        <f t="shared" ca="1" si="417"/>
        <v>10.931767546027279</v>
      </c>
    </row>
    <row r="4892" spans="15:19" x14ac:dyDescent="0.2">
      <c r="O4892" s="4">
        <f t="shared" ca="1" si="413"/>
        <v>0.24722831106598886</v>
      </c>
      <c r="P4892" s="4">
        <f t="shared" ca="1" si="414"/>
        <v>-0.68323775022291222</v>
      </c>
      <c r="Q4892" s="4">
        <f t="shared" ca="1" si="415"/>
        <v>1943.9629414718502</v>
      </c>
      <c r="R4892" s="4">
        <f t="shared" ca="1" si="416"/>
        <v>20.29289747185021</v>
      </c>
      <c r="S4892" s="4">
        <f t="shared" ca="1" si="417"/>
        <v>10.440095261471512</v>
      </c>
    </row>
    <row r="4893" spans="15:19" x14ac:dyDescent="0.2">
      <c r="O4893" s="4">
        <f t="shared" ca="1" si="413"/>
        <v>0.65092060988319755</v>
      </c>
      <c r="P4893" s="4">
        <f t="shared" ca="1" si="414"/>
        <v>0.38780711441628829</v>
      </c>
      <c r="Q4893" s="4">
        <f t="shared" ca="1" si="415"/>
        <v>1911.5156848509221</v>
      </c>
      <c r="R4893" s="4">
        <f t="shared" ca="1" si="416"/>
        <v>-12.154359149077891</v>
      </c>
      <c r="S4893" s="4">
        <f t="shared" ca="1" si="417"/>
        <v>-6.092519947797987</v>
      </c>
    </row>
    <row r="4894" spans="15:19" x14ac:dyDescent="0.2">
      <c r="O4894" s="4">
        <f t="shared" ca="1" si="413"/>
        <v>0.85612418432370163</v>
      </c>
      <c r="P4894" s="4">
        <f t="shared" ca="1" si="414"/>
        <v>1.0630668611743728</v>
      </c>
      <c r="Q4894" s="4">
        <f t="shared" ca="1" si="415"/>
        <v>1891.0587208037407</v>
      </c>
      <c r="R4894" s="4">
        <f t="shared" ca="1" si="416"/>
        <v>-32.611323196259264</v>
      </c>
      <c r="S4894" s="4">
        <f t="shared" ca="1" si="417"/>
        <v>-16.075253756270531</v>
      </c>
    </row>
    <row r="4895" spans="15:19" x14ac:dyDescent="0.2">
      <c r="O4895" s="4">
        <f t="shared" ca="1" si="413"/>
        <v>0.29635304818364128</v>
      </c>
      <c r="P4895" s="4">
        <f t="shared" ca="1" si="414"/>
        <v>-0.5349186717013088</v>
      </c>
      <c r="Q4895" s="4">
        <f t="shared" ca="1" si="415"/>
        <v>1939.4696215732563</v>
      </c>
      <c r="R4895" s="4">
        <f t="shared" ca="1" si="416"/>
        <v>15.799577573256329</v>
      </c>
      <c r="S4895" s="4">
        <f t="shared" ca="1" si="417"/>
        <v>8.0995162506961744</v>
      </c>
    </row>
    <row r="4896" spans="15:19" x14ac:dyDescent="0.2">
      <c r="O4896" s="4">
        <f t="shared" ca="1" si="413"/>
        <v>0.76130053321300251</v>
      </c>
      <c r="P4896" s="4">
        <f t="shared" ca="1" si="414"/>
        <v>0.71049225258828363</v>
      </c>
      <c r="Q4896" s="4">
        <f t="shared" ca="1" si="415"/>
        <v>1901.7399529168977</v>
      </c>
      <c r="R4896" s="4">
        <f t="shared" ca="1" si="416"/>
        <v>-21.930091083102297</v>
      </c>
      <c r="S4896" s="4">
        <f t="shared" ca="1" si="417"/>
        <v>-10.905455556550921</v>
      </c>
    </row>
    <row r="4897" spans="15:19" x14ac:dyDescent="0.2">
      <c r="O4897" s="4">
        <f t="shared" ca="1" si="413"/>
        <v>0.29318549259726179</v>
      </c>
      <c r="P4897" s="4">
        <f t="shared" ca="1" si="414"/>
        <v>-0.54410243462385233</v>
      </c>
      <c r="Q4897" s="4">
        <f t="shared" ca="1" si="415"/>
        <v>1939.7478432632452</v>
      </c>
      <c r="R4897" s="4">
        <f t="shared" ca="1" si="416"/>
        <v>16.077799263245197</v>
      </c>
      <c r="S4897" s="4">
        <f t="shared" ca="1" si="417"/>
        <v>8.2439650831910889</v>
      </c>
    </row>
    <row r="4898" spans="15:19" x14ac:dyDescent="0.2">
      <c r="O4898" s="4">
        <f t="shared" ca="1" si="413"/>
        <v>0.89167407625099859</v>
      </c>
      <c r="P4898" s="4">
        <f t="shared" ca="1" si="414"/>
        <v>1.2354801824565516</v>
      </c>
      <c r="Q4898" s="4">
        <f t="shared" ca="1" si="415"/>
        <v>1885.8354668904756</v>
      </c>
      <c r="R4898" s="4">
        <f t="shared" ca="1" si="416"/>
        <v>-37.834577109524389</v>
      </c>
      <c r="S4898" s="4">
        <f t="shared" ca="1" si="417"/>
        <v>-18.569532148813881</v>
      </c>
    </row>
    <row r="4899" spans="15:19" x14ac:dyDescent="0.2">
      <c r="O4899" s="4">
        <f t="shared" ca="1" si="413"/>
        <v>0.12163050212709203</v>
      </c>
      <c r="P4899" s="4">
        <f t="shared" ca="1" si="414"/>
        <v>-1.1668746261540626</v>
      </c>
      <c r="Q4899" s="4">
        <f t="shared" ca="1" si="415"/>
        <v>1958.6146991551927</v>
      </c>
      <c r="R4899" s="4">
        <f t="shared" ca="1" si="416"/>
        <v>34.944655155192777</v>
      </c>
      <c r="S4899" s="4">
        <f t="shared" ca="1" si="417"/>
        <v>18.186410724728304</v>
      </c>
    </row>
    <row r="4900" spans="15:19" x14ac:dyDescent="0.2">
      <c r="O4900" s="4">
        <f t="shared" ca="1" si="413"/>
        <v>0.60576943935582417</v>
      </c>
      <c r="P4900" s="4">
        <f t="shared" ca="1" si="414"/>
        <v>0.26830946492798247</v>
      </c>
      <c r="Q4900" s="4">
        <f t="shared" ca="1" si="415"/>
        <v>1915.1358608365949</v>
      </c>
      <c r="R4900" s="4">
        <f t="shared" ca="1" si="416"/>
        <v>-8.5341831634050322</v>
      </c>
      <c r="S4900" s="4">
        <f t="shared" ca="1" si="417"/>
        <v>-4.2904393280823232</v>
      </c>
    </row>
    <row r="4901" spans="15:19" x14ac:dyDescent="0.2">
      <c r="O4901" s="4">
        <f t="shared" ca="1" si="413"/>
        <v>0.77577366735737974</v>
      </c>
      <c r="P4901" s="4">
        <f t="shared" ca="1" si="414"/>
        <v>0.7579971894390225</v>
      </c>
      <c r="Q4901" s="4">
        <f t="shared" ca="1" si="415"/>
        <v>1900.3007929641763</v>
      </c>
      <c r="R4901" s="4">
        <f t="shared" ca="1" si="416"/>
        <v>-23.369251035823709</v>
      </c>
      <c r="S4901" s="4">
        <f t="shared" ca="1" si="417"/>
        <v>-11.607434357402813</v>
      </c>
    </row>
    <row r="4902" spans="15:19" x14ac:dyDescent="0.2">
      <c r="O4902" s="4">
        <f t="shared" ca="1" si="413"/>
        <v>0.61425787978718471</v>
      </c>
      <c r="P4902" s="4">
        <f t="shared" ca="1" si="414"/>
        <v>0.29043399402955405</v>
      </c>
      <c r="Q4902" s="4">
        <f t="shared" ca="1" si="415"/>
        <v>1914.4655992097696</v>
      </c>
      <c r="R4902" s="4">
        <f t="shared" ca="1" si="416"/>
        <v>-9.2044447902303546</v>
      </c>
      <c r="S4902" s="4">
        <f t="shared" ca="1" si="417"/>
        <v>-4.6248924703663832</v>
      </c>
    </row>
    <row r="4903" spans="15:19" x14ac:dyDescent="0.2">
      <c r="O4903" s="4">
        <f t="shared" ca="1" si="413"/>
        <v>0.96883707539079189</v>
      </c>
      <c r="P4903" s="4">
        <f t="shared" ca="1" si="414"/>
        <v>1.8639704853742993</v>
      </c>
      <c r="Q4903" s="4">
        <f t="shared" ca="1" si="415"/>
        <v>1866.7953810679207</v>
      </c>
      <c r="R4903" s="4">
        <f t="shared" ca="1" si="416"/>
        <v>-56.874662932079218</v>
      </c>
      <c r="S4903" s="4">
        <f t="shared" ca="1" si="417"/>
        <v>-27.473753527361875</v>
      </c>
    </row>
    <row r="4904" spans="15:19" x14ac:dyDescent="0.2">
      <c r="O4904" s="4">
        <f t="shared" ca="1" si="413"/>
        <v>0.91645553456634388</v>
      </c>
      <c r="P4904" s="4">
        <f t="shared" ca="1" si="414"/>
        <v>1.3816183036509326</v>
      </c>
      <c r="Q4904" s="4">
        <f t="shared" ca="1" si="415"/>
        <v>1881.4082189972776</v>
      </c>
      <c r="R4904" s="4">
        <f t="shared" ca="1" si="416"/>
        <v>-42.261825002722389</v>
      </c>
      <c r="S4904" s="4">
        <f t="shared" ca="1" si="417"/>
        <v>-20.666298951527878</v>
      </c>
    </row>
    <row r="4905" spans="15:19" x14ac:dyDescent="0.2">
      <c r="O4905" s="4">
        <f t="shared" ca="1" si="413"/>
        <v>0.31796749249447476</v>
      </c>
      <c r="P4905" s="4">
        <f t="shared" ca="1" si="414"/>
        <v>-0.47338996909713699</v>
      </c>
      <c r="Q4905" s="4">
        <f t="shared" ca="1" si="415"/>
        <v>1937.6056122596756</v>
      </c>
      <c r="R4905" s="4">
        <f t="shared" ca="1" si="416"/>
        <v>13.93556825967562</v>
      </c>
      <c r="S4905" s="4">
        <f t="shared" ca="1" si="417"/>
        <v>7.1333740197897662</v>
      </c>
    </row>
    <row r="4906" spans="15:19" x14ac:dyDescent="0.2">
      <c r="O4906" s="4">
        <f t="shared" ca="1" si="413"/>
        <v>3.1156317697206948E-2</v>
      </c>
      <c r="P4906" s="4">
        <f t="shared" ca="1" si="414"/>
        <v>-1.8640645832611902</v>
      </c>
      <c r="Q4906" s="4">
        <f t="shared" ca="1" si="415"/>
        <v>1979.7360379512188</v>
      </c>
      <c r="R4906" s="4">
        <f t="shared" ca="1" si="416"/>
        <v>56.065993951218843</v>
      </c>
      <c r="S4906" s="4">
        <f t="shared" ca="1" si="417"/>
        <v>29.660734943921067</v>
      </c>
    </row>
    <row r="4907" spans="15:19" x14ac:dyDescent="0.2">
      <c r="O4907" s="4">
        <f t="shared" ca="1" si="413"/>
        <v>0.88201412493769349</v>
      </c>
      <c r="P4907" s="4">
        <f t="shared" ca="1" si="414"/>
        <v>1.1851155843119723</v>
      </c>
      <c r="Q4907" s="4">
        <f t="shared" ca="1" si="415"/>
        <v>1887.3612601551281</v>
      </c>
      <c r="R4907" s="4">
        <f t="shared" ca="1" si="416"/>
        <v>-36.308783844871868</v>
      </c>
      <c r="S4907" s="4">
        <f t="shared" ca="1" si="417"/>
        <v>-17.843211352966346</v>
      </c>
    </row>
    <row r="4908" spans="15:19" x14ac:dyDescent="0.2">
      <c r="O4908" s="4">
        <f t="shared" ca="1" si="413"/>
        <v>0.83157485942236953</v>
      </c>
      <c r="P4908" s="4">
        <f t="shared" ca="1" si="414"/>
        <v>0.96040726894178219</v>
      </c>
      <c r="Q4908" s="4">
        <f t="shared" ca="1" si="415"/>
        <v>1894.1687885924443</v>
      </c>
      <c r="R4908" s="4">
        <f t="shared" ca="1" si="416"/>
        <v>-29.501255407555618</v>
      </c>
      <c r="S4908" s="4">
        <f t="shared" ca="1" si="417"/>
        <v>-14.579542303748633</v>
      </c>
    </row>
    <row r="4909" spans="15:19" x14ac:dyDescent="0.2">
      <c r="O4909" s="4">
        <f t="shared" ca="1" si="413"/>
        <v>0.87607025836669505</v>
      </c>
      <c r="P4909" s="4">
        <f t="shared" ca="1" si="414"/>
        <v>1.1555641394499494</v>
      </c>
      <c r="Q4909" s="4">
        <f t="shared" ca="1" si="415"/>
        <v>1888.2565198651685</v>
      </c>
      <c r="R4909" s="4">
        <f t="shared" ca="1" si="416"/>
        <v>-35.413524134831505</v>
      </c>
      <c r="S4909" s="4">
        <f t="shared" ca="1" si="417"/>
        <v>-17.416160071456979</v>
      </c>
    </row>
    <row r="4910" spans="15:19" x14ac:dyDescent="0.2">
      <c r="O4910" s="4">
        <f t="shared" ca="1" si="413"/>
        <v>0.66104895326907265</v>
      </c>
      <c r="P4910" s="4">
        <f t="shared" ca="1" si="414"/>
        <v>0.41532760787209527</v>
      </c>
      <c r="Q4910" s="4">
        <f t="shared" ca="1" si="415"/>
        <v>1910.6819527235607</v>
      </c>
      <c r="R4910" s="4">
        <f t="shared" ca="1" si="416"/>
        <v>-12.988091276439263</v>
      </c>
      <c r="S4910" s="4">
        <f t="shared" ca="1" si="417"/>
        <v>-6.5060303039282363</v>
      </c>
    </row>
    <row r="4911" spans="15:19" x14ac:dyDescent="0.2">
      <c r="O4911" s="4">
        <f t="shared" ca="1" si="413"/>
        <v>0.76972027594327119</v>
      </c>
      <c r="P4911" s="4">
        <f t="shared" ca="1" si="414"/>
        <v>0.73792595108222026</v>
      </c>
      <c r="Q4911" s="4">
        <f t="shared" ca="1" si="415"/>
        <v>1900.9088502390528</v>
      </c>
      <c r="R4911" s="4">
        <f t="shared" ca="1" si="416"/>
        <v>-22.761193760947208</v>
      </c>
      <c r="S4911" s="4">
        <f t="shared" ca="1" si="417"/>
        <v>-11.311048081463943</v>
      </c>
    </row>
    <row r="4912" spans="15:19" x14ac:dyDescent="0.2">
      <c r="O4912" s="4">
        <f t="shared" ca="1" si="413"/>
        <v>0.61576195628257002</v>
      </c>
      <c r="P4912" s="4">
        <f t="shared" ca="1" si="414"/>
        <v>0.29436882332793846</v>
      </c>
      <c r="Q4912" s="4">
        <f t="shared" ca="1" si="415"/>
        <v>1914.3463937308773</v>
      </c>
      <c r="R4912" s="4">
        <f t="shared" ca="1" si="416"/>
        <v>-9.3236502691227088</v>
      </c>
      <c r="S4912" s="4">
        <f t="shared" ca="1" si="417"/>
        <v>-4.6843363777617286</v>
      </c>
    </row>
    <row r="4913" spans="15:19" x14ac:dyDescent="0.2">
      <c r="O4913" s="4">
        <f t="shared" ca="1" si="413"/>
        <v>0.10594854109686602</v>
      </c>
      <c r="P4913" s="4">
        <f t="shared" ca="1" si="414"/>
        <v>-1.248365923729291</v>
      </c>
      <c r="Q4913" s="4">
        <f t="shared" ca="1" si="415"/>
        <v>1961.0834743971025</v>
      </c>
      <c r="R4913" s="4">
        <f t="shared" ca="1" si="416"/>
        <v>37.413430397102502</v>
      </c>
      <c r="S4913" s="4">
        <f t="shared" ca="1" si="417"/>
        <v>19.508846090817002</v>
      </c>
    </row>
    <row r="4914" spans="15:19" x14ac:dyDescent="0.2">
      <c r="O4914" s="4">
        <f t="shared" ca="1" si="413"/>
        <v>0.84186980372484621</v>
      </c>
      <c r="P4914" s="4">
        <f t="shared" ca="1" si="414"/>
        <v>1.0021722816408318</v>
      </c>
      <c r="Q4914" s="4">
        <f t="shared" ca="1" si="415"/>
        <v>1892.9035193870511</v>
      </c>
      <c r="R4914" s="4">
        <f t="shared" ca="1" si="416"/>
        <v>-30.766524612948842</v>
      </c>
      <c r="S4914" s="4">
        <f t="shared" ca="1" si="417"/>
        <v>-15.188992918687212</v>
      </c>
    </row>
    <row r="4915" spans="15:19" x14ac:dyDescent="0.2">
      <c r="O4915" s="4">
        <f t="shared" ca="1" si="413"/>
        <v>0.92290147455238447</v>
      </c>
      <c r="P4915" s="4">
        <f t="shared" ca="1" si="414"/>
        <v>1.4248621559735166</v>
      </c>
      <c r="Q4915" s="4">
        <f t="shared" ca="1" si="415"/>
        <v>1880.0981484111485</v>
      </c>
      <c r="R4915" s="4">
        <f t="shared" ca="1" si="416"/>
        <v>-43.571895588851476</v>
      </c>
      <c r="S4915" s="4">
        <f t="shared" ca="1" si="417"/>
        <v>-21.283695299246265</v>
      </c>
    </row>
    <row r="4916" spans="15:19" x14ac:dyDescent="0.2">
      <c r="O4916" s="4">
        <f t="shared" ca="1" si="413"/>
        <v>0.8953526585555992</v>
      </c>
      <c r="P4916" s="4">
        <f t="shared" ca="1" si="414"/>
        <v>1.2555072361814315</v>
      </c>
      <c r="Q4916" s="4">
        <f t="shared" ca="1" si="415"/>
        <v>1885.2287481870612</v>
      </c>
      <c r="R4916" s="4">
        <f t="shared" ca="1" si="416"/>
        <v>-38.441295812938733</v>
      </c>
      <c r="S4916" s="4">
        <f t="shared" ca="1" si="417"/>
        <v>-18.857820750126674</v>
      </c>
    </row>
    <row r="4917" spans="15:19" x14ac:dyDescent="0.2">
      <c r="O4917" s="4">
        <f t="shared" ca="1" si="413"/>
        <v>0.42906645843995483</v>
      </c>
      <c r="P4917" s="4">
        <f t="shared" ca="1" si="414"/>
        <v>-0.17875138833956475</v>
      </c>
      <c r="Q4917" s="4">
        <f t="shared" ca="1" si="415"/>
        <v>1928.6795495372821</v>
      </c>
      <c r="R4917" s="4">
        <f t="shared" ca="1" si="416"/>
        <v>5.0095055372821662</v>
      </c>
      <c r="S4917" s="4">
        <f t="shared" ca="1" si="417"/>
        <v>2.5460762321464667</v>
      </c>
    </row>
    <row r="4918" spans="15:19" x14ac:dyDescent="0.2">
      <c r="O4918" s="4">
        <f t="shared" ca="1" si="413"/>
        <v>0.54973831944311247</v>
      </c>
      <c r="P4918" s="4">
        <f t="shared" ca="1" si="414"/>
        <v>0.12500023901968943</v>
      </c>
      <c r="Q4918" s="4">
        <f t="shared" ca="1" si="415"/>
        <v>1919.4774074727006</v>
      </c>
      <c r="R4918" s="4">
        <f t="shared" ca="1" si="416"/>
        <v>-4.192636527299328</v>
      </c>
      <c r="S4918" s="4">
        <f t="shared" ca="1" si="417"/>
        <v>-2.1151981319061042</v>
      </c>
    </row>
    <row r="4919" spans="15:19" x14ac:dyDescent="0.2">
      <c r="O4919" s="4">
        <f t="shared" ca="1" si="413"/>
        <v>0.84043551600618738</v>
      </c>
      <c r="P4919" s="4">
        <f t="shared" ca="1" si="414"/>
        <v>0.99624942978515674</v>
      </c>
      <c r="Q4919" s="4">
        <f t="shared" ca="1" si="415"/>
        <v>1893.0829519210502</v>
      </c>
      <c r="R4919" s="4">
        <f t="shared" ca="1" si="416"/>
        <v>-30.587092078949809</v>
      </c>
      <c r="S4919" s="4">
        <f t="shared" ca="1" si="417"/>
        <v>-15.102643770356451</v>
      </c>
    </row>
    <row r="4920" spans="15:19" x14ac:dyDescent="0.2">
      <c r="O4920" s="4">
        <f t="shared" ca="1" si="413"/>
        <v>0.46690826469312252</v>
      </c>
      <c r="P4920" s="4">
        <f t="shared" ca="1" si="414"/>
        <v>-8.304403029649686E-2</v>
      </c>
      <c r="Q4920" s="4">
        <f t="shared" ca="1" si="415"/>
        <v>1925.780099374678</v>
      </c>
      <c r="R4920" s="4">
        <f t="shared" ca="1" si="416"/>
        <v>2.1100553746780406</v>
      </c>
      <c r="S4920" s="4">
        <f t="shared" ca="1" si="417"/>
        <v>1.0699431064804446</v>
      </c>
    </row>
    <row r="4921" spans="15:19" x14ac:dyDescent="0.2">
      <c r="O4921" s="4">
        <f t="shared" ca="1" si="413"/>
        <v>0.61662274422256302</v>
      </c>
      <c r="P4921" s="4">
        <f t="shared" ca="1" si="414"/>
        <v>0.29662278748147958</v>
      </c>
      <c r="Q4921" s="4">
        <f t="shared" ca="1" si="415"/>
        <v>1914.2781099869198</v>
      </c>
      <c r="R4921" s="4">
        <f t="shared" ca="1" si="416"/>
        <v>-9.3919340130801174</v>
      </c>
      <c r="S4921" s="4">
        <f t="shared" ca="1" si="417"/>
        <v>-4.7183820554601539</v>
      </c>
    </row>
    <row r="4922" spans="15:19" x14ac:dyDescent="0.2">
      <c r="O4922" s="4">
        <f t="shared" ca="1" si="413"/>
        <v>0.67359092441856194</v>
      </c>
      <c r="P4922" s="4">
        <f t="shared" ca="1" si="414"/>
        <v>0.44985062564160005</v>
      </c>
      <c r="Q4922" s="4">
        <f t="shared" ca="1" si="415"/>
        <v>1909.636079433021</v>
      </c>
      <c r="R4922" s="4">
        <f t="shared" ca="1" si="416"/>
        <v>-14.033964566978966</v>
      </c>
      <c r="S4922" s="4">
        <f t="shared" ca="1" si="417"/>
        <v>-7.0239571612862051</v>
      </c>
    </row>
    <row r="4923" spans="15:19" x14ac:dyDescent="0.2">
      <c r="O4923" s="4">
        <f t="shared" ca="1" si="413"/>
        <v>0.67961870562777382</v>
      </c>
      <c r="P4923" s="4">
        <f t="shared" ca="1" si="414"/>
        <v>0.46663283789083665</v>
      </c>
      <c r="Q4923" s="4">
        <f t="shared" ca="1" si="415"/>
        <v>1909.1276630580437</v>
      </c>
      <c r="R4923" s="4">
        <f t="shared" ca="1" si="416"/>
        <v>-14.542380941956253</v>
      </c>
      <c r="S4923" s="4">
        <f t="shared" ca="1" si="417"/>
        <v>-7.2754083308599373</v>
      </c>
    </row>
    <row r="4924" spans="15:19" x14ac:dyDescent="0.2">
      <c r="O4924" s="4">
        <f t="shared" ca="1" si="413"/>
        <v>8.9301106742676439E-2</v>
      </c>
      <c r="P4924" s="4">
        <f t="shared" ca="1" si="414"/>
        <v>-1.345071290441501</v>
      </c>
      <c r="Q4924" s="4">
        <f t="shared" ca="1" si="415"/>
        <v>1964.0131591880277</v>
      </c>
      <c r="R4924" s="4">
        <f t="shared" ca="1" si="416"/>
        <v>40.343115188027696</v>
      </c>
      <c r="S4924" s="4">
        <f t="shared" ca="1" si="417"/>
        <v>21.084612480521855</v>
      </c>
    </row>
    <row r="4925" spans="15:19" x14ac:dyDescent="0.2">
      <c r="O4925" s="4">
        <f t="shared" ca="1" si="413"/>
        <v>0.74272646216364824</v>
      </c>
      <c r="P4925" s="4">
        <f t="shared" ca="1" si="414"/>
        <v>0.65177384659879289</v>
      </c>
      <c r="Q4925" s="4">
        <f t="shared" ca="1" si="415"/>
        <v>1903.5188244193112</v>
      </c>
      <c r="R4925" s="4">
        <f t="shared" ca="1" si="416"/>
        <v>-20.151219580688803</v>
      </c>
      <c r="S4925" s="4">
        <f t="shared" ca="1" si="417"/>
        <v>-10.035445458638401</v>
      </c>
    </row>
    <row r="4926" spans="15:19" x14ac:dyDescent="0.2">
      <c r="O4926" s="4">
        <f t="shared" ca="1" si="413"/>
        <v>0.53057755954540897</v>
      </c>
      <c r="P4926" s="4">
        <f t="shared" ca="1" si="414"/>
        <v>7.6721775931146804E-2</v>
      </c>
      <c r="Q4926" s="4">
        <f t="shared" ca="1" si="415"/>
        <v>1920.9400013684528</v>
      </c>
      <c r="R4926" s="4">
        <f t="shared" ca="1" si="416"/>
        <v>-2.7300426315471213</v>
      </c>
      <c r="S4926" s="4">
        <f t="shared" ca="1" si="417"/>
        <v>-1.3789403796126234</v>
      </c>
    </row>
    <row r="4927" spans="15:19" x14ac:dyDescent="0.2">
      <c r="O4927" s="4">
        <f t="shared" ca="1" si="413"/>
        <v>0.83619569546112094</v>
      </c>
      <c r="P4927" s="4">
        <f t="shared" ca="1" si="414"/>
        <v>0.97894205909371534</v>
      </c>
      <c r="Q4927" s="4">
        <f t="shared" ca="1" si="415"/>
        <v>1893.6072779477176</v>
      </c>
      <c r="R4927" s="4">
        <f t="shared" ca="1" si="416"/>
        <v>-30.062766052282313</v>
      </c>
      <c r="S4927" s="4">
        <f t="shared" ca="1" si="417"/>
        <v>-14.850169723079155</v>
      </c>
    </row>
    <row r="4928" spans="15:19" x14ac:dyDescent="0.2">
      <c r="O4928" s="4">
        <f t="shared" ca="1" si="413"/>
        <v>0.33818368248611286</v>
      </c>
      <c r="P4928" s="4">
        <f t="shared" ca="1" si="414"/>
        <v>-0.41742528302627679</v>
      </c>
      <c r="Q4928" s="4">
        <f t="shared" ca="1" si="415"/>
        <v>1935.9101645799346</v>
      </c>
      <c r="R4928" s="4">
        <f t="shared" ca="1" si="416"/>
        <v>12.240120579934683</v>
      </c>
      <c r="S4928" s="4">
        <f t="shared" ca="1" si="417"/>
        <v>6.2570562644112249</v>
      </c>
    </row>
    <row r="4929" spans="15:19" x14ac:dyDescent="0.2">
      <c r="O4929" s="4">
        <f t="shared" ca="1" si="413"/>
        <v>0.85101967460977079</v>
      </c>
      <c r="P4929" s="4">
        <f t="shared" ca="1" si="414"/>
        <v>1.0408166506462451</v>
      </c>
      <c r="Q4929" s="4">
        <f t="shared" ca="1" si="415"/>
        <v>1891.7327899438033</v>
      </c>
      <c r="R4929" s="4">
        <f t="shared" ca="1" si="416"/>
        <v>-31.937254056196707</v>
      </c>
      <c r="S4929" s="4">
        <f t="shared" ca="1" si="417"/>
        <v>-15.751745020165119</v>
      </c>
    </row>
    <row r="4930" spans="15:19" x14ac:dyDescent="0.2">
      <c r="O4930" s="4">
        <f t="shared" ca="1" si="413"/>
        <v>0.19303799805662669</v>
      </c>
      <c r="P4930" s="4">
        <f t="shared" ca="1" si="414"/>
        <v>-0.86675548704279548</v>
      </c>
      <c r="Q4930" s="4">
        <f t="shared" ca="1" si="415"/>
        <v>1949.5226031608051</v>
      </c>
      <c r="R4930" s="4">
        <f t="shared" ca="1" si="416"/>
        <v>25.852559160805185</v>
      </c>
      <c r="S4930" s="4">
        <f t="shared" ca="1" si="417"/>
        <v>13.358885347694473</v>
      </c>
    </row>
    <row r="4931" spans="15:19" x14ac:dyDescent="0.2">
      <c r="O4931" s="4">
        <f t="shared" ref="O4931:O4994" ca="1" si="418">RAND()</f>
        <v>0.84821651062851144</v>
      </c>
      <c r="P4931" s="4">
        <f t="shared" ref="P4931:P4994" ca="1" si="419">NORMSINV(O4931)</f>
        <v>1.0288142296621177</v>
      </c>
      <c r="Q4931" s="4">
        <f t="shared" ref="Q4931:Q4994" ca="1" si="420">$B$4*(1+$B$17-$B$6/SQRT(252)*P4931)</f>
        <v>1892.0964027546222</v>
      </c>
      <c r="R4931" s="4">
        <f t="shared" ref="R4931:R4994" ca="1" si="421">Q4931-$B$4</f>
        <v>-31.573641245377758</v>
      </c>
      <c r="S4931" s="4">
        <f t="shared" ref="S4931:S4994" ca="1" si="422">R4931*$B$12+0.5*$B$13*R4931^2</f>
        <v>-15.577081256120652</v>
      </c>
    </row>
    <row r="4932" spans="15:19" x14ac:dyDescent="0.2">
      <c r="O4932" s="4">
        <f t="shared" ca="1" si="418"/>
        <v>0.99210078739643381</v>
      </c>
      <c r="P4932" s="4">
        <f t="shared" ca="1" si="419"/>
        <v>2.4135392728075451</v>
      </c>
      <c r="Q4932" s="4">
        <f t="shared" ca="1" si="420"/>
        <v>1850.146219052933</v>
      </c>
      <c r="R4932" s="4">
        <f t="shared" ca="1" si="421"/>
        <v>-73.523824947066942</v>
      </c>
      <c r="S4932" s="4">
        <f t="shared" ca="1" si="422"/>
        <v>-35.017964726142573</v>
      </c>
    </row>
    <row r="4933" spans="15:19" x14ac:dyDescent="0.2">
      <c r="O4933" s="4">
        <f t="shared" ca="1" si="418"/>
        <v>0.61857957033899358</v>
      </c>
      <c r="P4933" s="4">
        <f t="shared" ca="1" si="419"/>
        <v>0.30175234788456967</v>
      </c>
      <c r="Q4933" s="4">
        <f t="shared" ca="1" si="420"/>
        <v>1914.1227101822553</v>
      </c>
      <c r="R4933" s="4">
        <f t="shared" ca="1" si="421"/>
        <v>-9.5473338177446294</v>
      </c>
      <c r="S4933" s="4">
        <f t="shared" ca="1" si="422"/>
        <v>-4.7958488894472122</v>
      </c>
    </row>
    <row r="4934" spans="15:19" x14ac:dyDescent="0.2">
      <c r="O4934" s="4">
        <f t="shared" ca="1" si="418"/>
        <v>0.19160567142672835</v>
      </c>
      <c r="P4934" s="4">
        <f t="shared" ca="1" si="419"/>
        <v>-0.87199456445366696</v>
      </c>
      <c r="Q4934" s="4">
        <f t="shared" ca="1" si="420"/>
        <v>1949.6813207783578</v>
      </c>
      <c r="R4934" s="4">
        <f t="shared" ca="1" si="421"/>
        <v>26.011276778357797</v>
      </c>
      <c r="S4934" s="4">
        <f t="shared" ca="1" si="422"/>
        <v>13.442580633891728</v>
      </c>
    </row>
    <row r="4935" spans="15:19" x14ac:dyDescent="0.2">
      <c r="O4935" s="4">
        <f t="shared" ca="1" si="418"/>
        <v>0.50332809629223318</v>
      </c>
      <c r="P4935" s="4">
        <f t="shared" ca="1" si="419"/>
        <v>8.3423970314675817E-3</v>
      </c>
      <c r="Q4935" s="4">
        <f t="shared" ca="1" si="420"/>
        <v>1923.011551616243</v>
      </c>
      <c r="R4935" s="4">
        <f t="shared" ca="1" si="421"/>
        <v>-0.65849238375699315</v>
      </c>
      <c r="S4935" s="4">
        <f t="shared" ca="1" si="422"/>
        <v>-0.33315878433798363</v>
      </c>
    </row>
    <row r="4936" spans="15:19" x14ac:dyDescent="0.2">
      <c r="O4936" s="4">
        <f t="shared" ca="1" si="418"/>
        <v>0.38465412508979613</v>
      </c>
      <c r="P4936" s="4">
        <f t="shared" ca="1" si="419"/>
        <v>-0.29327985526307054</v>
      </c>
      <c r="Q4936" s="4">
        <f t="shared" ca="1" si="420"/>
        <v>1932.1491843577805</v>
      </c>
      <c r="R4936" s="4">
        <f t="shared" ca="1" si="421"/>
        <v>8.4791403577805795</v>
      </c>
      <c r="S4936" s="4">
        <f t="shared" ca="1" si="422"/>
        <v>4.3214904777586769</v>
      </c>
    </row>
    <row r="4937" spans="15:19" x14ac:dyDescent="0.2">
      <c r="O4937" s="4">
        <f t="shared" ca="1" si="418"/>
        <v>0.33111316197551766</v>
      </c>
      <c r="P4937" s="4">
        <f t="shared" ca="1" si="419"/>
        <v>-0.43684146682667074</v>
      </c>
      <c r="Q4937" s="4">
        <f t="shared" ca="1" si="420"/>
        <v>1936.4983770061085</v>
      </c>
      <c r="R4937" s="4">
        <f t="shared" ca="1" si="421"/>
        <v>12.828333006108551</v>
      </c>
      <c r="S4937" s="4">
        <f t="shared" ca="1" si="422"/>
        <v>6.5608176261918523</v>
      </c>
    </row>
    <row r="4938" spans="15:19" x14ac:dyDescent="0.2">
      <c r="O4938" s="4">
        <f t="shared" ca="1" si="418"/>
        <v>0.40810400615924147</v>
      </c>
      <c r="P4938" s="4">
        <f t="shared" ca="1" si="419"/>
        <v>-0.23242489828900892</v>
      </c>
      <c r="Q4938" s="4">
        <f t="shared" ca="1" si="420"/>
        <v>1930.3055861381506</v>
      </c>
      <c r="R4938" s="4">
        <f t="shared" ca="1" si="421"/>
        <v>6.6355421381506403</v>
      </c>
      <c r="S4938" s="4">
        <f t="shared" ca="1" si="422"/>
        <v>3.3768998536008472</v>
      </c>
    </row>
    <row r="4939" spans="15:19" x14ac:dyDescent="0.2">
      <c r="O4939" s="4">
        <f t="shared" ca="1" si="418"/>
        <v>0.12530510879210555</v>
      </c>
      <c r="P4939" s="4">
        <f t="shared" ca="1" si="419"/>
        <v>-1.1488684774631726</v>
      </c>
      <c r="Q4939" s="4">
        <f t="shared" ca="1" si="420"/>
        <v>1958.0692036800572</v>
      </c>
      <c r="R4939" s="4">
        <f t="shared" ca="1" si="421"/>
        <v>34.39915968005721</v>
      </c>
      <c r="S4939" s="4">
        <f t="shared" ca="1" si="422"/>
        <v>17.89487747150547</v>
      </c>
    </row>
    <row r="4940" spans="15:19" x14ac:dyDescent="0.2">
      <c r="O4940" s="4">
        <f t="shared" ca="1" si="418"/>
        <v>6.9181528563038608E-2</v>
      </c>
      <c r="P4940" s="4">
        <f t="shared" ca="1" si="419"/>
        <v>-1.4819144595328446</v>
      </c>
      <c r="Q4940" s="4">
        <f t="shared" ca="1" si="420"/>
        <v>1968.1588169199506</v>
      </c>
      <c r="R4940" s="4">
        <f t="shared" ca="1" si="421"/>
        <v>44.488772919950634</v>
      </c>
      <c r="S4940" s="4">
        <f t="shared" ca="1" si="422"/>
        <v>23.326344753276334</v>
      </c>
    </row>
    <row r="4941" spans="15:19" x14ac:dyDescent="0.2">
      <c r="O4941" s="4">
        <f t="shared" ca="1" si="418"/>
        <v>0.6031439367699557</v>
      </c>
      <c r="P4941" s="4">
        <f t="shared" ca="1" si="419"/>
        <v>0.2614932859917351</v>
      </c>
      <c r="Q4941" s="4">
        <f t="shared" ca="1" si="420"/>
        <v>1915.342356674837</v>
      </c>
      <c r="R4941" s="4">
        <f t="shared" ca="1" si="421"/>
        <v>-8.3276873251629695</v>
      </c>
      <c r="S4941" s="4">
        <f t="shared" ca="1" si="422"/>
        <v>-4.1873264889693873</v>
      </c>
    </row>
    <row r="4942" spans="15:19" x14ac:dyDescent="0.2">
      <c r="O4942" s="4">
        <f t="shared" ca="1" si="418"/>
        <v>0.40473754440981369</v>
      </c>
      <c r="P4942" s="4">
        <f t="shared" ca="1" si="419"/>
        <v>-0.24110325660231943</v>
      </c>
      <c r="Q4942" s="4">
        <f t="shared" ca="1" si="420"/>
        <v>1930.5684966179419</v>
      </c>
      <c r="R4942" s="4">
        <f t="shared" ca="1" si="421"/>
        <v>6.8984526179419845</v>
      </c>
      <c r="S4942" s="4">
        <f t="shared" ca="1" si="422"/>
        <v>3.5114361592008372</v>
      </c>
    </row>
    <row r="4943" spans="15:19" x14ac:dyDescent="0.2">
      <c r="O4943" s="4">
        <f t="shared" ca="1" si="418"/>
        <v>0.12275493867506915</v>
      </c>
      <c r="P4943" s="4">
        <f t="shared" ca="1" si="419"/>
        <v>-1.1613247025885838</v>
      </c>
      <c r="Q4943" s="4">
        <f t="shared" ca="1" si="420"/>
        <v>1958.4465644671877</v>
      </c>
      <c r="R4943" s="4">
        <f t="shared" ca="1" si="421"/>
        <v>34.776520467187765</v>
      </c>
      <c r="S4943" s="4">
        <f t="shared" ca="1" si="422"/>
        <v>18.096527410213806</v>
      </c>
    </row>
    <row r="4944" spans="15:19" x14ac:dyDescent="0.2">
      <c r="O4944" s="4">
        <f t="shared" ca="1" si="418"/>
        <v>0.30772093263429035</v>
      </c>
      <c r="P4944" s="4">
        <f t="shared" ca="1" si="419"/>
        <v>-0.50232082131838374</v>
      </c>
      <c r="Q4944" s="4">
        <f t="shared" ca="1" si="420"/>
        <v>1938.4820711432176</v>
      </c>
      <c r="R4944" s="4">
        <f t="shared" ca="1" si="421"/>
        <v>14.81202714321762</v>
      </c>
      <c r="S4944" s="4">
        <f t="shared" ca="1" si="422"/>
        <v>7.5873026424341949</v>
      </c>
    </row>
    <row r="4945" spans="15:19" x14ac:dyDescent="0.2">
      <c r="O4945" s="4">
        <f t="shared" ca="1" si="418"/>
        <v>0.4433588794423402</v>
      </c>
      <c r="P4945" s="4">
        <f t="shared" ca="1" si="419"/>
        <v>-0.14245862445858801</v>
      </c>
      <c r="Q4945" s="4">
        <f t="shared" ca="1" si="420"/>
        <v>1927.58006186687</v>
      </c>
      <c r="R4945" s="4">
        <f t="shared" ca="1" si="421"/>
        <v>3.910017866870021</v>
      </c>
      <c r="S4945" s="4">
        <f t="shared" ca="1" si="422"/>
        <v>1.985512714370232</v>
      </c>
    </row>
    <row r="4946" spans="15:19" x14ac:dyDescent="0.2">
      <c r="O4946" s="4">
        <f t="shared" ca="1" si="418"/>
        <v>0.44450743869906884</v>
      </c>
      <c r="P4946" s="4">
        <f t="shared" ca="1" si="419"/>
        <v>-0.1395508488794443</v>
      </c>
      <c r="Q4946" s="4">
        <f t="shared" ca="1" si="420"/>
        <v>1927.4919709348023</v>
      </c>
      <c r="R4946" s="4">
        <f t="shared" ca="1" si="421"/>
        <v>3.8219269348023772</v>
      </c>
      <c r="S4946" s="4">
        <f t="shared" ca="1" si="422"/>
        <v>1.9406429610753297</v>
      </c>
    </row>
    <row r="4947" spans="15:19" x14ac:dyDescent="0.2">
      <c r="O4947" s="4">
        <f t="shared" ca="1" si="418"/>
        <v>0.99131956467118931</v>
      </c>
      <c r="P4947" s="4">
        <f t="shared" ca="1" si="419"/>
        <v>2.3789746324936587</v>
      </c>
      <c r="Q4947" s="4">
        <f t="shared" ca="1" si="420"/>
        <v>1851.1933532966068</v>
      </c>
      <c r="R4947" s="4">
        <f t="shared" ca="1" si="421"/>
        <v>-72.47669070339316</v>
      </c>
      <c r="S4947" s="4">
        <f t="shared" ca="1" si="422"/>
        <v>-34.550128729581289</v>
      </c>
    </row>
    <row r="4948" spans="15:19" x14ac:dyDescent="0.2">
      <c r="O4948" s="4">
        <f t="shared" ca="1" si="418"/>
        <v>0.9740863984327458</v>
      </c>
      <c r="P4948" s="4">
        <f t="shared" ca="1" si="419"/>
        <v>1.9445662622892634</v>
      </c>
      <c r="Q4948" s="4">
        <f t="shared" ca="1" si="420"/>
        <v>1864.3537355846536</v>
      </c>
      <c r="R4948" s="4">
        <f t="shared" ca="1" si="421"/>
        <v>-59.316308415346384</v>
      </c>
      <c r="S4948" s="4">
        <f t="shared" ca="1" si="422"/>
        <v>-28.594254003257486</v>
      </c>
    </row>
    <row r="4949" spans="15:19" x14ac:dyDescent="0.2">
      <c r="O4949" s="4">
        <f t="shared" ca="1" si="418"/>
        <v>3.0330894651879547E-2</v>
      </c>
      <c r="P4949" s="4">
        <f t="shared" ca="1" si="419"/>
        <v>-1.875952597098046</v>
      </c>
      <c r="Q4949" s="4">
        <f t="shared" ca="1" si="420"/>
        <v>1980.0961848025909</v>
      </c>
      <c r="R4949" s="4">
        <f t="shared" ca="1" si="421"/>
        <v>56.426140802590908</v>
      </c>
      <c r="S4949" s="4">
        <f t="shared" ca="1" si="422"/>
        <v>29.859536683350889</v>
      </c>
    </row>
    <row r="4950" spans="15:19" x14ac:dyDescent="0.2">
      <c r="O4950" s="4">
        <f t="shared" ca="1" si="418"/>
        <v>0.65157854088774014</v>
      </c>
      <c r="P4950" s="4">
        <f t="shared" ca="1" si="419"/>
        <v>0.38958571325790042</v>
      </c>
      <c r="Q4950" s="4">
        <f t="shared" ca="1" si="420"/>
        <v>1911.4618022779835</v>
      </c>
      <c r="R4950" s="4">
        <f t="shared" ca="1" si="421"/>
        <v>-12.20824172201651</v>
      </c>
      <c r="S4950" s="4">
        <f t="shared" ca="1" si="422"/>
        <v>-6.1192614662355531</v>
      </c>
    </row>
    <row r="4951" spans="15:19" x14ac:dyDescent="0.2">
      <c r="O4951" s="4">
        <f t="shared" ca="1" si="418"/>
        <v>0.12021625945405978</v>
      </c>
      <c r="P4951" s="4">
        <f t="shared" ca="1" si="419"/>
        <v>-1.1739063994570405</v>
      </c>
      <c r="Q4951" s="4">
        <f t="shared" ca="1" si="420"/>
        <v>1958.8277264152027</v>
      </c>
      <c r="R4951" s="4">
        <f t="shared" ca="1" si="421"/>
        <v>35.157682415202771</v>
      </c>
      <c r="S4951" s="4">
        <f t="shared" ca="1" si="422"/>
        <v>18.300326263643569</v>
      </c>
    </row>
    <row r="4952" spans="15:19" x14ac:dyDescent="0.2">
      <c r="O4952" s="4">
        <f t="shared" ca="1" si="418"/>
        <v>0.38561903455577384</v>
      </c>
      <c r="P4952" s="4">
        <f t="shared" ca="1" si="419"/>
        <v>-0.29075582991732024</v>
      </c>
      <c r="Q4952" s="4">
        <f t="shared" ca="1" si="420"/>
        <v>1932.0727191219955</v>
      </c>
      <c r="R4952" s="4">
        <f t="shared" ca="1" si="421"/>
        <v>8.4026751219955713</v>
      </c>
      <c r="S4952" s="4">
        <f t="shared" ca="1" si="422"/>
        <v>4.2822575521685282</v>
      </c>
    </row>
    <row r="4953" spans="15:19" x14ac:dyDescent="0.2">
      <c r="O4953" s="4">
        <f t="shared" ca="1" si="418"/>
        <v>0.51831291985987527</v>
      </c>
      <c r="P4953" s="4">
        <f t="shared" ca="1" si="419"/>
        <v>4.5919815588095554E-2</v>
      </c>
      <c r="Q4953" s="4">
        <f t="shared" ca="1" si="420"/>
        <v>1921.8731453894695</v>
      </c>
      <c r="R4953" s="4">
        <f t="shared" ca="1" si="421"/>
        <v>-1.7968986105304339</v>
      </c>
      <c r="S4953" s="4">
        <f t="shared" ca="1" si="422"/>
        <v>-0.90829331382444511</v>
      </c>
    </row>
    <row r="4954" spans="15:19" x14ac:dyDescent="0.2">
      <c r="O4954" s="4">
        <f t="shared" ca="1" si="418"/>
        <v>0.84900909177481731</v>
      </c>
      <c r="P4954" s="4">
        <f t="shared" ca="1" si="419"/>
        <v>1.0321927804448754</v>
      </c>
      <c r="Q4954" s="4">
        <f t="shared" ca="1" si="420"/>
        <v>1891.9940497086627</v>
      </c>
      <c r="R4954" s="4">
        <f t="shared" ca="1" si="421"/>
        <v>-31.675994291337247</v>
      </c>
      <c r="S4954" s="4">
        <f t="shared" ca="1" si="422"/>
        <v>-15.626258088679531</v>
      </c>
    </row>
    <row r="4955" spans="15:19" x14ac:dyDescent="0.2">
      <c r="O4955" s="4">
        <f t="shared" ca="1" si="418"/>
        <v>0.49871279740866692</v>
      </c>
      <c r="P4955" s="4">
        <f t="shared" ca="1" si="419"/>
        <v>-3.226544008974163E-3</v>
      </c>
      <c r="Q4955" s="4">
        <f t="shared" ca="1" si="420"/>
        <v>1923.3620321714136</v>
      </c>
      <c r="R4955" s="4">
        <f t="shared" ca="1" si="421"/>
        <v>-0.30801182858635912</v>
      </c>
      <c r="S4955" s="4">
        <f t="shared" ca="1" si="422"/>
        <v>-0.15587998539599421</v>
      </c>
    </row>
    <row r="4956" spans="15:19" x14ac:dyDescent="0.2">
      <c r="O4956" s="4">
        <f t="shared" ca="1" si="418"/>
        <v>0.85295634424182865</v>
      </c>
      <c r="P4956" s="4">
        <f t="shared" ca="1" si="419"/>
        <v>1.0491973207615257</v>
      </c>
      <c r="Q4956" s="4">
        <f t="shared" ca="1" si="420"/>
        <v>1891.4788979147543</v>
      </c>
      <c r="R4956" s="4">
        <f t="shared" ca="1" si="421"/>
        <v>-32.191146085245691</v>
      </c>
      <c r="S4956" s="4">
        <f t="shared" ca="1" si="422"/>
        <v>-15.873639877326212</v>
      </c>
    </row>
    <row r="4957" spans="15:19" x14ac:dyDescent="0.2">
      <c r="O4957" s="4">
        <f t="shared" ca="1" si="418"/>
        <v>0.66168827237847705</v>
      </c>
      <c r="P4957" s="4">
        <f t="shared" ca="1" si="419"/>
        <v>0.41707513001746038</v>
      </c>
      <c r="Q4957" s="4">
        <f t="shared" ca="1" si="420"/>
        <v>1910.6290116177552</v>
      </c>
      <c r="R4957" s="4">
        <f t="shared" ca="1" si="421"/>
        <v>-13.041032382244794</v>
      </c>
      <c r="S4957" s="4">
        <f t="shared" ca="1" si="422"/>
        <v>-6.532268664536347</v>
      </c>
    </row>
    <row r="4958" spans="15:19" x14ac:dyDescent="0.2">
      <c r="O4958" s="4">
        <f t="shared" ca="1" si="418"/>
        <v>0.71033586505475099</v>
      </c>
      <c r="P4958" s="4">
        <f t="shared" ca="1" si="419"/>
        <v>0.55436617539848687</v>
      </c>
      <c r="Q4958" s="4">
        <f t="shared" ca="1" si="420"/>
        <v>1906.4697854935214</v>
      </c>
      <c r="R4958" s="4">
        <f t="shared" ca="1" si="421"/>
        <v>-17.200258506478576</v>
      </c>
      <c r="S4958" s="4">
        <f t="shared" ca="1" si="422"/>
        <v>-8.5865083512045803</v>
      </c>
    </row>
    <row r="4959" spans="15:19" x14ac:dyDescent="0.2">
      <c r="O4959" s="4">
        <f t="shared" ca="1" si="418"/>
        <v>0.97734079470471869</v>
      </c>
      <c r="P4959" s="4">
        <f t="shared" ca="1" si="419"/>
        <v>2.0016869520421459</v>
      </c>
      <c r="Q4959" s="4">
        <f t="shared" ca="1" si="420"/>
        <v>1862.6232668246912</v>
      </c>
      <c r="R4959" s="4">
        <f t="shared" ca="1" si="421"/>
        <v>-61.046777175308762</v>
      </c>
      <c r="S4959" s="4">
        <f t="shared" ca="1" si="422"/>
        <v>-29.385448004974172</v>
      </c>
    </row>
    <row r="4960" spans="15:19" x14ac:dyDescent="0.2">
      <c r="O4960" s="4">
        <f t="shared" ca="1" si="418"/>
        <v>0.58837741033721302</v>
      </c>
      <c r="P4960" s="4">
        <f t="shared" ca="1" si="419"/>
        <v>0.22337304757427473</v>
      </c>
      <c r="Q4960" s="4">
        <f t="shared" ca="1" si="420"/>
        <v>1916.4972076051936</v>
      </c>
      <c r="R4960" s="4">
        <f t="shared" ca="1" si="421"/>
        <v>-7.1728363948063816</v>
      </c>
      <c r="S4960" s="4">
        <f t="shared" ca="1" si="422"/>
        <v>-3.6100164988180645</v>
      </c>
    </row>
    <row r="4961" spans="15:19" x14ac:dyDescent="0.2">
      <c r="O4961" s="4">
        <f t="shared" ca="1" si="418"/>
        <v>0.97337531708678549</v>
      </c>
      <c r="P4961" s="4">
        <f t="shared" ca="1" si="419"/>
        <v>1.9328931181402382</v>
      </c>
      <c r="Q4961" s="4">
        <f t="shared" ca="1" si="420"/>
        <v>1864.7073729683723</v>
      </c>
      <c r="R4961" s="4">
        <f t="shared" ca="1" si="421"/>
        <v>-58.962671031627679</v>
      </c>
      <c r="S4961" s="4">
        <f t="shared" ca="1" si="422"/>
        <v>-28.43226613395726</v>
      </c>
    </row>
    <row r="4962" spans="15:19" x14ac:dyDescent="0.2">
      <c r="O4962" s="4">
        <f t="shared" ca="1" si="418"/>
        <v>0.4213289473491848</v>
      </c>
      <c r="P4962" s="4">
        <f t="shared" ca="1" si="419"/>
        <v>-0.1984948742840757</v>
      </c>
      <c r="Q4962" s="4">
        <f t="shared" ca="1" si="420"/>
        <v>1929.2776775673801</v>
      </c>
      <c r="R4962" s="4">
        <f t="shared" ca="1" si="421"/>
        <v>5.6076335673801623</v>
      </c>
      <c r="S4962" s="4">
        <f t="shared" ca="1" si="422"/>
        <v>2.8514395554599128</v>
      </c>
    </row>
    <row r="4963" spans="15:19" x14ac:dyDescent="0.2">
      <c r="O4963" s="4">
        <f t="shared" ca="1" si="418"/>
        <v>0.40343301102168927</v>
      </c>
      <c r="P4963" s="4">
        <f t="shared" ca="1" si="419"/>
        <v>-0.24447104813655274</v>
      </c>
      <c r="Q4963" s="4">
        <f t="shared" ca="1" si="420"/>
        <v>1930.6705237129449</v>
      </c>
      <c r="R4963" s="4">
        <f t="shared" ca="1" si="421"/>
        <v>7.0004797129449798</v>
      </c>
      <c r="S4963" s="4">
        <f t="shared" ca="1" si="422"/>
        <v>3.5636605257534457</v>
      </c>
    </row>
    <row r="4964" spans="15:19" x14ac:dyDescent="0.2">
      <c r="O4964" s="4">
        <f t="shared" ca="1" si="418"/>
        <v>0.88556522694281459</v>
      </c>
      <c r="P4964" s="4">
        <f t="shared" ca="1" si="419"/>
        <v>1.2032759667533943</v>
      </c>
      <c r="Q4964" s="4">
        <f t="shared" ca="1" si="420"/>
        <v>1886.8110921753678</v>
      </c>
      <c r="R4964" s="4">
        <f t="shared" ca="1" si="421"/>
        <v>-36.858951824632186</v>
      </c>
      <c r="S4964" s="4">
        <f t="shared" ca="1" si="422"/>
        <v>-18.105325386570033</v>
      </c>
    </row>
    <row r="4965" spans="15:19" x14ac:dyDescent="0.2">
      <c r="O4965" s="4">
        <f t="shared" ca="1" si="418"/>
        <v>0.65035610999996074</v>
      </c>
      <c r="P4965" s="4">
        <f t="shared" ca="1" si="419"/>
        <v>0.38628206735258924</v>
      </c>
      <c r="Q4965" s="4">
        <f t="shared" ca="1" si="420"/>
        <v>1911.5618860840063</v>
      </c>
      <c r="R4965" s="4">
        <f t="shared" ca="1" si="421"/>
        <v>-12.108157915993615</v>
      </c>
      <c r="S4965" s="4">
        <f t="shared" ca="1" si="422"/>
        <v>-6.0695887386630654</v>
      </c>
    </row>
    <row r="4966" spans="15:19" x14ac:dyDescent="0.2">
      <c r="O4966" s="4">
        <f t="shared" ca="1" si="418"/>
        <v>0.99814111630569524</v>
      </c>
      <c r="P4966" s="4">
        <f t="shared" ca="1" si="419"/>
        <v>2.9011661139823963</v>
      </c>
      <c r="Q4966" s="4">
        <f t="shared" ca="1" si="420"/>
        <v>1835.373585549683</v>
      </c>
      <c r="R4966" s="4">
        <f t="shared" ca="1" si="421"/>
        <v>-88.296458450317004</v>
      </c>
      <c r="S4966" s="4">
        <f t="shared" ca="1" si="422"/>
        <v>-41.522912738923743</v>
      </c>
    </row>
    <row r="4967" spans="15:19" x14ac:dyDescent="0.2">
      <c r="O4967" s="4">
        <f t="shared" ca="1" si="418"/>
        <v>0.34649577191918612</v>
      </c>
      <c r="P4967" s="4">
        <f t="shared" ca="1" si="419"/>
        <v>-0.39479857883028829</v>
      </c>
      <c r="Q4967" s="4">
        <f t="shared" ca="1" si="420"/>
        <v>1935.2246895809203</v>
      </c>
      <c r="R4967" s="4">
        <f t="shared" ca="1" si="421"/>
        <v>11.554645580920351</v>
      </c>
      <c r="S4967" s="4">
        <f t="shared" ca="1" si="422"/>
        <v>5.9034225146805923</v>
      </c>
    </row>
    <row r="4968" spans="15:19" x14ac:dyDescent="0.2">
      <c r="O4968" s="4">
        <f t="shared" ca="1" si="418"/>
        <v>0.89383348601445645</v>
      </c>
      <c r="P4968" s="4">
        <f t="shared" ca="1" si="419"/>
        <v>1.2471758443596435</v>
      </c>
      <c r="Q4968" s="4">
        <f t="shared" ca="1" si="420"/>
        <v>1885.4811473323971</v>
      </c>
      <c r="R4968" s="4">
        <f t="shared" ca="1" si="421"/>
        <v>-38.188896667602876</v>
      </c>
      <c r="S4968" s="4">
        <f t="shared" ca="1" si="422"/>
        <v>-18.737927117255346</v>
      </c>
    </row>
    <row r="4969" spans="15:19" x14ac:dyDescent="0.2">
      <c r="O4969" s="4">
        <f t="shared" ca="1" si="418"/>
        <v>0.95440533285503615</v>
      </c>
      <c r="P4969" s="4">
        <f t="shared" ca="1" si="419"/>
        <v>1.6891570659257311</v>
      </c>
      <c r="Q4969" s="4">
        <f t="shared" ca="1" si="420"/>
        <v>1872.0913458485747</v>
      </c>
      <c r="R4969" s="4">
        <f t="shared" ca="1" si="421"/>
        <v>-51.578698151425215</v>
      </c>
      <c r="S4969" s="4">
        <f t="shared" ca="1" si="422"/>
        <v>-25.026690671291451</v>
      </c>
    </row>
    <row r="4970" spans="15:19" x14ac:dyDescent="0.2">
      <c r="O4970" s="4">
        <f t="shared" ca="1" si="418"/>
        <v>0.50923927032807925</v>
      </c>
      <c r="P4970" s="4">
        <f t="shared" ca="1" si="419"/>
        <v>2.3161486921919407E-2</v>
      </c>
      <c r="Q4970" s="4">
        <f t="shared" ca="1" si="420"/>
        <v>1922.5626079459644</v>
      </c>
      <c r="R4970" s="4">
        <f t="shared" ca="1" si="421"/>
        <v>-1.1074360540355883</v>
      </c>
      <c r="S4970" s="4">
        <f t="shared" ca="1" si="422"/>
        <v>-0.5600957421370012</v>
      </c>
    </row>
    <row r="4971" spans="15:19" x14ac:dyDescent="0.2">
      <c r="O4971" s="4">
        <f t="shared" ca="1" si="418"/>
        <v>0.87259065412601988</v>
      </c>
      <c r="P4971" s="4">
        <f t="shared" ca="1" si="419"/>
        <v>1.1387230353943314</v>
      </c>
      <c r="Q4971" s="4">
        <f t="shared" ca="1" si="420"/>
        <v>1888.7667203648052</v>
      </c>
      <c r="R4971" s="4">
        <f t="shared" ca="1" si="421"/>
        <v>-34.903323635194738</v>
      </c>
      <c r="S4971" s="4">
        <f t="shared" ca="1" si="422"/>
        <v>-17.17249547087825</v>
      </c>
    </row>
    <row r="4972" spans="15:19" x14ac:dyDescent="0.2">
      <c r="O4972" s="4">
        <f t="shared" ca="1" si="418"/>
        <v>0.44848407903839482</v>
      </c>
      <c r="P4972" s="4">
        <f t="shared" ca="1" si="419"/>
        <v>-0.12949224854673805</v>
      </c>
      <c r="Q4972" s="4">
        <f t="shared" ca="1" si="420"/>
        <v>1927.1872460843147</v>
      </c>
      <c r="R4972" s="4">
        <f t="shared" ca="1" si="421"/>
        <v>3.5172020843147038</v>
      </c>
      <c r="S4972" s="4">
        <f t="shared" ca="1" si="422"/>
        <v>1.7854778812877312</v>
      </c>
    </row>
    <row r="4973" spans="15:19" x14ac:dyDescent="0.2">
      <c r="O4973" s="4">
        <f t="shared" ca="1" si="418"/>
        <v>0.5462831239246223</v>
      </c>
      <c r="P4973" s="4">
        <f t="shared" ca="1" si="419"/>
        <v>0.11627606769906731</v>
      </c>
      <c r="Q4973" s="4">
        <f t="shared" ca="1" si="420"/>
        <v>1919.7417058555145</v>
      </c>
      <c r="R4973" s="4">
        <f t="shared" ca="1" si="421"/>
        <v>-3.9283381444854513</v>
      </c>
      <c r="S4973" s="4">
        <f t="shared" ca="1" si="422"/>
        <v>-1.9822814190437812</v>
      </c>
    </row>
    <row r="4974" spans="15:19" x14ac:dyDescent="0.2">
      <c r="O4974" s="4">
        <f t="shared" ca="1" si="418"/>
        <v>0.8359590383671136</v>
      </c>
      <c r="P4974" s="4">
        <f t="shared" ca="1" si="419"/>
        <v>0.97798463539631786</v>
      </c>
      <c r="Q4974" s="4">
        <f t="shared" ca="1" si="420"/>
        <v>1893.6362830561216</v>
      </c>
      <c r="R4974" s="4">
        <f t="shared" ca="1" si="421"/>
        <v>-30.033760943878406</v>
      </c>
      <c r="S4974" s="4">
        <f t="shared" ca="1" si="422"/>
        <v>-14.83619661802666</v>
      </c>
    </row>
    <row r="4975" spans="15:19" x14ac:dyDescent="0.2">
      <c r="O4975" s="4">
        <f t="shared" ca="1" si="418"/>
        <v>5.3323213685575022E-2</v>
      </c>
      <c r="P4975" s="4">
        <f t="shared" ca="1" si="419"/>
        <v>-1.6134516139953308</v>
      </c>
      <c r="Q4975" s="4">
        <f t="shared" ca="1" si="420"/>
        <v>1972.1437291742739</v>
      </c>
      <c r="R4975" s="4">
        <f t="shared" ca="1" si="421"/>
        <v>48.473685174273896</v>
      </c>
      <c r="S4975" s="4">
        <f t="shared" ca="1" si="422"/>
        <v>25.494344038784398</v>
      </c>
    </row>
    <row r="4976" spans="15:19" x14ac:dyDescent="0.2">
      <c r="O4976" s="4">
        <f t="shared" ca="1" si="418"/>
        <v>0.22966134455935672</v>
      </c>
      <c r="P4976" s="4">
        <f t="shared" ca="1" si="419"/>
        <v>-0.73996259842339462</v>
      </c>
      <c r="Q4976" s="4">
        <f t="shared" ca="1" si="420"/>
        <v>1945.6814182295573</v>
      </c>
      <c r="R4976" s="4">
        <f t="shared" ca="1" si="421"/>
        <v>22.011374229557305</v>
      </c>
      <c r="S4976" s="4">
        <f t="shared" ca="1" si="422"/>
        <v>11.339598516597192</v>
      </c>
    </row>
    <row r="4977" spans="15:19" x14ac:dyDescent="0.2">
      <c r="O4977" s="4">
        <f t="shared" ca="1" si="418"/>
        <v>9.8321228095482049E-2</v>
      </c>
      <c r="P4977" s="4">
        <f t="shared" ca="1" si="419"/>
        <v>-1.2911765742340247</v>
      </c>
      <c r="Q4977" s="4">
        <f t="shared" ca="1" si="420"/>
        <v>1962.3804211533936</v>
      </c>
      <c r="R4977" s="4">
        <f t="shared" ca="1" si="421"/>
        <v>38.710377153393665</v>
      </c>
      <c r="S4977" s="4">
        <f t="shared" ca="1" si="422"/>
        <v>20.205562586665433</v>
      </c>
    </row>
    <row r="4978" spans="15:19" x14ac:dyDescent="0.2">
      <c r="O4978" s="4">
        <f t="shared" ca="1" si="418"/>
        <v>0.4467251336129584</v>
      </c>
      <c r="P4978" s="4">
        <f t="shared" ca="1" si="419"/>
        <v>-0.13393968712703325</v>
      </c>
      <c r="Q4978" s="4">
        <f t="shared" ca="1" si="420"/>
        <v>1927.3219810386431</v>
      </c>
      <c r="R4978" s="4">
        <f t="shared" ca="1" si="421"/>
        <v>3.6519370386431547</v>
      </c>
      <c r="S4978" s="4">
        <f t="shared" ca="1" si="422"/>
        <v>1.8540752367407425</v>
      </c>
    </row>
    <row r="4979" spans="15:19" x14ac:dyDescent="0.2">
      <c r="O4979" s="4">
        <f t="shared" ca="1" si="418"/>
        <v>0.25500109485772715</v>
      </c>
      <c r="P4979" s="4">
        <f t="shared" ca="1" si="419"/>
        <v>-0.65883428313480452</v>
      </c>
      <c r="Q4979" s="4">
        <f t="shared" ca="1" si="420"/>
        <v>1943.2236395199054</v>
      </c>
      <c r="R4979" s="4">
        <f t="shared" ca="1" si="421"/>
        <v>19.553595519905457</v>
      </c>
      <c r="S4979" s="4">
        <f t="shared" ca="1" si="422"/>
        <v>10.053861686562804</v>
      </c>
    </row>
    <row r="4980" spans="15:19" x14ac:dyDescent="0.2">
      <c r="O4980" s="4">
        <f t="shared" ca="1" si="418"/>
        <v>7.7599743429810464E-2</v>
      </c>
      <c r="P4980" s="4">
        <f t="shared" ca="1" si="419"/>
        <v>-1.4214035093145851</v>
      </c>
      <c r="Q4980" s="4">
        <f t="shared" ca="1" si="420"/>
        <v>1966.3256403697139</v>
      </c>
      <c r="R4980" s="4">
        <f t="shared" ca="1" si="421"/>
        <v>42.655596369713976</v>
      </c>
      <c r="S4980" s="4">
        <f t="shared" ca="1" si="422"/>
        <v>22.333343106068085</v>
      </c>
    </row>
    <row r="4981" spans="15:19" x14ac:dyDescent="0.2">
      <c r="O4981" s="4">
        <f t="shared" ca="1" si="418"/>
        <v>0.68362074251665816</v>
      </c>
      <c r="P4981" s="4">
        <f t="shared" ca="1" si="419"/>
        <v>0.47784783068593245</v>
      </c>
      <c r="Q4981" s="4">
        <f t="shared" ca="1" si="420"/>
        <v>1908.7879053492507</v>
      </c>
      <c r="R4981" s="4">
        <f t="shared" ca="1" si="421"/>
        <v>-14.882138650749312</v>
      </c>
      <c r="S4981" s="4">
        <f t="shared" ca="1" si="422"/>
        <v>-7.4433274554864495</v>
      </c>
    </row>
    <row r="4982" spans="15:19" x14ac:dyDescent="0.2">
      <c r="O4982" s="4">
        <f t="shared" ca="1" si="418"/>
        <v>0.31912767991526714</v>
      </c>
      <c r="P4982" s="4">
        <f t="shared" ca="1" si="419"/>
        <v>-0.47013949319206799</v>
      </c>
      <c r="Q4982" s="4">
        <f t="shared" ca="1" si="420"/>
        <v>1937.5071392364491</v>
      </c>
      <c r="R4982" s="4">
        <f t="shared" ca="1" si="421"/>
        <v>13.837095236449159</v>
      </c>
      <c r="S4982" s="4">
        <f t="shared" ca="1" si="422"/>
        <v>7.0824127343140564</v>
      </c>
    </row>
    <row r="4983" spans="15:19" x14ac:dyDescent="0.2">
      <c r="O4983" s="4">
        <f t="shared" ca="1" si="418"/>
        <v>0.53163242041695924</v>
      </c>
      <c r="P4983" s="4">
        <f t="shared" ca="1" si="419"/>
        <v>7.9373986431367421E-2</v>
      </c>
      <c r="Q4983" s="4">
        <f t="shared" ca="1" si="420"/>
        <v>1920.8596527691041</v>
      </c>
      <c r="R4983" s="4">
        <f t="shared" ca="1" si="421"/>
        <v>-2.8103912308959025</v>
      </c>
      <c r="S4983" s="4">
        <f t="shared" ca="1" si="422"/>
        <v>-1.4194324141900043</v>
      </c>
    </row>
    <row r="4984" spans="15:19" x14ac:dyDescent="0.2">
      <c r="O4984" s="4">
        <f t="shared" ca="1" si="418"/>
        <v>0.13157281363321838</v>
      </c>
      <c r="P4984" s="4">
        <f t="shared" ca="1" si="419"/>
        <v>-1.1189871355099206</v>
      </c>
      <c r="Q4984" s="4">
        <f t="shared" ca="1" si="420"/>
        <v>1957.1639497522849</v>
      </c>
      <c r="R4984" s="4">
        <f t="shared" ca="1" si="421"/>
        <v>33.493905752284945</v>
      </c>
      <c r="S4984" s="4">
        <f t="shared" ca="1" si="422"/>
        <v>17.411610402835421</v>
      </c>
    </row>
    <row r="4985" spans="15:19" x14ac:dyDescent="0.2">
      <c r="O4985" s="4">
        <f t="shared" ca="1" si="418"/>
        <v>0.17499973523164458</v>
      </c>
      <c r="P4985" s="4">
        <f t="shared" ca="1" si="419"/>
        <v>-0.93459031820256966</v>
      </c>
      <c r="Q4985" s="4">
        <f t="shared" ca="1" si="420"/>
        <v>1951.5776563589923</v>
      </c>
      <c r="R4985" s="4">
        <f t="shared" ca="1" si="421"/>
        <v>27.90761235899231</v>
      </c>
      <c r="S4985" s="4">
        <f t="shared" ca="1" si="422"/>
        <v>14.444146418781893</v>
      </c>
    </row>
    <row r="4986" spans="15:19" x14ac:dyDescent="0.2">
      <c r="O4986" s="4">
        <f t="shared" ca="1" si="418"/>
        <v>0.24292563484394092</v>
      </c>
      <c r="P4986" s="4">
        <f t="shared" ca="1" si="419"/>
        <v>-0.69692254205163651</v>
      </c>
      <c r="Q4986" s="4">
        <f t="shared" ca="1" si="420"/>
        <v>1944.3775216327103</v>
      </c>
      <c r="R4986" s="4">
        <f t="shared" ca="1" si="421"/>
        <v>20.707477632710379</v>
      </c>
      <c r="S4986" s="4">
        <f t="shared" ca="1" si="422"/>
        <v>10.656879138804594</v>
      </c>
    </row>
    <row r="4987" spans="15:19" x14ac:dyDescent="0.2">
      <c r="O4987" s="4">
        <f t="shared" ca="1" si="418"/>
        <v>0.83453726016148333</v>
      </c>
      <c r="P4987" s="4">
        <f t="shared" ca="1" si="419"/>
        <v>0.97225143140225501</v>
      </c>
      <c r="Q4987" s="4">
        <f t="shared" ca="1" si="420"/>
        <v>1893.8099702165732</v>
      </c>
      <c r="R4987" s="4">
        <f t="shared" ca="1" si="421"/>
        <v>-29.860073783426742</v>
      </c>
      <c r="S4987" s="4">
        <f t="shared" ca="1" si="422"/>
        <v>-14.752509131860979</v>
      </c>
    </row>
    <row r="4988" spans="15:19" x14ac:dyDescent="0.2">
      <c r="O4988" s="4">
        <f t="shared" ca="1" si="418"/>
        <v>0.12571953190307883</v>
      </c>
      <c r="P4988" s="4">
        <f t="shared" ca="1" si="419"/>
        <v>-1.1468610231620349</v>
      </c>
      <c r="Q4988" s="4">
        <f t="shared" ca="1" si="420"/>
        <v>1958.0083879411332</v>
      </c>
      <c r="R4988" s="4">
        <f t="shared" ca="1" si="421"/>
        <v>34.338343941133189</v>
      </c>
      <c r="S4988" s="4">
        <f t="shared" ca="1" si="422"/>
        <v>17.862390268307536</v>
      </c>
    </row>
    <row r="4989" spans="15:19" x14ac:dyDescent="0.2">
      <c r="O4989" s="4">
        <f t="shared" ca="1" si="418"/>
        <v>0.48326240489364081</v>
      </c>
      <c r="P4989" s="4">
        <f t="shared" ca="1" si="419"/>
        <v>-4.1967245021681414E-2</v>
      </c>
      <c r="Q4989" s="4">
        <f t="shared" ca="1" si="420"/>
        <v>1924.5356799885453</v>
      </c>
      <c r="R4989" s="4">
        <f t="shared" ca="1" si="421"/>
        <v>0.86563598854536394</v>
      </c>
      <c r="S4989" s="4">
        <f t="shared" ca="1" si="422"/>
        <v>0.43849844364246215</v>
      </c>
    </row>
    <row r="4990" spans="15:19" x14ac:dyDescent="0.2">
      <c r="O4990" s="4">
        <f t="shared" ca="1" si="418"/>
        <v>0.81679510619967077</v>
      </c>
      <c r="P4990" s="4">
        <f t="shared" ca="1" si="419"/>
        <v>0.90321878941926892</v>
      </c>
      <c r="Q4990" s="4">
        <f t="shared" ca="1" si="420"/>
        <v>1895.9013110404678</v>
      </c>
      <c r="R4990" s="4">
        <f t="shared" ca="1" si="421"/>
        <v>-27.768732959532144</v>
      </c>
      <c r="S4990" s="4">
        <f t="shared" ca="1" si="422"/>
        <v>-13.742912506310006</v>
      </c>
    </row>
    <row r="4991" spans="15:19" x14ac:dyDescent="0.2">
      <c r="O4991" s="4">
        <f t="shared" ca="1" si="418"/>
        <v>0.23822553712997829</v>
      </c>
      <c r="P4991" s="4">
        <f t="shared" ca="1" si="419"/>
        <v>-0.71202212693418809</v>
      </c>
      <c r="Q4991" s="4">
        <f t="shared" ca="1" si="420"/>
        <v>1944.8349628863209</v>
      </c>
      <c r="R4991" s="4">
        <f t="shared" ca="1" si="421"/>
        <v>21.164918886320947</v>
      </c>
      <c r="S4991" s="4">
        <f t="shared" ca="1" si="422"/>
        <v>10.896237451689961</v>
      </c>
    </row>
    <row r="4992" spans="15:19" x14ac:dyDescent="0.2">
      <c r="O4992" s="4">
        <f t="shared" ca="1" si="418"/>
        <v>0.40998766536938658</v>
      </c>
      <c r="P4992" s="4">
        <f t="shared" ca="1" si="419"/>
        <v>-0.22757670596528268</v>
      </c>
      <c r="Q4992" s="4">
        <f t="shared" ca="1" si="420"/>
        <v>1930.1587103669583</v>
      </c>
      <c r="R4992" s="4">
        <f t="shared" ca="1" si="421"/>
        <v>6.4886663669583413</v>
      </c>
      <c r="S4992" s="4">
        <f t="shared" ca="1" si="422"/>
        <v>3.3017652214516291</v>
      </c>
    </row>
    <row r="4993" spans="15:19" x14ac:dyDescent="0.2">
      <c r="O4993" s="4">
        <f t="shared" ca="1" si="418"/>
        <v>0.84982010784612982</v>
      </c>
      <c r="P4993" s="4">
        <f t="shared" ca="1" si="419"/>
        <v>1.0356621541666096</v>
      </c>
      <c r="Q4993" s="4">
        <f t="shared" ca="1" si="420"/>
        <v>1891.8889451857995</v>
      </c>
      <c r="R4993" s="4">
        <f t="shared" ca="1" si="421"/>
        <v>-31.781098814200504</v>
      </c>
      <c r="S4993" s="4">
        <f t="shared" ca="1" si="422"/>
        <v>-15.676748027542224</v>
      </c>
    </row>
    <row r="4994" spans="15:19" x14ac:dyDescent="0.2">
      <c r="O4994" s="4">
        <f t="shared" ca="1" si="418"/>
        <v>0.41353505294329518</v>
      </c>
      <c r="P4994" s="4">
        <f t="shared" ca="1" si="419"/>
        <v>-0.21846078955009951</v>
      </c>
      <c r="Q4994" s="4">
        <f t="shared" ca="1" si="420"/>
        <v>1929.8825440838978</v>
      </c>
      <c r="R4994" s="4">
        <f t="shared" ca="1" si="421"/>
        <v>6.212500083897794</v>
      </c>
      <c r="S4994" s="4">
        <f t="shared" ca="1" si="422"/>
        <v>3.1605392941160133</v>
      </c>
    </row>
    <row r="4995" spans="15:19" x14ac:dyDescent="0.2">
      <c r="O4995" s="4">
        <f t="shared" ref="O4995:O5001" ca="1" si="423">RAND()</f>
        <v>2.712608130884353E-2</v>
      </c>
      <c r="P4995" s="4">
        <f t="shared" ref="P4995:P5001" ca="1" si="424">NORMSINV(O4995)</f>
        <v>-1.9248177497370211</v>
      </c>
      <c r="Q4995" s="4">
        <f t="shared" ref="Q4995:Q5001" ca="1" si="425">$B$4*(1+$B$17-$B$6/SQRT(252)*P4995)</f>
        <v>1981.5765524322248</v>
      </c>
      <c r="R4995" s="4">
        <f t="shared" ref="R4995:R5001" ca="1" si="426">Q4995-$B$4</f>
        <v>57.906508432224882</v>
      </c>
      <c r="S4995" s="4">
        <f t="shared" ref="S4995:S5001" ca="1" si="427">R4995*$B$12+0.5*$B$13*R4995^2</f>
        <v>30.677811515934518</v>
      </c>
    </row>
    <row r="4996" spans="15:19" x14ac:dyDescent="0.2">
      <c r="O4996" s="4">
        <f t="shared" ca="1" si="423"/>
        <v>0.20424160399019664</v>
      </c>
      <c r="P4996" s="4">
        <f t="shared" ca="1" si="424"/>
        <v>-0.82656580088389664</v>
      </c>
      <c r="Q4996" s="4">
        <f t="shared" ca="1" si="425"/>
        <v>1948.3050584030032</v>
      </c>
      <c r="R4996" s="4">
        <f t="shared" ca="1" si="426"/>
        <v>24.635014403003197</v>
      </c>
      <c r="S4996" s="4">
        <f t="shared" ca="1" si="427"/>
        <v>12.717529361818267</v>
      </c>
    </row>
    <row r="4997" spans="15:19" x14ac:dyDescent="0.2">
      <c r="O4997" s="4">
        <f t="shared" ca="1" si="423"/>
        <v>8.8349330585904884E-2</v>
      </c>
      <c r="P4997" s="4">
        <f t="shared" ca="1" si="424"/>
        <v>-1.3509899215858636</v>
      </c>
      <c r="Q4997" s="4">
        <f t="shared" ca="1" si="425"/>
        <v>1964.1924638557646</v>
      </c>
      <c r="R4997" s="4">
        <f t="shared" ca="1" si="426"/>
        <v>40.52241985576461</v>
      </c>
      <c r="S4997" s="4">
        <f t="shared" ca="1" si="427"/>
        <v>21.181280587477946</v>
      </c>
    </row>
    <row r="4998" spans="15:19" x14ac:dyDescent="0.2">
      <c r="O4998" s="4">
        <f t="shared" ca="1" si="423"/>
        <v>1.257721245831267E-2</v>
      </c>
      <c r="P4998" s="4">
        <f t="shared" ca="1" si="424"/>
        <v>-2.2390229194568163</v>
      </c>
      <c r="Q4998" s="4">
        <f t="shared" ca="1" si="425"/>
        <v>1991.0953840984919</v>
      </c>
      <c r="R4998" s="4">
        <f t="shared" ca="1" si="426"/>
        <v>67.425340098491915</v>
      </c>
      <c r="S4998" s="4">
        <f t="shared" ca="1" si="427"/>
        <v>35.981976125451041</v>
      </c>
    </row>
    <row r="4999" spans="15:19" x14ac:dyDescent="0.2">
      <c r="O4999" s="4">
        <f t="shared" ca="1" si="423"/>
        <v>0.95683674593261792</v>
      </c>
      <c r="P4999" s="4">
        <f t="shared" ca="1" si="424"/>
        <v>1.7151021068143009</v>
      </c>
      <c r="Q4999" s="4">
        <f t="shared" ca="1" si="425"/>
        <v>1871.3053419867895</v>
      </c>
      <c r="R4999" s="4">
        <f t="shared" ca="1" si="426"/>
        <v>-52.36470201321049</v>
      </c>
      <c r="S4999" s="4">
        <f t="shared" ca="1" si="427"/>
        <v>-25.391316004252214</v>
      </c>
    </row>
    <row r="5000" spans="15:19" x14ac:dyDescent="0.2">
      <c r="O5000" s="4">
        <f t="shared" ca="1" si="423"/>
        <v>4.8422890819979081E-2</v>
      </c>
      <c r="P5000" s="4">
        <f t="shared" ca="1" si="424"/>
        <v>-1.6603414496381823</v>
      </c>
      <c r="Q5000" s="4">
        <f t="shared" ca="1" si="425"/>
        <v>1973.5642546632125</v>
      </c>
      <c r="R5000" s="4">
        <f t="shared" ca="1" si="426"/>
        <v>49.894210663212561</v>
      </c>
      <c r="S5000" s="4">
        <f t="shared" ca="1" si="427"/>
        <v>26.270309408448991</v>
      </c>
    </row>
    <row r="5001" spans="15:19" x14ac:dyDescent="0.2">
      <c r="O5001" s="4">
        <f t="shared" ca="1" si="423"/>
        <v>0.14007254236332078</v>
      </c>
      <c r="P5001" s="4">
        <f t="shared" ca="1" si="424"/>
        <v>-1.0799934774461455</v>
      </c>
      <c r="Q5001" s="4">
        <f t="shared" ca="1" si="425"/>
        <v>1955.9826386125221</v>
      </c>
      <c r="R5001" s="4">
        <f t="shared" ca="1" si="426"/>
        <v>32.312594612522162</v>
      </c>
      <c r="S5001" s="4">
        <f t="shared" ca="1" si="427"/>
        <v>16.78197440514645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Wells Fargo &amp; Co.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DeMeo, Roy E.</dc:creator>
  <cp:lastModifiedBy>Microsoft Office User</cp:lastModifiedBy>
  <dcterms:created xsi:type="dcterms:W3CDTF">2016-01-12T19:39:59Z</dcterms:created>
  <dcterms:modified xsi:type="dcterms:W3CDTF">2018-01-16T13:18:58Z</dcterms:modified>
</cp:coreProperties>
</file>