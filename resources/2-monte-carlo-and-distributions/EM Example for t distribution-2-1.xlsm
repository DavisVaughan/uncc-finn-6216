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emeo\Downloads\"/>
    </mc:Choice>
  </mc:AlternateContent>
  <bookViews>
    <workbookView xWindow="0" yWindow="0" windowWidth="15360" windowHeight="7155"/>
  </bookViews>
  <sheets>
    <sheet name="EM Algorithm" sheetId="1" r:id="rId1"/>
  </sheets>
  <functionGroups builtInGroupCount="18"/>
  <definedNames>
    <definedName name="solver_adj" localSheetId="0" hidden="1">'EM Algorithm'!$B$43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'EM Algorithm'!$B$44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5" i="1" l="1"/>
  <c r="AO9" i="1"/>
  <c r="AO10" i="1"/>
  <c r="AN17" i="1"/>
  <c r="AO17" i="1"/>
  <c r="AO18" i="1"/>
  <c r="AO19" i="1"/>
  <c r="AN33" i="1"/>
  <c r="AN41" i="1"/>
  <c r="AO41" i="1"/>
  <c r="AO42" i="1"/>
  <c r="AO43" i="1"/>
  <c r="AO49" i="1"/>
  <c r="AO50" i="1"/>
  <c r="AO51" i="1"/>
  <c r="AO57" i="1"/>
  <c r="AO58" i="1"/>
  <c r="AN73" i="1"/>
  <c r="AN81" i="1"/>
  <c r="AO81" i="1"/>
  <c r="AO82" i="1"/>
  <c r="AN89" i="1"/>
  <c r="AN105" i="1"/>
  <c r="AO105" i="1"/>
  <c r="AO106" i="1"/>
  <c r="AN112" i="1"/>
  <c r="AN121" i="1"/>
  <c r="AO121" i="1"/>
  <c r="AO122" i="1"/>
  <c r="AO123" i="1"/>
  <c r="AO129" i="1"/>
  <c r="AO138" i="1"/>
  <c r="AO139" i="1"/>
  <c r="AN140" i="1"/>
  <c r="AN145" i="1"/>
  <c r="AO161" i="1"/>
  <c r="AN169" i="1"/>
  <c r="AO169" i="1"/>
  <c r="AO170" i="1"/>
  <c r="AN176" i="1"/>
  <c r="AN185" i="1"/>
  <c r="AO185" i="1"/>
  <c r="AO186" i="1"/>
  <c r="AO187" i="1"/>
  <c r="AN188" i="1"/>
  <c r="AN209" i="1"/>
  <c r="AO209" i="1"/>
  <c r="AN217" i="1"/>
  <c r="AN225" i="1"/>
  <c r="AO225" i="1"/>
  <c r="AO226" i="1"/>
  <c r="AO227" i="1"/>
  <c r="AN233" i="1"/>
  <c r="AO233" i="1"/>
  <c r="AN241" i="1"/>
  <c r="AO241" i="1"/>
  <c r="AO242" i="1"/>
  <c r="AN248" i="1"/>
  <c r="AN249" i="1"/>
  <c r="AM3" i="1"/>
  <c r="AN3" i="1" s="1"/>
  <c r="AM4" i="1"/>
  <c r="AO4" i="1" s="1"/>
  <c r="AM5" i="1"/>
  <c r="AN5" i="1" s="1"/>
  <c r="AM6" i="1"/>
  <c r="AN6" i="1" s="1"/>
  <c r="AM7" i="1"/>
  <c r="AN7" i="1" s="1"/>
  <c r="AM8" i="1"/>
  <c r="AO8" i="1" s="1"/>
  <c r="AM9" i="1"/>
  <c r="AN9" i="1" s="1"/>
  <c r="AM10" i="1"/>
  <c r="AN10" i="1" s="1"/>
  <c r="AM11" i="1"/>
  <c r="AN11" i="1" s="1"/>
  <c r="AM12" i="1"/>
  <c r="AO12" i="1" s="1"/>
  <c r="AM13" i="1"/>
  <c r="AN13" i="1" s="1"/>
  <c r="AM14" i="1"/>
  <c r="AN14" i="1" s="1"/>
  <c r="AM15" i="1"/>
  <c r="AN15" i="1" s="1"/>
  <c r="AM16" i="1"/>
  <c r="AO16" i="1" s="1"/>
  <c r="AM17" i="1"/>
  <c r="AM18" i="1"/>
  <c r="AN18" i="1" s="1"/>
  <c r="AM19" i="1"/>
  <c r="AN19" i="1" s="1"/>
  <c r="AM20" i="1"/>
  <c r="AO20" i="1" s="1"/>
  <c r="AM21" i="1"/>
  <c r="AN21" i="1" s="1"/>
  <c r="AM22" i="1"/>
  <c r="AN22" i="1" s="1"/>
  <c r="AM23" i="1"/>
  <c r="AN23" i="1" s="1"/>
  <c r="AM24" i="1"/>
  <c r="AO24" i="1" s="1"/>
  <c r="AM25" i="1"/>
  <c r="AN25" i="1" s="1"/>
  <c r="AM26" i="1"/>
  <c r="AN26" i="1" s="1"/>
  <c r="AM27" i="1"/>
  <c r="AN27" i="1" s="1"/>
  <c r="AM28" i="1"/>
  <c r="AO28" i="1" s="1"/>
  <c r="AM29" i="1"/>
  <c r="AN29" i="1" s="1"/>
  <c r="AM30" i="1"/>
  <c r="AN30" i="1" s="1"/>
  <c r="AM31" i="1"/>
  <c r="AN31" i="1" s="1"/>
  <c r="AM32" i="1"/>
  <c r="AO32" i="1" s="1"/>
  <c r="AM33" i="1"/>
  <c r="AO33" i="1" s="1"/>
  <c r="AM34" i="1"/>
  <c r="AN34" i="1" s="1"/>
  <c r="AM35" i="1"/>
  <c r="AN35" i="1" s="1"/>
  <c r="AM36" i="1"/>
  <c r="AO36" i="1" s="1"/>
  <c r="AM37" i="1"/>
  <c r="AN37" i="1" s="1"/>
  <c r="AM38" i="1"/>
  <c r="AN38" i="1" s="1"/>
  <c r="AM39" i="1"/>
  <c r="AN39" i="1" s="1"/>
  <c r="AM40" i="1"/>
  <c r="AO40" i="1" s="1"/>
  <c r="AM41" i="1"/>
  <c r="AM42" i="1"/>
  <c r="AN42" i="1" s="1"/>
  <c r="AM43" i="1"/>
  <c r="AN43" i="1" s="1"/>
  <c r="AM44" i="1"/>
  <c r="AO44" i="1" s="1"/>
  <c r="AM45" i="1"/>
  <c r="AN45" i="1" s="1"/>
  <c r="AM46" i="1"/>
  <c r="AN46" i="1" s="1"/>
  <c r="AM47" i="1"/>
  <c r="AN47" i="1" s="1"/>
  <c r="AM48" i="1"/>
  <c r="AO48" i="1" s="1"/>
  <c r="AM49" i="1"/>
  <c r="AN49" i="1" s="1"/>
  <c r="AM50" i="1"/>
  <c r="AN50" i="1" s="1"/>
  <c r="AM51" i="1"/>
  <c r="AN51" i="1" s="1"/>
  <c r="AM52" i="1"/>
  <c r="AO52" i="1" s="1"/>
  <c r="AM53" i="1"/>
  <c r="AN53" i="1" s="1"/>
  <c r="AM54" i="1"/>
  <c r="AN54" i="1" s="1"/>
  <c r="AM55" i="1"/>
  <c r="AN55" i="1" s="1"/>
  <c r="AM56" i="1"/>
  <c r="AO56" i="1" s="1"/>
  <c r="AM57" i="1"/>
  <c r="AN57" i="1" s="1"/>
  <c r="AM58" i="1"/>
  <c r="AN58" i="1" s="1"/>
  <c r="AM59" i="1"/>
  <c r="AN59" i="1" s="1"/>
  <c r="AM60" i="1"/>
  <c r="AO60" i="1" s="1"/>
  <c r="AM61" i="1"/>
  <c r="AN61" i="1" s="1"/>
  <c r="AM62" i="1"/>
  <c r="AN62" i="1" s="1"/>
  <c r="AM63" i="1"/>
  <c r="AN63" i="1" s="1"/>
  <c r="AM64" i="1"/>
  <c r="AO64" i="1" s="1"/>
  <c r="AM65" i="1"/>
  <c r="AN65" i="1" s="1"/>
  <c r="AM66" i="1"/>
  <c r="AN66" i="1" s="1"/>
  <c r="AM67" i="1"/>
  <c r="AN67" i="1" s="1"/>
  <c r="AM68" i="1"/>
  <c r="AO68" i="1" s="1"/>
  <c r="AM69" i="1"/>
  <c r="AN69" i="1" s="1"/>
  <c r="AM70" i="1"/>
  <c r="AN70" i="1" s="1"/>
  <c r="AM71" i="1"/>
  <c r="AN71" i="1" s="1"/>
  <c r="AM72" i="1"/>
  <c r="AO72" i="1" s="1"/>
  <c r="AM73" i="1"/>
  <c r="AO73" i="1" s="1"/>
  <c r="AM74" i="1"/>
  <c r="AN74" i="1" s="1"/>
  <c r="AM75" i="1"/>
  <c r="AN75" i="1" s="1"/>
  <c r="AM76" i="1"/>
  <c r="AO76" i="1" s="1"/>
  <c r="AM77" i="1"/>
  <c r="AN77" i="1" s="1"/>
  <c r="AM78" i="1"/>
  <c r="AN78" i="1" s="1"/>
  <c r="AM79" i="1"/>
  <c r="AN79" i="1" s="1"/>
  <c r="AM80" i="1"/>
  <c r="AO80" i="1" s="1"/>
  <c r="AM81" i="1"/>
  <c r="AM82" i="1"/>
  <c r="AN82" i="1" s="1"/>
  <c r="AM83" i="1"/>
  <c r="AN83" i="1" s="1"/>
  <c r="AM84" i="1"/>
  <c r="AO84" i="1" s="1"/>
  <c r="AM85" i="1"/>
  <c r="AN85" i="1" s="1"/>
  <c r="AM86" i="1"/>
  <c r="AN86" i="1" s="1"/>
  <c r="AM87" i="1"/>
  <c r="AN87" i="1" s="1"/>
  <c r="AM88" i="1"/>
  <c r="AO88" i="1" s="1"/>
  <c r="AM89" i="1"/>
  <c r="AO89" i="1" s="1"/>
  <c r="AM90" i="1"/>
  <c r="AN90" i="1" s="1"/>
  <c r="AM91" i="1"/>
  <c r="AN91" i="1" s="1"/>
  <c r="AM92" i="1"/>
  <c r="AO92" i="1" s="1"/>
  <c r="AM93" i="1"/>
  <c r="AN93" i="1" s="1"/>
  <c r="AM94" i="1"/>
  <c r="AN94" i="1" s="1"/>
  <c r="AM95" i="1"/>
  <c r="AN95" i="1" s="1"/>
  <c r="AM96" i="1"/>
  <c r="AO96" i="1" s="1"/>
  <c r="AM97" i="1"/>
  <c r="AN97" i="1" s="1"/>
  <c r="AM98" i="1"/>
  <c r="AN98" i="1" s="1"/>
  <c r="AM99" i="1"/>
  <c r="AN99" i="1" s="1"/>
  <c r="AM100" i="1"/>
  <c r="AO100" i="1" s="1"/>
  <c r="AM101" i="1"/>
  <c r="AN101" i="1" s="1"/>
  <c r="AM102" i="1"/>
  <c r="AN102" i="1" s="1"/>
  <c r="AM103" i="1"/>
  <c r="AN103" i="1" s="1"/>
  <c r="AM104" i="1"/>
  <c r="AO104" i="1" s="1"/>
  <c r="AM105" i="1"/>
  <c r="AM106" i="1"/>
  <c r="AN106" i="1" s="1"/>
  <c r="AM107" i="1"/>
  <c r="AN107" i="1" s="1"/>
  <c r="AM108" i="1"/>
  <c r="AO108" i="1" s="1"/>
  <c r="AM109" i="1"/>
  <c r="AN109" i="1" s="1"/>
  <c r="AM110" i="1"/>
  <c r="AN110" i="1" s="1"/>
  <c r="AM111" i="1"/>
  <c r="AN111" i="1" s="1"/>
  <c r="AM112" i="1"/>
  <c r="AO112" i="1" s="1"/>
  <c r="AM113" i="1"/>
  <c r="AN113" i="1" s="1"/>
  <c r="AM114" i="1"/>
  <c r="AN114" i="1" s="1"/>
  <c r="AM115" i="1"/>
  <c r="AN115" i="1" s="1"/>
  <c r="AM116" i="1"/>
  <c r="AO116" i="1" s="1"/>
  <c r="AM117" i="1"/>
  <c r="AN117" i="1" s="1"/>
  <c r="AM118" i="1"/>
  <c r="AN118" i="1" s="1"/>
  <c r="AM119" i="1"/>
  <c r="AN119" i="1" s="1"/>
  <c r="AM120" i="1"/>
  <c r="AO120" i="1" s="1"/>
  <c r="AM121" i="1"/>
  <c r="AM122" i="1"/>
  <c r="AN122" i="1" s="1"/>
  <c r="AM123" i="1"/>
  <c r="AN123" i="1" s="1"/>
  <c r="AM124" i="1"/>
  <c r="AO124" i="1" s="1"/>
  <c r="AM125" i="1"/>
  <c r="AN125" i="1" s="1"/>
  <c r="AM126" i="1"/>
  <c r="AN126" i="1" s="1"/>
  <c r="AM127" i="1"/>
  <c r="AN127" i="1" s="1"/>
  <c r="AM128" i="1"/>
  <c r="AO128" i="1" s="1"/>
  <c r="AM129" i="1"/>
  <c r="AN129" i="1" s="1"/>
  <c r="AM130" i="1"/>
  <c r="AN130" i="1" s="1"/>
  <c r="AM131" i="1"/>
  <c r="AN131" i="1" s="1"/>
  <c r="AM132" i="1"/>
  <c r="AO132" i="1" s="1"/>
  <c r="AM133" i="1"/>
  <c r="AN133" i="1" s="1"/>
  <c r="AM134" i="1"/>
  <c r="AN134" i="1" s="1"/>
  <c r="AM135" i="1"/>
  <c r="AN135" i="1" s="1"/>
  <c r="AM136" i="1"/>
  <c r="AO136" i="1" s="1"/>
  <c r="AM137" i="1"/>
  <c r="AN137" i="1" s="1"/>
  <c r="AM138" i="1"/>
  <c r="AN138" i="1" s="1"/>
  <c r="AM139" i="1"/>
  <c r="AN139" i="1" s="1"/>
  <c r="AM140" i="1"/>
  <c r="AO140" i="1" s="1"/>
  <c r="AM141" i="1"/>
  <c r="AN141" i="1" s="1"/>
  <c r="AM142" i="1"/>
  <c r="AN142" i="1" s="1"/>
  <c r="AM143" i="1"/>
  <c r="AN143" i="1" s="1"/>
  <c r="AM144" i="1"/>
  <c r="AO144" i="1" s="1"/>
  <c r="AM145" i="1"/>
  <c r="AO145" i="1" s="1"/>
  <c r="AM146" i="1"/>
  <c r="AN146" i="1" s="1"/>
  <c r="AM147" i="1"/>
  <c r="AN147" i="1" s="1"/>
  <c r="AM148" i="1"/>
  <c r="AO148" i="1" s="1"/>
  <c r="AM149" i="1"/>
  <c r="AN149" i="1" s="1"/>
  <c r="AM150" i="1"/>
  <c r="AN150" i="1" s="1"/>
  <c r="AM151" i="1"/>
  <c r="AN151" i="1" s="1"/>
  <c r="AM152" i="1"/>
  <c r="AO152" i="1" s="1"/>
  <c r="AM153" i="1"/>
  <c r="AN153" i="1" s="1"/>
  <c r="AM154" i="1"/>
  <c r="AN154" i="1" s="1"/>
  <c r="AM155" i="1"/>
  <c r="AN155" i="1" s="1"/>
  <c r="AM156" i="1"/>
  <c r="AO156" i="1" s="1"/>
  <c r="AM157" i="1"/>
  <c r="AN157" i="1" s="1"/>
  <c r="AM158" i="1"/>
  <c r="AN158" i="1" s="1"/>
  <c r="AM159" i="1"/>
  <c r="AN159" i="1" s="1"/>
  <c r="AM160" i="1"/>
  <c r="AO160" i="1" s="1"/>
  <c r="AM161" i="1"/>
  <c r="AN161" i="1" s="1"/>
  <c r="AM162" i="1"/>
  <c r="AN162" i="1" s="1"/>
  <c r="AM163" i="1"/>
  <c r="AN163" i="1" s="1"/>
  <c r="AM164" i="1"/>
  <c r="AO164" i="1" s="1"/>
  <c r="AM165" i="1"/>
  <c r="AN165" i="1" s="1"/>
  <c r="AM166" i="1"/>
  <c r="AN166" i="1" s="1"/>
  <c r="AM167" i="1"/>
  <c r="AN167" i="1" s="1"/>
  <c r="AM168" i="1"/>
  <c r="AO168" i="1" s="1"/>
  <c r="AM169" i="1"/>
  <c r="AM170" i="1"/>
  <c r="AN170" i="1" s="1"/>
  <c r="AM171" i="1"/>
  <c r="AN171" i="1" s="1"/>
  <c r="AM172" i="1"/>
  <c r="AO172" i="1" s="1"/>
  <c r="AM173" i="1"/>
  <c r="AN173" i="1" s="1"/>
  <c r="AM174" i="1"/>
  <c r="AN174" i="1" s="1"/>
  <c r="AM175" i="1"/>
  <c r="AN175" i="1" s="1"/>
  <c r="AM176" i="1"/>
  <c r="AO176" i="1" s="1"/>
  <c r="AM177" i="1"/>
  <c r="AN177" i="1" s="1"/>
  <c r="AM178" i="1"/>
  <c r="AN178" i="1" s="1"/>
  <c r="AM179" i="1"/>
  <c r="AN179" i="1" s="1"/>
  <c r="AM180" i="1"/>
  <c r="AO180" i="1" s="1"/>
  <c r="AM181" i="1"/>
  <c r="AN181" i="1" s="1"/>
  <c r="AM182" i="1"/>
  <c r="AN182" i="1" s="1"/>
  <c r="AM183" i="1"/>
  <c r="AN183" i="1" s="1"/>
  <c r="AM184" i="1"/>
  <c r="AO184" i="1" s="1"/>
  <c r="AM185" i="1"/>
  <c r="AM186" i="1"/>
  <c r="AN186" i="1" s="1"/>
  <c r="AM187" i="1"/>
  <c r="AN187" i="1" s="1"/>
  <c r="AM188" i="1"/>
  <c r="AO188" i="1" s="1"/>
  <c r="AM189" i="1"/>
  <c r="AO189" i="1" s="1"/>
  <c r="AM190" i="1"/>
  <c r="AN190" i="1" s="1"/>
  <c r="AM191" i="1"/>
  <c r="AN191" i="1" s="1"/>
  <c r="AM192" i="1"/>
  <c r="AO192" i="1" s="1"/>
  <c r="AM193" i="1"/>
  <c r="AN193" i="1" s="1"/>
  <c r="AM194" i="1"/>
  <c r="AN194" i="1" s="1"/>
  <c r="AM195" i="1"/>
  <c r="AN195" i="1" s="1"/>
  <c r="AM196" i="1"/>
  <c r="AO196" i="1" s="1"/>
  <c r="AM197" i="1"/>
  <c r="AN197" i="1" s="1"/>
  <c r="AM198" i="1"/>
  <c r="AN198" i="1" s="1"/>
  <c r="AM199" i="1"/>
  <c r="AN199" i="1" s="1"/>
  <c r="AM200" i="1"/>
  <c r="AO200" i="1" s="1"/>
  <c r="AM201" i="1"/>
  <c r="AN201" i="1" s="1"/>
  <c r="AM202" i="1"/>
  <c r="AN202" i="1" s="1"/>
  <c r="AM203" i="1"/>
  <c r="AN203" i="1" s="1"/>
  <c r="AM204" i="1"/>
  <c r="AO204" i="1" s="1"/>
  <c r="AM205" i="1"/>
  <c r="AN205" i="1" s="1"/>
  <c r="AM206" i="1"/>
  <c r="AO206" i="1" s="1"/>
  <c r="AM207" i="1"/>
  <c r="AN207" i="1" s="1"/>
  <c r="AM208" i="1"/>
  <c r="AO208" i="1" s="1"/>
  <c r="AM209" i="1"/>
  <c r="AM210" i="1"/>
  <c r="AN210" i="1" s="1"/>
  <c r="AM211" i="1"/>
  <c r="AN211" i="1" s="1"/>
  <c r="AM212" i="1"/>
  <c r="AO212" i="1" s="1"/>
  <c r="AM213" i="1"/>
  <c r="AN213" i="1" s="1"/>
  <c r="AM214" i="1"/>
  <c r="AO214" i="1" s="1"/>
  <c r="AM215" i="1"/>
  <c r="AN215" i="1" s="1"/>
  <c r="AM216" i="1"/>
  <c r="AO216" i="1" s="1"/>
  <c r="AM217" i="1"/>
  <c r="AO217" i="1" s="1"/>
  <c r="AM218" i="1"/>
  <c r="AN218" i="1" s="1"/>
  <c r="AM219" i="1"/>
  <c r="AN219" i="1" s="1"/>
  <c r="AM220" i="1"/>
  <c r="AO220" i="1" s="1"/>
  <c r="AM221" i="1"/>
  <c r="AN221" i="1" s="1"/>
  <c r="AM222" i="1"/>
  <c r="AO222" i="1" s="1"/>
  <c r="AM223" i="1"/>
  <c r="AN223" i="1" s="1"/>
  <c r="AM224" i="1"/>
  <c r="AO224" i="1" s="1"/>
  <c r="AM225" i="1"/>
  <c r="AM226" i="1"/>
  <c r="AN226" i="1" s="1"/>
  <c r="AM227" i="1"/>
  <c r="AN227" i="1" s="1"/>
  <c r="AM228" i="1"/>
  <c r="AO228" i="1" s="1"/>
  <c r="AM229" i="1"/>
  <c r="AN229" i="1" s="1"/>
  <c r="AM230" i="1"/>
  <c r="AN230" i="1" s="1"/>
  <c r="AM231" i="1"/>
  <c r="AN231" i="1" s="1"/>
  <c r="AM232" i="1"/>
  <c r="AO232" i="1" s="1"/>
  <c r="AM233" i="1"/>
  <c r="AM234" i="1"/>
  <c r="AN234" i="1" s="1"/>
  <c r="AM235" i="1"/>
  <c r="AN235" i="1" s="1"/>
  <c r="AM236" i="1"/>
  <c r="AO236" i="1" s="1"/>
  <c r="AM237" i="1"/>
  <c r="AO237" i="1" s="1"/>
  <c r="AM238" i="1"/>
  <c r="AN238" i="1" s="1"/>
  <c r="AM239" i="1"/>
  <c r="AN239" i="1" s="1"/>
  <c r="AM240" i="1"/>
  <c r="AO240" i="1" s="1"/>
  <c r="AM241" i="1"/>
  <c r="AM242" i="1"/>
  <c r="AN242" i="1" s="1"/>
  <c r="AM243" i="1"/>
  <c r="AN243" i="1" s="1"/>
  <c r="AM244" i="1"/>
  <c r="AO244" i="1" s="1"/>
  <c r="AM245" i="1"/>
  <c r="AO245" i="1" s="1"/>
  <c r="AM246" i="1"/>
  <c r="AN246" i="1" s="1"/>
  <c r="AM247" i="1"/>
  <c r="AN247" i="1" s="1"/>
  <c r="AM248" i="1"/>
  <c r="AO248" i="1" s="1"/>
  <c r="AM249" i="1"/>
  <c r="AO249" i="1" s="1"/>
  <c r="AM250" i="1"/>
  <c r="AN250" i="1" s="1"/>
  <c r="AM251" i="1"/>
  <c r="AN251" i="1" s="1"/>
  <c r="AM252" i="1"/>
  <c r="AO252" i="1" s="1"/>
  <c r="AM253" i="1"/>
  <c r="AO253" i="1" s="1"/>
  <c r="AM2" i="1"/>
  <c r="AO2" i="1" s="1"/>
  <c r="B73" i="1" a="1"/>
  <c r="C73" i="1" s="1"/>
  <c r="AH3" i="1"/>
  <c r="AI3" i="1"/>
  <c r="AH4" i="1"/>
  <c r="AI4" i="1"/>
  <c r="AH5" i="1"/>
  <c r="AI5" i="1"/>
  <c r="AH6" i="1"/>
  <c r="AI6" i="1"/>
  <c r="AH7" i="1"/>
  <c r="AI7" i="1"/>
  <c r="AH8" i="1"/>
  <c r="AI8" i="1"/>
  <c r="AH9" i="1"/>
  <c r="AI9" i="1"/>
  <c r="AH10" i="1"/>
  <c r="AI10" i="1"/>
  <c r="AH11" i="1"/>
  <c r="AI11" i="1"/>
  <c r="AH12" i="1"/>
  <c r="AI12" i="1"/>
  <c r="AH13" i="1"/>
  <c r="AI13" i="1"/>
  <c r="AH14" i="1"/>
  <c r="AI14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4" i="1"/>
  <c r="AI54" i="1"/>
  <c r="AH55" i="1"/>
  <c r="AI55" i="1"/>
  <c r="AH56" i="1"/>
  <c r="AI56" i="1"/>
  <c r="AH57" i="1"/>
  <c r="AI57" i="1"/>
  <c r="AH58" i="1"/>
  <c r="AI58" i="1"/>
  <c r="AH59" i="1"/>
  <c r="AI59" i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H122" i="1"/>
  <c r="AI122" i="1"/>
  <c r="AH123" i="1"/>
  <c r="AI123" i="1"/>
  <c r="AH124" i="1"/>
  <c r="AI124" i="1"/>
  <c r="AH125" i="1"/>
  <c r="AI125" i="1"/>
  <c r="AH126" i="1"/>
  <c r="AI126" i="1"/>
  <c r="AH127" i="1"/>
  <c r="AI127" i="1"/>
  <c r="AH128" i="1"/>
  <c r="AI128" i="1"/>
  <c r="AH129" i="1"/>
  <c r="AI129" i="1"/>
  <c r="AH130" i="1"/>
  <c r="AI130" i="1"/>
  <c r="AH131" i="1"/>
  <c r="AI131" i="1"/>
  <c r="AH132" i="1"/>
  <c r="AI132" i="1"/>
  <c r="AH133" i="1"/>
  <c r="AI133" i="1"/>
  <c r="AH134" i="1"/>
  <c r="AI134" i="1"/>
  <c r="AH135" i="1"/>
  <c r="AI135" i="1"/>
  <c r="AH136" i="1"/>
  <c r="AI136" i="1"/>
  <c r="AH137" i="1"/>
  <c r="AI137" i="1"/>
  <c r="AH138" i="1"/>
  <c r="AI138" i="1"/>
  <c r="AH139" i="1"/>
  <c r="AI139" i="1"/>
  <c r="AH140" i="1"/>
  <c r="AI140" i="1"/>
  <c r="AH141" i="1"/>
  <c r="AI141" i="1"/>
  <c r="AH142" i="1"/>
  <c r="AI142" i="1"/>
  <c r="AH143" i="1"/>
  <c r="AI143" i="1"/>
  <c r="AH144" i="1"/>
  <c r="AI144" i="1"/>
  <c r="AH145" i="1"/>
  <c r="AI145" i="1"/>
  <c r="AH146" i="1"/>
  <c r="AI146" i="1"/>
  <c r="AH147" i="1"/>
  <c r="AI147" i="1"/>
  <c r="AH148" i="1"/>
  <c r="AI148" i="1"/>
  <c r="AH149" i="1"/>
  <c r="AI149" i="1"/>
  <c r="AH150" i="1"/>
  <c r="AI150" i="1"/>
  <c r="AH151" i="1"/>
  <c r="AI151" i="1"/>
  <c r="AH152" i="1"/>
  <c r="AI152" i="1"/>
  <c r="AH153" i="1"/>
  <c r="AI153" i="1"/>
  <c r="AH154" i="1"/>
  <c r="AI154" i="1"/>
  <c r="AH155" i="1"/>
  <c r="AI155" i="1"/>
  <c r="AH156" i="1"/>
  <c r="AI156" i="1"/>
  <c r="AH157" i="1"/>
  <c r="AI157" i="1"/>
  <c r="AH158" i="1"/>
  <c r="AI158" i="1"/>
  <c r="AH159" i="1"/>
  <c r="AI159" i="1"/>
  <c r="AH160" i="1"/>
  <c r="AI160" i="1"/>
  <c r="AH161" i="1"/>
  <c r="AI161" i="1"/>
  <c r="AH162" i="1"/>
  <c r="AI162" i="1"/>
  <c r="AH163" i="1"/>
  <c r="AI163" i="1"/>
  <c r="AH164" i="1"/>
  <c r="AI164" i="1"/>
  <c r="AH165" i="1"/>
  <c r="AI165" i="1"/>
  <c r="AH166" i="1"/>
  <c r="AI166" i="1"/>
  <c r="AH167" i="1"/>
  <c r="AI167" i="1"/>
  <c r="AH168" i="1"/>
  <c r="AI168" i="1"/>
  <c r="AH169" i="1"/>
  <c r="AI169" i="1"/>
  <c r="AH170" i="1"/>
  <c r="AI170" i="1"/>
  <c r="AH171" i="1"/>
  <c r="AI171" i="1"/>
  <c r="AH172" i="1"/>
  <c r="AI172" i="1"/>
  <c r="AH173" i="1"/>
  <c r="AI173" i="1"/>
  <c r="AH174" i="1"/>
  <c r="AI174" i="1"/>
  <c r="AH175" i="1"/>
  <c r="AI175" i="1"/>
  <c r="AH176" i="1"/>
  <c r="AI176" i="1"/>
  <c r="AH177" i="1"/>
  <c r="AI177" i="1"/>
  <c r="AH178" i="1"/>
  <c r="AI178" i="1"/>
  <c r="AH179" i="1"/>
  <c r="AI179" i="1"/>
  <c r="AH180" i="1"/>
  <c r="AI180" i="1"/>
  <c r="AH181" i="1"/>
  <c r="AI181" i="1"/>
  <c r="AH182" i="1"/>
  <c r="AI182" i="1"/>
  <c r="AH183" i="1"/>
  <c r="AI183" i="1"/>
  <c r="AH184" i="1"/>
  <c r="AI184" i="1"/>
  <c r="AH185" i="1"/>
  <c r="AI185" i="1"/>
  <c r="AH186" i="1"/>
  <c r="AI186" i="1"/>
  <c r="AH187" i="1"/>
  <c r="AI187" i="1"/>
  <c r="AH188" i="1"/>
  <c r="AI188" i="1"/>
  <c r="AH189" i="1"/>
  <c r="AI189" i="1"/>
  <c r="AH190" i="1"/>
  <c r="AI190" i="1"/>
  <c r="AH191" i="1"/>
  <c r="AI191" i="1"/>
  <c r="AH192" i="1"/>
  <c r="AI192" i="1"/>
  <c r="AH193" i="1"/>
  <c r="AI193" i="1"/>
  <c r="AH194" i="1"/>
  <c r="AI194" i="1"/>
  <c r="AH195" i="1"/>
  <c r="AI195" i="1"/>
  <c r="AH196" i="1"/>
  <c r="AI196" i="1"/>
  <c r="AH197" i="1"/>
  <c r="AI197" i="1"/>
  <c r="AH198" i="1"/>
  <c r="AI198" i="1"/>
  <c r="AH199" i="1"/>
  <c r="AI199" i="1"/>
  <c r="AH200" i="1"/>
  <c r="AI200" i="1"/>
  <c r="AH201" i="1"/>
  <c r="AI201" i="1"/>
  <c r="AH202" i="1"/>
  <c r="AI202" i="1"/>
  <c r="AH203" i="1"/>
  <c r="AI203" i="1"/>
  <c r="AH204" i="1"/>
  <c r="AI204" i="1"/>
  <c r="AH205" i="1"/>
  <c r="AI205" i="1"/>
  <c r="AH206" i="1"/>
  <c r="AI206" i="1"/>
  <c r="AH207" i="1"/>
  <c r="AI207" i="1"/>
  <c r="AH208" i="1"/>
  <c r="AI208" i="1"/>
  <c r="AH209" i="1"/>
  <c r="AI209" i="1"/>
  <c r="AH210" i="1"/>
  <c r="AI210" i="1"/>
  <c r="AH211" i="1"/>
  <c r="AI211" i="1"/>
  <c r="AH212" i="1"/>
  <c r="AI212" i="1"/>
  <c r="AH213" i="1"/>
  <c r="AI213" i="1"/>
  <c r="AH214" i="1"/>
  <c r="AI214" i="1"/>
  <c r="AH215" i="1"/>
  <c r="AI215" i="1"/>
  <c r="AH216" i="1"/>
  <c r="AI216" i="1"/>
  <c r="AH217" i="1"/>
  <c r="AI217" i="1"/>
  <c r="AH218" i="1"/>
  <c r="AI218" i="1"/>
  <c r="AH219" i="1"/>
  <c r="AI219" i="1"/>
  <c r="AH220" i="1"/>
  <c r="AI220" i="1"/>
  <c r="AH221" i="1"/>
  <c r="AI221" i="1"/>
  <c r="AH222" i="1"/>
  <c r="AI222" i="1"/>
  <c r="AH223" i="1"/>
  <c r="AI223" i="1"/>
  <c r="AH224" i="1"/>
  <c r="AI224" i="1"/>
  <c r="AH225" i="1"/>
  <c r="AI225" i="1"/>
  <c r="AH226" i="1"/>
  <c r="AI226" i="1"/>
  <c r="AH227" i="1"/>
  <c r="AI227" i="1"/>
  <c r="AH228" i="1"/>
  <c r="AI228" i="1"/>
  <c r="AH229" i="1"/>
  <c r="AI229" i="1"/>
  <c r="AH230" i="1"/>
  <c r="AI230" i="1"/>
  <c r="AH231" i="1"/>
  <c r="AI231" i="1"/>
  <c r="AH232" i="1"/>
  <c r="AI232" i="1"/>
  <c r="AH233" i="1"/>
  <c r="AI233" i="1"/>
  <c r="AH234" i="1"/>
  <c r="AI234" i="1"/>
  <c r="AH235" i="1"/>
  <c r="AI235" i="1"/>
  <c r="AH236" i="1"/>
  <c r="AI236" i="1"/>
  <c r="AH237" i="1"/>
  <c r="AI237" i="1"/>
  <c r="AH238" i="1"/>
  <c r="AI238" i="1"/>
  <c r="AH239" i="1"/>
  <c r="AI239" i="1"/>
  <c r="AH240" i="1"/>
  <c r="AI240" i="1"/>
  <c r="AH241" i="1"/>
  <c r="AI241" i="1"/>
  <c r="AH242" i="1"/>
  <c r="AI242" i="1"/>
  <c r="AH243" i="1"/>
  <c r="AI243" i="1"/>
  <c r="AH244" i="1"/>
  <c r="AI244" i="1"/>
  <c r="AH245" i="1"/>
  <c r="AI245" i="1"/>
  <c r="AH246" i="1"/>
  <c r="AI246" i="1"/>
  <c r="AH247" i="1"/>
  <c r="AI247" i="1"/>
  <c r="AH248" i="1"/>
  <c r="AI248" i="1"/>
  <c r="AH249" i="1"/>
  <c r="AI249" i="1"/>
  <c r="AH250" i="1"/>
  <c r="AI250" i="1"/>
  <c r="AH251" i="1"/>
  <c r="AI251" i="1"/>
  <c r="AH252" i="1"/>
  <c r="AI252" i="1"/>
  <c r="AH253" i="1"/>
  <c r="AI253" i="1"/>
  <c r="AI2" i="1"/>
  <c r="AH2" i="1"/>
  <c r="AN245" i="1" l="1"/>
  <c r="AO53" i="1"/>
  <c r="AO198" i="1"/>
  <c r="AO197" i="1"/>
  <c r="AO133" i="1"/>
  <c r="AO93" i="1"/>
  <c r="AN253" i="1"/>
  <c r="AO195" i="1"/>
  <c r="AO178" i="1"/>
  <c r="AO154" i="1"/>
  <c r="AN132" i="1"/>
  <c r="AO114" i="1"/>
  <c r="AO91" i="1"/>
  <c r="AO62" i="1"/>
  <c r="AO27" i="1"/>
  <c r="AO250" i="1"/>
  <c r="AO235" i="1"/>
  <c r="AO218" i="1"/>
  <c r="AO194" i="1"/>
  <c r="AO177" i="1"/>
  <c r="AO153" i="1"/>
  <c r="AO131" i="1"/>
  <c r="AO113" i="1"/>
  <c r="AO90" i="1"/>
  <c r="AO61" i="1"/>
  <c r="AO26" i="1"/>
  <c r="AO234" i="1"/>
  <c r="AO193" i="1"/>
  <c r="AO130" i="1"/>
  <c r="AO59" i="1"/>
  <c r="AO45" i="1"/>
  <c r="AO21" i="1"/>
  <c r="AO166" i="1"/>
  <c r="AO238" i="1"/>
  <c r="AO230" i="1"/>
  <c r="AN214" i="1"/>
  <c r="AO175" i="1"/>
  <c r="AO149" i="1"/>
  <c r="AO111" i="1"/>
  <c r="AO67" i="1"/>
  <c r="AN2" i="1"/>
  <c r="AO247" i="1"/>
  <c r="AN222" i="1"/>
  <c r="AO213" i="1"/>
  <c r="AO205" i="1"/>
  <c r="AO182" i="1"/>
  <c r="AO174" i="1"/>
  <c r="AO147" i="1"/>
  <c r="AO137" i="1"/>
  <c r="AO118" i="1"/>
  <c r="AO110" i="1"/>
  <c r="AO97" i="1"/>
  <c r="AO86" i="1"/>
  <c r="AO75" i="1"/>
  <c r="AO66" i="1"/>
  <c r="AN48" i="1"/>
  <c r="AO38" i="1"/>
  <c r="AO25" i="1"/>
  <c r="AO14" i="1"/>
  <c r="AN4" i="1"/>
  <c r="AO70" i="1"/>
  <c r="AO30" i="1"/>
  <c r="AO29" i="1"/>
  <c r="AO78" i="1"/>
  <c r="AN68" i="1"/>
  <c r="AO6" i="1"/>
  <c r="AN206" i="1"/>
  <c r="AO119" i="1"/>
  <c r="AO99" i="1"/>
  <c r="AN76" i="1"/>
  <c r="AO5" i="1"/>
  <c r="AO246" i="1"/>
  <c r="AN237" i="1"/>
  <c r="AO229" i="1"/>
  <c r="AO221" i="1"/>
  <c r="AO201" i="1"/>
  <c r="AO190" i="1"/>
  <c r="AO181" i="1"/>
  <c r="AO173" i="1"/>
  <c r="AO158" i="1"/>
  <c r="AO146" i="1"/>
  <c r="AO126" i="1"/>
  <c r="AO117" i="1"/>
  <c r="AO109" i="1"/>
  <c r="AO85" i="1"/>
  <c r="AO74" i="1"/>
  <c r="AO65" i="1"/>
  <c r="AO55" i="1"/>
  <c r="AO47" i="1"/>
  <c r="AO35" i="1"/>
  <c r="AN12" i="1"/>
  <c r="AO3" i="1"/>
  <c r="AO142" i="1"/>
  <c r="AO207" i="1"/>
  <c r="AO69" i="1"/>
  <c r="AO150" i="1"/>
  <c r="AO102" i="1"/>
  <c r="AN236" i="1"/>
  <c r="AO219" i="1"/>
  <c r="AO210" i="1"/>
  <c r="AN189" i="1"/>
  <c r="AO171" i="1"/>
  <c r="AO157" i="1"/>
  <c r="AO134" i="1"/>
  <c r="AO125" i="1"/>
  <c r="AO115" i="1"/>
  <c r="AO107" i="1"/>
  <c r="AO94" i="1"/>
  <c r="AO83" i="1"/>
  <c r="AO54" i="1"/>
  <c r="AO46" i="1"/>
  <c r="AO22" i="1"/>
  <c r="AO11" i="1"/>
  <c r="AN224" i="1"/>
  <c r="AN168" i="1"/>
  <c r="AN104" i="1"/>
  <c r="AN40" i="1"/>
  <c r="AO215" i="1"/>
  <c r="AN204" i="1"/>
  <c r="AO191" i="1"/>
  <c r="AN164" i="1"/>
  <c r="AO143" i="1"/>
  <c r="AN136" i="1"/>
  <c r="AN100" i="1"/>
  <c r="AO79" i="1"/>
  <c r="AN72" i="1"/>
  <c r="AN36" i="1"/>
  <c r="AO15" i="1"/>
  <c r="AN8" i="1"/>
  <c r="AN244" i="1"/>
  <c r="AN232" i="1"/>
  <c r="AO203" i="1"/>
  <c r="AN184" i="1"/>
  <c r="AO163" i="1"/>
  <c r="AN156" i="1"/>
  <c r="AO135" i="1"/>
  <c r="AN128" i="1"/>
  <c r="AN92" i="1"/>
  <c r="AO71" i="1"/>
  <c r="AN64" i="1"/>
  <c r="AN28" i="1"/>
  <c r="AO7" i="1"/>
  <c r="AO243" i="1"/>
  <c r="AO231" i="1"/>
  <c r="AN220" i="1"/>
  <c r="AN208" i="1"/>
  <c r="AO202" i="1"/>
  <c r="AN196" i="1"/>
  <c r="AO183" i="1"/>
  <c r="AO162" i="1"/>
  <c r="AO155" i="1"/>
  <c r="AN148" i="1"/>
  <c r="AO141" i="1"/>
  <c r="AO127" i="1"/>
  <c r="AN120" i="1"/>
  <c r="AO98" i="1"/>
  <c r="AN84" i="1"/>
  <c r="AO77" i="1"/>
  <c r="AO63" i="1"/>
  <c r="AN56" i="1"/>
  <c r="AO34" i="1"/>
  <c r="AN20" i="1"/>
  <c r="AO13" i="1"/>
  <c r="AO223" i="1"/>
  <c r="AN212" i="1"/>
  <c r="AN200" i="1"/>
  <c r="AO167" i="1"/>
  <c r="AN160" i="1"/>
  <c r="AN124" i="1"/>
  <c r="AO103" i="1"/>
  <c r="AN96" i="1"/>
  <c r="AN60" i="1"/>
  <c r="AO39" i="1"/>
  <c r="AN32" i="1"/>
  <c r="AN252" i="1"/>
  <c r="AN240" i="1"/>
  <c r="AO211" i="1"/>
  <c r="AO199" i="1"/>
  <c r="AN180" i="1"/>
  <c r="AO159" i="1"/>
  <c r="AN152" i="1"/>
  <c r="AN116" i="1"/>
  <c r="AO95" i="1"/>
  <c r="AN88" i="1"/>
  <c r="AN52" i="1"/>
  <c r="AO31" i="1"/>
  <c r="AN24" i="1"/>
  <c r="AO251" i="1"/>
  <c r="AO239" i="1"/>
  <c r="AN228" i="1"/>
  <c r="AN216" i="1"/>
  <c r="AN192" i="1"/>
  <c r="AO179" i="1"/>
  <c r="AN172" i="1"/>
  <c r="AO165" i="1"/>
  <c r="AO151" i="1"/>
  <c r="AN144" i="1"/>
  <c r="AN108" i="1"/>
  <c r="AO101" i="1"/>
  <c r="AO87" i="1"/>
  <c r="AN80" i="1"/>
  <c r="AN44" i="1"/>
  <c r="AO37" i="1"/>
  <c r="AO23" i="1"/>
  <c r="AN16" i="1"/>
  <c r="C74" i="1"/>
  <c r="B74" i="1"/>
  <c r="B73" i="1"/>
  <c r="AJ240" i="1" s="1"/>
  <c r="B67" i="1"/>
  <c r="C67" i="1"/>
  <c r="C66" i="1"/>
  <c r="B66" i="1"/>
  <c r="B84" i="1" l="1"/>
  <c r="AJ147" i="1"/>
  <c r="AJ3" i="1"/>
  <c r="AL3" i="1" s="1"/>
  <c r="AJ208" i="1"/>
  <c r="AL208" i="1" s="1"/>
  <c r="AJ89" i="1"/>
  <c r="AL89" i="1" s="1"/>
  <c r="AJ109" i="1"/>
  <c r="AK109" i="1" s="1"/>
  <c r="AJ23" i="1"/>
  <c r="AK23" i="1" s="1"/>
  <c r="AJ46" i="1"/>
  <c r="AL46" i="1" s="1"/>
  <c r="AJ230" i="1"/>
  <c r="AK230" i="1" s="1"/>
  <c r="AJ172" i="1"/>
  <c r="AK172" i="1" s="1"/>
  <c r="AJ228" i="1"/>
  <c r="AK228" i="1" s="1"/>
  <c r="AJ80" i="1"/>
  <c r="AL80" i="1" s="1"/>
  <c r="AJ8" i="1"/>
  <c r="AL8" i="1" s="1"/>
  <c r="AJ9" i="1"/>
  <c r="AL9" i="1" s="1"/>
  <c r="AJ121" i="1"/>
  <c r="AK121" i="1" s="1"/>
  <c r="AJ76" i="1"/>
  <c r="AL76" i="1" s="1"/>
  <c r="AJ145" i="1"/>
  <c r="AK145" i="1" s="1"/>
  <c r="AJ139" i="1"/>
  <c r="AL139" i="1" s="1"/>
  <c r="AJ54" i="1"/>
  <c r="AL54" i="1" s="1"/>
  <c r="AJ234" i="1"/>
  <c r="AK234" i="1" s="1"/>
  <c r="AJ91" i="1"/>
  <c r="AL91" i="1" s="1"/>
  <c r="AJ244" i="1"/>
  <c r="AL244" i="1" s="1"/>
  <c r="AJ104" i="1"/>
  <c r="AL104" i="1" s="1"/>
  <c r="AJ60" i="1"/>
  <c r="AL60" i="1" s="1"/>
  <c r="AJ85" i="1"/>
  <c r="AL85" i="1" s="1"/>
  <c r="AJ190" i="1"/>
  <c r="AK190" i="1" s="1"/>
  <c r="AJ4" i="1"/>
  <c r="AJ2" i="1"/>
  <c r="AK2" i="1" s="1"/>
  <c r="AJ191" i="1"/>
  <c r="AL191" i="1" s="1"/>
  <c r="AJ238" i="1"/>
  <c r="AL238" i="1" s="1"/>
  <c r="AJ132" i="1"/>
  <c r="AL132" i="1" s="1"/>
  <c r="AJ72" i="1"/>
  <c r="AL72" i="1" s="1"/>
  <c r="AJ25" i="1"/>
  <c r="AK25" i="1" s="1"/>
  <c r="AJ197" i="1"/>
  <c r="AK197" i="1" s="1"/>
  <c r="AJ120" i="1"/>
  <c r="AL120" i="1" s="1"/>
  <c r="AJ153" i="1"/>
  <c r="AK153" i="1" s="1"/>
  <c r="AJ215" i="1"/>
  <c r="AK215" i="1" s="1"/>
  <c r="AJ110" i="1"/>
  <c r="AL110" i="1" s="1"/>
  <c r="AJ131" i="1"/>
  <c r="AK131" i="1" s="1"/>
  <c r="AJ163" i="1"/>
  <c r="AL163" i="1" s="1"/>
  <c r="AJ7" i="1"/>
  <c r="AK7" i="1" s="1"/>
  <c r="AJ248" i="1"/>
  <c r="AL248" i="1" s="1"/>
  <c r="AJ100" i="1"/>
  <c r="AK100" i="1" s="1"/>
  <c r="AJ81" i="1"/>
  <c r="AL81" i="1" s="1"/>
  <c r="AJ34" i="1"/>
  <c r="AL34" i="1" s="1"/>
  <c r="AJ167" i="1"/>
  <c r="AL167" i="1" s="1"/>
  <c r="AJ17" i="1"/>
  <c r="AK17" i="1" s="1"/>
  <c r="AJ149" i="1"/>
  <c r="AL149" i="1" s="1"/>
  <c r="AJ115" i="1"/>
  <c r="AL115" i="1" s="1"/>
  <c r="AJ33" i="1"/>
  <c r="AK33" i="1" s="1"/>
  <c r="AJ136" i="1"/>
  <c r="AL136" i="1" s="1"/>
  <c r="AJ116" i="1"/>
  <c r="AL116" i="1" s="1"/>
  <c r="AJ126" i="1"/>
  <c r="AL126" i="1" s="1"/>
  <c r="AJ239" i="1"/>
  <c r="AL239" i="1" s="1"/>
  <c r="AJ11" i="1"/>
  <c r="AK11" i="1" s="1"/>
  <c r="AJ125" i="1"/>
  <c r="AK125" i="1" s="1"/>
  <c r="AJ220" i="1"/>
  <c r="AL220" i="1" s="1"/>
  <c r="AJ65" i="1"/>
  <c r="AK65" i="1" s="1"/>
  <c r="AJ83" i="1"/>
  <c r="AK83" i="1" s="1"/>
  <c r="AJ13" i="1"/>
  <c r="AK13" i="1" s="1"/>
  <c r="AJ225" i="1"/>
  <c r="AL225" i="1" s="1"/>
  <c r="AJ148" i="1"/>
  <c r="AK148" i="1" s="1"/>
  <c r="AJ178" i="1"/>
  <c r="AK178" i="1" s="1"/>
  <c r="AJ159" i="1"/>
  <c r="AK159" i="1" s="1"/>
  <c r="AJ56" i="1"/>
  <c r="AL56" i="1" s="1"/>
  <c r="AJ111" i="1"/>
  <c r="AL111" i="1" s="1"/>
  <c r="AJ42" i="1"/>
  <c r="AL42" i="1" s="1"/>
  <c r="AJ127" i="1"/>
  <c r="AL127" i="1" s="1"/>
  <c r="AJ128" i="1"/>
  <c r="AL128" i="1" s="1"/>
  <c r="AJ151" i="1"/>
  <c r="AK151" i="1" s="1"/>
  <c r="AJ96" i="1"/>
  <c r="AK96" i="1" s="1"/>
  <c r="AJ106" i="1"/>
  <c r="AK106" i="1" s="1"/>
  <c r="AJ210" i="1"/>
  <c r="AK210" i="1" s="1"/>
  <c r="AJ209" i="1"/>
  <c r="AL209" i="1" s="1"/>
  <c r="AJ161" i="1"/>
  <c r="AL161" i="1" s="1"/>
  <c r="AJ30" i="1"/>
  <c r="AL30" i="1" s="1"/>
  <c r="AJ73" i="1"/>
  <c r="AK73" i="1" s="1"/>
  <c r="AJ107" i="1"/>
  <c r="AK107" i="1" s="1"/>
  <c r="AJ53" i="1"/>
  <c r="AL53" i="1" s="1"/>
  <c r="AJ245" i="1"/>
  <c r="AL245" i="1" s="1"/>
  <c r="AJ168" i="1"/>
  <c r="AL168" i="1" s="1"/>
  <c r="AJ182" i="1"/>
  <c r="AK182" i="1" s="1"/>
  <c r="AJ92" i="1"/>
  <c r="AL92" i="1" s="1"/>
  <c r="AJ84" i="1"/>
  <c r="AL84" i="1" s="1"/>
  <c r="AJ143" i="1"/>
  <c r="AL143" i="1" s="1"/>
  <c r="AJ171" i="1"/>
  <c r="AL171" i="1" s="1"/>
  <c r="AJ189" i="1"/>
  <c r="AK189" i="1" s="1"/>
  <c r="AK30" i="1"/>
  <c r="AK240" i="1"/>
  <c r="AL240" i="1"/>
  <c r="AL100" i="1"/>
  <c r="AJ251" i="1"/>
  <c r="AJ196" i="1"/>
  <c r="AJ58" i="1"/>
  <c r="AJ138" i="1"/>
  <c r="AJ198" i="1"/>
  <c r="AJ242" i="1"/>
  <c r="AJ187" i="1"/>
  <c r="AJ200" i="1"/>
  <c r="AJ175" i="1"/>
  <c r="AJ108" i="1"/>
  <c r="AJ157" i="1"/>
  <c r="AJ27" i="1"/>
  <c r="AJ195" i="1"/>
  <c r="AJ152" i="1"/>
  <c r="AJ98" i="1"/>
  <c r="AJ16" i="1"/>
  <c r="AJ112" i="1"/>
  <c r="AJ253" i="1"/>
  <c r="AJ37" i="1"/>
  <c r="AJ97" i="1"/>
  <c r="AJ233" i="1"/>
  <c r="AJ179" i="1"/>
  <c r="AJ156" i="1"/>
  <c r="AJ117" i="1"/>
  <c r="AJ165" i="1"/>
  <c r="AJ43" i="1"/>
  <c r="AJ12" i="1"/>
  <c r="AJ224" i="1"/>
  <c r="AJ66" i="1"/>
  <c r="AJ158" i="1"/>
  <c r="AJ206" i="1"/>
  <c r="AJ246" i="1"/>
  <c r="AJ207" i="1"/>
  <c r="AJ236" i="1"/>
  <c r="AJ183" i="1"/>
  <c r="AJ124" i="1"/>
  <c r="AJ249" i="1"/>
  <c r="AJ31" i="1"/>
  <c r="AJ203" i="1"/>
  <c r="AJ176" i="1"/>
  <c r="AJ194" i="1"/>
  <c r="AJ20" i="1"/>
  <c r="AJ140" i="1"/>
  <c r="AL83" i="1"/>
  <c r="AK120" i="1"/>
  <c r="AK3" i="1"/>
  <c r="AK54" i="1"/>
  <c r="AK161" i="1"/>
  <c r="AJ29" i="1"/>
  <c r="AJ61" i="1"/>
  <c r="AJ193" i="1"/>
  <c r="AJ221" i="1"/>
  <c r="AJ166" i="1"/>
  <c r="AJ134" i="1"/>
  <c r="AJ241" i="1"/>
  <c r="AJ70" i="1"/>
  <c r="AJ122" i="1"/>
  <c r="AJ213" i="1"/>
  <c r="AJ39" i="1"/>
  <c r="AJ90" i="1"/>
  <c r="AJ155" i="1"/>
  <c r="AJ202" i="1"/>
  <c r="AJ247" i="1"/>
  <c r="AJ77" i="1"/>
  <c r="AJ93" i="1"/>
  <c r="AJ45" i="1"/>
  <c r="AJ94" i="1"/>
  <c r="AJ130" i="1"/>
  <c r="AJ177" i="1"/>
  <c r="AJ237" i="1"/>
  <c r="AJ82" i="1"/>
  <c r="AJ150" i="1"/>
  <c r="AJ18" i="1"/>
  <c r="AJ102" i="1"/>
  <c r="AJ154" i="1"/>
  <c r="AJ201" i="1"/>
  <c r="AJ6" i="1"/>
  <c r="AJ123" i="1"/>
  <c r="AJ173" i="1"/>
  <c r="AJ217" i="1"/>
  <c r="AJ50" i="1"/>
  <c r="AJ133" i="1"/>
  <c r="AJ226" i="1"/>
  <c r="AJ69" i="1"/>
  <c r="AJ118" i="1"/>
  <c r="AJ38" i="1"/>
  <c r="AJ185" i="1"/>
  <c r="AJ229" i="1"/>
  <c r="AJ21" i="1"/>
  <c r="AJ71" i="1"/>
  <c r="AJ186" i="1"/>
  <c r="AJ231" i="1"/>
  <c r="AJ101" i="1"/>
  <c r="AJ227" i="1"/>
  <c r="AJ129" i="1"/>
  <c r="AJ169" i="1"/>
  <c r="AJ36" i="1"/>
  <c r="AJ74" i="1"/>
  <c r="AJ214" i="1"/>
  <c r="AJ243" i="1"/>
  <c r="AJ199" i="1"/>
  <c r="AJ14" i="1"/>
  <c r="AJ219" i="1"/>
  <c r="AJ87" i="1"/>
  <c r="AJ24" i="1"/>
  <c r="AJ62" i="1"/>
  <c r="AJ49" i="1"/>
  <c r="AJ105" i="1"/>
  <c r="AJ47" i="1"/>
  <c r="AJ28" i="1"/>
  <c r="AJ216" i="1"/>
  <c r="AJ137" i="1"/>
  <c r="AJ181" i="1"/>
  <c r="AJ95" i="1"/>
  <c r="AJ64" i="1"/>
  <c r="AJ22" i="1"/>
  <c r="AJ78" i="1"/>
  <c r="AJ170" i="1"/>
  <c r="AJ218" i="1"/>
  <c r="AJ55" i="1"/>
  <c r="AJ32" i="1"/>
  <c r="AJ35" i="1"/>
  <c r="AJ211" i="1"/>
  <c r="AJ164" i="1"/>
  <c r="AJ114" i="1"/>
  <c r="AJ59" i="1"/>
  <c r="AJ235" i="1"/>
  <c r="AJ212" i="1"/>
  <c r="AJ103" i="1"/>
  <c r="AJ40" i="1"/>
  <c r="AJ180" i="1"/>
  <c r="AJ142" i="1"/>
  <c r="AL147" i="1"/>
  <c r="AK147" i="1"/>
  <c r="AL4" i="1"/>
  <c r="AK4" i="1"/>
  <c r="AJ41" i="1"/>
  <c r="AJ19" i="1"/>
  <c r="AJ188" i="1"/>
  <c r="AJ75" i="1"/>
  <c r="AJ10" i="1"/>
  <c r="AJ162" i="1"/>
  <c r="AJ15" i="1"/>
  <c r="AJ252" i="1"/>
  <c r="AJ144" i="1"/>
  <c r="AJ51" i="1"/>
  <c r="AJ192" i="1"/>
  <c r="AJ160" i="1"/>
  <c r="AJ57" i="1"/>
  <c r="AJ113" i="1"/>
  <c r="AJ63" i="1"/>
  <c r="AJ44" i="1"/>
  <c r="AJ5" i="1"/>
  <c r="AJ141" i="1"/>
  <c r="AJ205" i="1"/>
  <c r="AJ119" i="1"/>
  <c r="AJ88" i="1"/>
  <c r="AJ26" i="1"/>
  <c r="AJ86" i="1"/>
  <c r="AJ174" i="1"/>
  <c r="AJ222" i="1"/>
  <c r="AJ99" i="1"/>
  <c r="AJ68" i="1"/>
  <c r="AJ67" i="1"/>
  <c r="AJ223" i="1"/>
  <c r="AJ184" i="1"/>
  <c r="AJ146" i="1"/>
  <c r="AJ79" i="1"/>
  <c r="AJ52" i="1"/>
  <c r="AJ232" i="1"/>
  <c r="AJ135" i="1"/>
  <c r="AJ48" i="1"/>
  <c r="AJ204" i="1"/>
  <c r="AJ250" i="1"/>
  <c r="B64" i="1"/>
  <c r="B63" i="1"/>
  <c r="B62" i="1"/>
  <c r="B61" i="1"/>
  <c r="AK136" i="1" l="1"/>
  <c r="AK81" i="1"/>
  <c r="AL153" i="1"/>
  <c r="AK208" i="1"/>
  <c r="AK34" i="1"/>
  <c r="AK84" i="1"/>
  <c r="AK225" i="1"/>
  <c r="AK8" i="1"/>
  <c r="AL107" i="1"/>
  <c r="AK91" i="1"/>
  <c r="AK92" i="1"/>
  <c r="AK143" i="1"/>
  <c r="AL151" i="1"/>
  <c r="AL228" i="1"/>
  <c r="AK244" i="1"/>
  <c r="AK56" i="1"/>
  <c r="AK238" i="1"/>
  <c r="AL148" i="1"/>
  <c r="AL215" i="1"/>
  <c r="AK191" i="1"/>
  <c r="AL2" i="1"/>
  <c r="AK89" i="1"/>
  <c r="AL234" i="1"/>
  <c r="AK60" i="1"/>
  <c r="AL159" i="1"/>
  <c r="AK220" i="1"/>
  <c r="AL189" i="1"/>
  <c r="AK149" i="1"/>
  <c r="AK127" i="1"/>
  <c r="AK80" i="1"/>
  <c r="AK53" i="1"/>
  <c r="AK42" i="1"/>
  <c r="AK116" i="1"/>
  <c r="AL131" i="1"/>
  <c r="AL17" i="1"/>
  <c r="AL13" i="1"/>
  <c r="AK72" i="1"/>
  <c r="AK171" i="1"/>
  <c r="AK9" i="1"/>
  <c r="AL7" i="1"/>
  <c r="AL121" i="1"/>
  <c r="AK85" i="1"/>
  <c r="AK248" i="1"/>
  <c r="AK76" i="1"/>
  <c r="AK46" i="1"/>
  <c r="AL25" i="1"/>
  <c r="AL210" i="1"/>
  <c r="AL106" i="1"/>
  <c r="AL145" i="1"/>
  <c r="AL125" i="1"/>
  <c r="AK163" i="1"/>
  <c r="AK128" i="1"/>
  <c r="AK168" i="1"/>
  <c r="AK245" i="1"/>
  <c r="AL190" i="1"/>
  <c r="AK126" i="1"/>
  <c r="AL73" i="1"/>
  <c r="AL23" i="1"/>
  <c r="AK132" i="1"/>
  <c r="AL33" i="1"/>
  <c r="AL197" i="1"/>
  <c r="AL182" i="1"/>
  <c r="AK104" i="1"/>
  <c r="AL11" i="1"/>
  <c r="AL178" i="1"/>
  <c r="AL172" i="1"/>
  <c r="AK115" i="1"/>
  <c r="AL96" i="1"/>
  <c r="AK239" i="1"/>
  <c r="AL109" i="1"/>
  <c r="AK167" i="1"/>
  <c r="AK110" i="1"/>
  <c r="AL230" i="1"/>
  <c r="AL65" i="1"/>
  <c r="AK209" i="1"/>
  <c r="AK111" i="1"/>
  <c r="AK139" i="1"/>
  <c r="AL68" i="1"/>
  <c r="AK68" i="1"/>
  <c r="AK188" i="1"/>
  <c r="AL188" i="1"/>
  <c r="AK181" i="1"/>
  <c r="AL181" i="1"/>
  <c r="AK21" i="1"/>
  <c r="AL21" i="1"/>
  <c r="AK93" i="1"/>
  <c r="AL93" i="1"/>
  <c r="AL158" i="1"/>
  <c r="AK158" i="1"/>
  <c r="AK242" i="1"/>
  <c r="AL242" i="1"/>
  <c r="AL232" i="1"/>
  <c r="AK232" i="1"/>
  <c r="AL51" i="1"/>
  <c r="AK51" i="1"/>
  <c r="AL55" i="1"/>
  <c r="AK55" i="1"/>
  <c r="AK169" i="1"/>
  <c r="AL169" i="1"/>
  <c r="AK70" i="1"/>
  <c r="AL70" i="1"/>
  <c r="AL249" i="1"/>
  <c r="AK249" i="1"/>
  <c r="AL195" i="1"/>
  <c r="AK195" i="1"/>
  <c r="AK222" i="1"/>
  <c r="AL222" i="1"/>
  <c r="AL41" i="1"/>
  <c r="AK41" i="1"/>
  <c r="AL218" i="1"/>
  <c r="AK218" i="1"/>
  <c r="AK129" i="1"/>
  <c r="AL129" i="1"/>
  <c r="AL247" i="1"/>
  <c r="AK247" i="1"/>
  <c r="AL224" i="1"/>
  <c r="AK224" i="1"/>
  <c r="AK138" i="1"/>
  <c r="AL138" i="1"/>
  <c r="AL174" i="1"/>
  <c r="AK174" i="1"/>
  <c r="AK170" i="1"/>
  <c r="AL170" i="1"/>
  <c r="AL227" i="1"/>
  <c r="AK227" i="1"/>
  <c r="AK202" i="1"/>
  <c r="AL202" i="1"/>
  <c r="AL140" i="1"/>
  <c r="AK140" i="1"/>
  <c r="AK37" i="1"/>
  <c r="AL37" i="1"/>
  <c r="AL63" i="1"/>
  <c r="AK63" i="1"/>
  <c r="AL114" i="1"/>
  <c r="AK114" i="1"/>
  <c r="AL199" i="1"/>
  <c r="AK199" i="1"/>
  <c r="AK6" i="1"/>
  <c r="AL6" i="1"/>
  <c r="AL166" i="1"/>
  <c r="AK166" i="1"/>
  <c r="AL236" i="1"/>
  <c r="AK236" i="1"/>
  <c r="AL108" i="1"/>
  <c r="AK108" i="1"/>
  <c r="AL250" i="1"/>
  <c r="AK250" i="1"/>
  <c r="AL184" i="1"/>
  <c r="AK184" i="1"/>
  <c r="AK26" i="1"/>
  <c r="AL26" i="1"/>
  <c r="AL113" i="1"/>
  <c r="AK113" i="1"/>
  <c r="AK162" i="1"/>
  <c r="AL162" i="1"/>
  <c r="AL142" i="1"/>
  <c r="AK142" i="1"/>
  <c r="AL164" i="1"/>
  <c r="AK164" i="1"/>
  <c r="AL22" i="1"/>
  <c r="AK22" i="1"/>
  <c r="AL105" i="1"/>
  <c r="AK105" i="1"/>
  <c r="AL243" i="1"/>
  <c r="AK243" i="1"/>
  <c r="AL231" i="1"/>
  <c r="AK231" i="1"/>
  <c r="AK69" i="1"/>
  <c r="AL69" i="1"/>
  <c r="AL201" i="1"/>
  <c r="AK201" i="1"/>
  <c r="AL130" i="1"/>
  <c r="AK130" i="1"/>
  <c r="AL90" i="1"/>
  <c r="AK90" i="1"/>
  <c r="AK221" i="1"/>
  <c r="AL221" i="1"/>
  <c r="AL194" i="1"/>
  <c r="AK194" i="1"/>
  <c r="AK207" i="1"/>
  <c r="AL207" i="1"/>
  <c r="AK165" i="1"/>
  <c r="AL165" i="1"/>
  <c r="AL112" i="1"/>
  <c r="AK112" i="1"/>
  <c r="AL175" i="1"/>
  <c r="AK175" i="1"/>
  <c r="AL251" i="1"/>
  <c r="AK251" i="1"/>
  <c r="AK205" i="1"/>
  <c r="AL205" i="1"/>
  <c r="AL103" i="1"/>
  <c r="AK103" i="1"/>
  <c r="AK24" i="1"/>
  <c r="AL24" i="1"/>
  <c r="AL50" i="1"/>
  <c r="AK50" i="1"/>
  <c r="AL122" i="1"/>
  <c r="AK122" i="1"/>
  <c r="AL31" i="1"/>
  <c r="AK31" i="1"/>
  <c r="AK152" i="1"/>
  <c r="AL152" i="1"/>
  <c r="AL99" i="1"/>
  <c r="AK99" i="1"/>
  <c r="AL19" i="1"/>
  <c r="AK19" i="1"/>
  <c r="AK212" i="1"/>
  <c r="AL212" i="1"/>
  <c r="AK87" i="1"/>
  <c r="AL87" i="1"/>
  <c r="AL217" i="1"/>
  <c r="AK217" i="1"/>
  <c r="AK77" i="1"/>
  <c r="AL77" i="1"/>
  <c r="AL66" i="1"/>
  <c r="AK66" i="1"/>
  <c r="AK198" i="1"/>
  <c r="AL198" i="1"/>
  <c r="AK5" i="1"/>
  <c r="AL5" i="1"/>
  <c r="AL235" i="1"/>
  <c r="AK235" i="1"/>
  <c r="AL219" i="1"/>
  <c r="AK219" i="1"/>
  <c r="AK173" i="1"/>
  <c r="AL173" i="1"/>
  <c r="AL241" i="1"/>
  <c r="AK241" i="1"/>
  <c r="AL27" i="1"/>
  <c r="AK27" i="1"/>
  <c r="AK79" i="1"/>
  <c r="AL79" i="1"/>
  <c r="AK252" i="1"/>
  <c r="AL252" i="1"/>
  <c r="AL28" i="1"/>
  <c r="AK28" i="1"/>
  <c r="AL38" i="1"/>
  <c r="AK38" i="1"/>
  <c r="AK237" i="1"/>
  <c r="AL237" i="1"/>
  <c r="AL12" i="1"/>
  <c r="AK12" i="1"/>
  <c r="AL58" i="1"/>
  <c r="AK58" i="1"/>
  <c r="AL86" i="1"/>
  <c r="AK86" i="1"/>
  <c r="AL78" i="1"/>
  <c r="AK78" i="1"/>
  <c r="AK101" i="1"/>
  <c r="AL101" i="1"/>
  <c r="AL155" i="1"/>
  <c r="AK155" i="1"/>
  <c r="AL43" i="1"/>
  <c r="AK43" i="1"/>
  <c r="AL196" i="1"/>
  <c r="AK196" i="1"/>
  <c r="AK204" i="1"/>
  <c r="AL204" i="1"/>
  <c r="AL223" i="1"/>
  <c r="AK223" i="1"/>
  <c r="AK88" i="1"/>
  <c r="AL88" i="1"/>
  <c r="AL57" i="1"/>
  <c r="AK57" i="1"/>
  <c r="AL10" i="1"/>
  <c r="AK10" i="1"/>
  <c r="AL180" i="1"/>
  <c r="AK180" i="1"/>
  <c r="AL211" i="1"/>
  <c r="AK211" i="1"/>
  <c r="AL64" i="1"/>
  <c r="AK64" i="1"/>
  <c r="AL49" i="1"/>
  <c r="AK49" i="1"/>
  <c r="AL214" i="1"/>
  <c r="AK214" i="1"/>
  <c r="AL186" i="1"/>
  <c r="AK186" i="1"/>
  <c r="AK226" i="1"/>
  <c r="AL226" i="1"/>
  <c r="AL154" i="1"/>
  <c r="AK154" i="1"/>
  <c r="AL94" i="1"/>
  <c r="AK94" i="1"/>
  <c r="AL39" i="1"/>
  <c r="AK39" i="1"/>
  <c r="AL193" i="1"/>
  <c r="AK193" i="1"/>
  <c r="AL176" i="1"/>
  <c r="AK176" i="1"/>
  <c r="AL246" i="1"/>
  <c r="AK246" i="1"/>
  <c r="AK117" i="1"/>
  <c r="AL117" i="1"/>
  <c r="AK16" i="1"/>
  <c r="AL16" i="1"/>
  <c r="AL200" i="1"/>
  <c r="AK200" i="1"/>
  <c r="AL135" i="1"/>
  <c r="AK135" i="1"/>
  <c r="AL192" i="1"/>
  <c r="AK192" i="1"/>
  <c r="AK32" i="1"/>
  <c r="AL32" i="1"/>
  <c r="AL36" i="1"/>
  <c r="AK36" i="1"/>
  <c r="AL18" i="1"/>
  <c r="AK18" i="1"/>
  <c r="AK29" i="1"/>
  <c r="AL29" i="1"/>
  <c r="AL179" i="1"/>
  <c r="AK179" i="1"/>
  <c r="AK141" i="1"/>
  <c r="AL141" i="1"/>
  <c r="AL137" i="1"/>
  <c r="AK137" i="1"/>
  <c r="AK229" i="1"/>
  <c r="AL229" i="1"/>
  <c r="AL150" i="1"/>
  <c r="AK150" i="1"/>
  <c r="AL233" i="1"/>
  <c r="AK233" i="1"/>
  <c r="AL52" i="1"/>
  <c r="AK52" i="1"/>
  <c r="AK144" i="1"/>
  <c r="AL144" i="1"/>
  <c r="AK216" i="1"/>
  <c r="AL216" i="1"/>
  <c r="AL185" i="1"/>
  <c r="AK185" i="1"/>
  <c r="AL82" i="1"/>
  <c r="AK82" i="1"/>
  <c r="AK124" i="1"/>
  <c r="AL124" i="1"/>
  <c r="AK97" i="1"/>
  <c r="AL97" i="1"/>
  <c r="AK44" i="1"/>
  <c r="AL44" i="1"/>
  <c r="AL59" i="1"/>
  <c r="AK59" i="1"/>
  <c r="AK14" i="1"/>
  <c r="AL14" i="1"/>
  <c r="AL123" i="1"/>
  <c r="AK123" i="1"/>
  <c r="AK134" i="1"/>
  <c r="AL134" i="1"/>
  <c r="AL183" i="1"/>
  <c r="AK183" i="1"/>
  <c r="AK157" i="1"/>
  <c r="AL157" i="1"/>
  <c r="AL146" i="1"/>
  <c r="AK146" i="1"/>
  <c r="AK15" i="1"/>
  <c r="AL15" i="1"/>
  <c r="AL47" i="1"/>
  <c r="AK47" i="1"/>
  <c r="AK118" i="1"/>
  <c r="AL118" i="1"/>
  <c r="AL177" i="1"/>
  <c r="AK177" i="1"/>
  <c r="AL20" i="1"/>
  <c r="AK20" i="1"/>
  <c r="AK253" i="1"/>
  <c r="AL253" i="1"/>
  <c r="AL48" i="1"/>
  <c r="AK48" i="1"/>
  <c r="AL67" i="1"/>
  <c r="AK67" i="1"/>
  <c r="AL119" i="1"/>
  <c r="AK119" i="1"/>
  <c r="AK160" i="1"/>
  <c r="AL160" i="1"/>
  <c r="AL75" i="1"/>
  <c r="AK75" i="1"/>
  <c r="AL40" i="1"/>
  <c r="AK40" i="1"/>
  <c r="AL35" i="1"/>
  <c r="AK35" i="1"/>
  <c r="AL95" i="1"/>
  <c r="AK95" i="1"/>
  <c r="AL62" i="1"/>
  <c r="AK62" i="1"/>
  <c r="AK74" i="1"/>
  <c r="AL74" i="1"/>
  <c r="AL71" i="1"/>
  <c r="AK71" i="1"/>
  <c r="AK133" i="1"/>
  <c r="AL133" i="1"/>
  <c r="AL102" i="1"/>
  <c r="AK102" i="1"/>
  <c r="AK45" i="1"/>
  <c r="AL45" i="1"/>
  <c r="AK213" i="1"/>
  <c r="AL213" i="1"/>
  <c r="AK61" i="1"/>
  <c r="AL61" i="1"/>
  <c r="AL203" i="1"/>
  <c r="AK203" i="1"/>
  <c r="AL206" i="1"/>
  <c r="AK206" i="1"/>
  <c r="AL156" i="1"/>
  <c r="AK156" i="1"/>
  <c r="AK98" i="1"/>
  <c r="AL98" i="1"/>
  <c r="AL187" i="1"/>
  <c r="AK187" i="1"/>
  <c r="B50" i="1"/>
  <c r="I178" i="1"/>
  <c r="I180" i="1"/>
  <c r="I182" i="1"/>
  <c r="I184" i="1"/>
  <c r="I186" i="1"/>
  <c r="I188" i="1"/>
  <c r="I190" i="1"/>
  <c r="I192" i="1"/>
  <c r="I194" i="1"/>
  <c r="I196" i="1"/>
  <c r="I198" i="1"/>
  <c r="I200" i="1"/>
  <c r="I202" i="1"/>
  <c r="I204" i="1"/>
  <c r="I206" i="1"/>
  <c r="I208" i="1"/>
  <c r="I210" i="1"/>
  <c r="I212" i="1"/>
  <c r="I214" i="1"/>
  <c r="I216" i="1"/>
  <c r="I218" i="1"/>
  <c r="I220" i="1"/>
  <c r="I222" i="1"/>
  <c r="I224" i="1"/>
  <c r="I226" i="1"/>
  <c r="I228" i="1"/>
  <c r="I230" i="1"/>
  <c r="I232" i="1"/>
  <c r="I234" i="1"/>
  <c r="I236" i="1"/>
  <c r="I238" i="1"/>
  <c r="I240" i="1"/>
  <c r="I242" i="1"/>
  <c r="I244" i="1"/>
  <c r="I246" i="1"/>
  <c r="I248" i="1"/>
  <c r="I250" i="1"/>
  <c r="I252" i="1"/>
  <c r="B24" i="1"/>
  <c r="H2" i="1"/>
  <c r="J2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G3" i="1"/>
  <c r="I3" i="1" s="1"/>
  <c r="G4" i="1"/>
  <c r="G5" i="1"/>
  <c r="I5" i="1" s="1"/>
  <c r="G6" i="1"/>
  <c r="G7" i="1"/>
  <c r="I7" i="1" s="1"/>
  <c r="G8" i="1"/>
  <c r="G9" i="1"/>
  <c r="I9" i="1" s="1"/>
  <c r="G10" i="1"/>
  <c r="G11" i="1"/>
  <c r="I11" i="1" s="1"/>
  <c r="G12" i="1"/>
  <c r="G13" i="1"/>
  <c r="I13" i="1" s="1"/>
  <c r="G14" i="1"/>
  <c r="G15" i="1"/>
  <c r="I15" i="1" s="1"/>
  <c r="G16" i="1"/>
  <c r="G17" i="1"/>
  <c r="I17" i="1" s="1"/>
  <c r="G18" i="1"/>
  <c r="G19" i="1"/>
  <c r="I19" i="1" s="1"/>
  <c r="G20" i="1"/>
  <c r="G21" i="1"/>
  <c r="I21" i="1" s="1"/>
  <c r="G22" i="1"/>
  <c r="G23" i="1"/>
  <c r="I23" i="1" s="1"/>
  <c r="G24" i="1"/>
  <c r="G25" i="1"/>
  <c r="I25" i="1" s="1"/>
  <c r="G26" i="1"/>
  <c r="G27" i="1"/>
  <c r="I27" i="1" s="1"/>
  <c r="G28" i="1"/>
  <c r="G29" i="1"/>
  <c r="I29" i="1" s="1"/>
  <c r="G30" i="1"/>
  <c r="G31" i="1"/>
  <c r="I31" i="1" s="1"/>
  <c r="G32" i="1"/>
  <c r="G33" i="1"/>
  <c r="I33" i="1" s="1"/>
  <c r="G34" i="1"/>
  <c r="G35" i="1"/>
  <c r="I35" i="1" s="1"/>
  <c r="G36" i="1"/>
  <c r="G37" i="1"/>
  <c r="I37" i="1" s="1"/>
  <c r="G38" i="1"/>
  <c r="G39" i="1"/>
  <c r="I39" i="1" s="1"/>
  <c r="G40" i="1"/>
  <c r="G41" i="1"/>
  <c r="I41" i="1" s="1"/>
  <c r="G42" i="1"/>
  <c r="G43" i="1"/>
  <c r="I43" i="1" s="1"/>
  <c r="G44" i="1"/>
  <c r="G45" i="1"/>
  <c r="I45" i="1" s="1"/>
  <c r="G46" i="1"/>
  <c r="G47" i="1"/>
  <c r="I47" i="1" s="1"/>
  <c r="G48" i="1"/>
  <c r="G49" i="1"/>
  <c r="I49" i="1" s="1"/>
  <c r="G50" i="1"/>
  <c r="G51" i="1"/>
  <c r="I51" i="1" s="1"/>
  <c r="G52" i="1"/>
  <c r="G53" i="1"/>
  <c r="I53" i="1" s="1"/>
  <c r="G54" i="1"/>
  <c r="G55" i="1"/>
  <c r="I55" i="1" s="1"/>
  <c r="G56" i="1"/>
  <c r="G57" i="1"/>
  <c r="I57" i="1" s="1"/>
  <c r="G58" i="1"/>
  <c r="G59" i="1"/>
  <c r="I59" i="1" s="1"/>
  <c r="G60" i="1"/>
  <c r="G61" i="1"/>
  <c r="I61" i="1" s="1"/>
  <c r="G62" i="1"/>
  <c r="G63" i="1"/>
  <c r="I63" i="1" s="1"/>
  <c r="G64" i="1"/>
  <c r="G65" i="1"/>
  <c r="I65" i="1" s="1"/>
  <c r="G66" i="1"/>
  <c r="G67" i="1"/>
  <c r="I67" i="1" s="1"/>
  <c r="G68" i="1"/>
  <c r="G69" i="1"/>
  <c r="I69" i="1" s="1"/>
  <c r="G70" i="1"/>
  <c r="G71" i="1"/>
  <c r="I71" i="1" s="1"/>
  <c r="G72" i="1"/>
  <c r="G73" i="1"/>
  <c r="I73" i="1" s="1"/>
  <c r="G74" i="1"/>
  <c r="G75" i="1"/>
  <c r="I75" i="1" s="1"/>
  <c r="G76" i="1"/>
  <c r="G77" i="1"/>
  <c r="I77" i="1" s="1"/>
  <c r="G78" i="1"/>
  <c r="G79" i="1"/>
  <c r="I79" i="1" s="1"/>
  <c r="G80" i="1"/>
  <c r="G81" i="1"/>
  <c r="I81" i="1" s="1"/>
  <c r="G82" i="1"/>
  <c r="G83" i="1"/>
  <c r="I83" i="1" s="1"/>
  <c r="G84" i="1"/>
  <c r="G85" i="1"/>
  <c r="I85" i="1" s="1"/>
  <c r="G86" i="1"/>
  <c r="G87" i="1"/>
  <c r="I87" i="1" s="1"/>
  <c r="G88" i="1"/>
  <c r="G89" i="1"/>
  <c r="I89" i="1" s="1"/>
  <c r="G90" i="1"/>
  <c r="G91" i="1"/>
  <c r="I91" i="1" s="1"/>
  <c r="G92" i="1"/>
  <c r="G93" i="1"/>
  <c r="I93" i="1" s="1"/>
  <c r="G94" i="1"/>
  <c r="G95" i="1"/>
  <c r="I95" i="1" s="1"/>
  <c r="G96" i="1"/>
  <c r="G97" i="1"/>
  <c r="I97" i="1" s="1"/>
  <c r="G98" i="1"/>
  <c r="G99" i="1"/>
  <c r="I99" i="1" s="1"/>
  <c r="G100" i="1"/>
  <c r="G101" i="1"/>
  <c r="I101" i="1" s="1"/>
  <c r="G102" i="1"/>
  <c r="G103" i="1"/>
  <c r="I103" i="1" s="1"/>
  <c r="G104" i="1"/>
  <c r="G105" i="1"/>
  <c r="I105" i="1" s="1"/>
  <c r="G106" i="1"/>
  <c r="G107" i="1"/>
  <c r="I107" i="1" s="1"/>
  <c r="G108" i="1"/>
  <c r="G109" i="1"/>
  <c r="I109" i="1" s="1"/>
  <c r="G110" i="1"/>
  <c r="G111" i="1"/>
  <c r="I111" i="1" s="1"/>
  <c r="G112" i="1"/>
  <c r="G113" i="1"/>
  <c r="I113" i="1" s="1"/>
  <c r="G114" i="1"/>
  <c r="G115" i="1"/>
  <c r="I115" i="1" s="1"/>
  <c r="G116" i="1"/>
  <c r="G117" i="1"/>
  <c r="I117" i="1" s="1"/>
  <c r="G118" i="1"/>
  <c r="G119" i="1"/>
  <c r="I119" i="1" s="1"/>
  <c r="G120" i="1"/>
  <c r="G121" i="1"/>
  <c r="I121" i="1" s="1"/>
  <c r="G122" i="1"/>
  <c r="G123" i="1"/>
  <c r="I123" i="1" s="1"/>
  <c r="G124" i="1"/>
  <c r="G125" i="1"/>
  <c r="I125" i="1" s="1"/>
  <c r="G126" i="1"/>
  <c r="G127" i="1"/>
  <c r="I127" i="1" s="1"/>
  <c r="G128" i="1"/>
  <c r="G129" i="1"/>
  <c r="I129" i="1" s="1"/>
  <c r="G130" i="1"/>
  <c r="G131" i="1"/>
  <c r="I131" i="1" s="1"/>
  <c r="G132" i="1"/>
  <c r="G133" i="1"/>
  <c r="I133" i="1" s="1"/>
  <c r="G134" i="1"/>
  <c r="G135" i="1"/>
  <c r="I135" i="1" s="1"/>
  <c r="G136" i="1"/>
  <c r="G137" i="1"/>
  <c r="I137" i="1" s="1"/>
  <c r="G138" i="1"/>
  <c r="G139" i="1"/>
  <c r="I139" i="1" s="1"/>
  <c r="G140" i="1"/>
  <c r="G141" i="1"/>
  <c r="I141" i="1" s="1"/>
  <c r="G142" i="1"/>
  <c r="G143" i="1"/>
  <c r="I143" i="1" s="1"/>
  <c r="G144" i="1"/>
  <c r="G145" i="1"/>
  <c r="I145" i="1" s="1"/>
  <c r="G146" i="1"/>
  <c r="G147" i="1"/>
  <c r="I147" i="1" s="1"/>
  <c r="G148" i="1"/>
  <c r="G149" i="1"/>
  <c r="I149" i="1" s="1"/>
  <c r="G150" i="1"/>
  <c r="G151" i="1"/>
  <c r="I151" i="1" s="1"/>
  <c r="G152" i="1"/>
  <c r="G153" i="1"/>
  <c r="I153" i="1" s="1"/>
  <c r="G154" i="1"/>
  <c r="G155" i="1"/>
  <c r="I155" i="1" s="1"/>
  <c r="G156" i="1"/>
  <c r="G157" i="1"/>
  <c r="I157" i="1" s="1"/>
  <c r="G158" i="1"/>
  <c r="G159" i="1"/>
  <c r="I159" i="1" s="1"/>
  <c r="G160" i="1"/>
  <c r="G161" i="1"/>
  <c r="I161" i="1" s="1"/>
  <c r="G162" i="1"/>
  <c r="G163" i="1"/>
  <c r="I163" i="1" s="1"/>
  <c r="G164" i="1"/>
  <c r="G165" i="1"/>
  <c r="I165" i="1" s="1"/>
  <c r="G166" i="1"/>
  <c r="G167" i="1"/>
  <c r="I167" i="1" s="1"/>
  <c r="G168" i="1"/>
  <c r="G169" i="1"/>
  <c r="I169" i="1" s="1"/>
  <c r="G170" i="1"/>
  <c r="G171" i="1"/>
  <c r="I171" i="1" s="1"/>
  <c r="G172" i="1"/>
  <c r="G173" i="1"/>
  <c r="I173" i="1" s="1"/>
  <c r="G174" i="1"/>
  <c r="G175" i="1"/>
  <c r="I175" i="1" s="1"/>
  <c r="G176" i="1"/>
  <c r="G177" i="1"/>
  <c r="I177" i="1" s="1"/>
  <c r="G178" i="1"/>
  <c r="G179" i="1"/>
  <c r="I179" i="1" s="1"/>
  <c r="G180" i="1"/>
  <c r="G181" i="1"/>
  <c r="I181" i="1" s="1"/>
  <c r="G182" i="1"/>
  <c r="G183" i="1"/>
  <c r="I183" i="1" s="1"/>
  <c r="G184" i="1"/>
  <c r="G185" i="1"/>
  <c r="I185" i="1" s="1"/>
  <c r="G186" i="1"/>
  <c r="G187" i="1"/>
  <c r="I187" i="1" s="1"/>
  <c r="G188" i="1"/>
  <c r="G189" i="1"/>
  <c r="I189" i="1" s="1"/>
  <c r="G190" i="1"/>
  <c r="G191" i="1"/>
  <c r="I191" i="1" s="1"/>
  <c r="G192" i="1"/>
  <c r="G193" i="1"/>
  <c r="I193" i="1" s="1"/>
  <c r="G194" i="1"/>
  <c r="G195" i="1"/>
  <c r="I195" i="1" s="1"/>
  <c r="G196" i="1"/>
  <c r="G197" i="1"/>
  <c r="I197" i="1" s="1"/>
  <c r="G198" i="1"/>
  <c r="G199" i="1"/>
  <c r="I199" i="1" s="1"/>
  <c r="G200" i="1"/>
  <c r="G201" i="1"/>
  <c r="I201" i="1" s="1"/>
  <c r="G202" i="1"/>
  <c r="G203" i="1"/>
  <c r="I203" i="1" s="1"/>
  <c r="G204" i="1"/>
  <c r="G205" i="1"/>
  <c r="I205" i="1" s="1"/>
  <c r="G206" i="1"/>
  <c r="G207" i="1"/>
  <c r="I207" i="1" s="1"/>
  <c r="G208" i="1"/>
  <c r="G209" i="1"/>
  <c r="I209" i="1" s="1"/>
  <c r="G210" i="1"/>
  <c r="G211" i="1"/>
  <c r="I211" i="1" s="1"/>
  <c r="G212" i="1"/>
  <c r="G213" i="1"/>
  <c r="I213" i="1" s="1"/>
  <c r="G214" i="1"/>
  <c r="G215" i="1"/>
  <c r="I215" i="1" s="1"/>
  <c r="G216" i="1"/>
  <c r="G217" i="1"/>
  <c r="I217" i="1" s="1"/>
  <c r="G218" i="1"/>
  <c r="G219" i="1"/>
  <c r="I219" i="1" s="1"/>
  <c r="G220" i="1"/>
  <c r="G221" i="1"/>
  <c r="I221" i="1" s="1"/>
  <c r="G222" i="1"/>
  <c r="G223" i="1"/>
  <c r="I223" i="1" s="1"/>
  <c r="G224" i="1"/>
  <c r="G225" i="1"/>
  <c r="I225" i="1" s="1"/>
  <c r="G226" i="1"/>
  <c r="G227" i="1"/>
  <c r="I227" i="1" s="1"/>
  <c r="G228" i="1"/>
  <c r="G229" i="1"/>
  <c r="I229" i="1" s="1"/>
  <c r="G230" i="1"/>
  <c r="G231" i="1"/>
  <c r="I231" i="1" s="1"/>
  <c r="G232" i="1"/>
  <c r="G233" i="1"/>
  <c r="I233" i="1" s="1"/>
  <c r="G234" i="1"/>
  <c r="G235" i="1"/>
  <c r="I235" i="1" s="1"/>
  <c r="G236" i="1"/>
  <c r="G237" i="1"/>
  <c r="I237" i="1" s="1"/>
  <c r="G238" i="1"/>
  <c r="G239" i="1"/>
  <c r="I239" i="1" s="1"/>
  <c r="G240" i="1"/>
  <c r="G241" i="1"/>
  <c r="I241" i="1" s="1"/>
  <c r="G242" i="1"/>
  <c r="G243" i="1"/>
  <c r="I243" i="1" s="1"/>
  <c r="G244" i="1"/>
  <c r="G245" i="1"/>
  <c r="I245" i="1" s="1"/>
  <c r="G246" i="1"/>
  <c r="G247" i="1"/>
  <c r="I247" i="1" s="1"/>
  <c r="G248" i="1"/>
  <c r="G249" i="1"/>
  <c r="I249" i="1" s="1"/>
  <c r="G250" i="1"/>
  <c r="G251" i="1"/>
  <c r="I251" i="1" s="1"/>
  <c r="G252" i="1"/>
  <c r="G253" i="1"/>
  <c r="I253" i="1" s="1"/>
  <c r="G2" i="1"/>
  <c r="B78" i="1" l="1"/>
  <c r="B81" i="1" s="1"/>
  <c r="C76" i="1"/>
  <c r="C80" i="1" s="1"/>
  <c r="C78" i="1"/>
  <c r="B76" i="1"/>
  <c r="B80" i="1" s="1"/>
  <c r="C79" i="1"/>
  <c r="C82" i="1" s="1"/>
  <c r="B3" i="1"/>
  <c r="AA2" i="1"/>
  <c r="I2" i="1"/>
  <c r="AA252" i="1"/>
  <c r="AA250" i="1"/>
  <c r="AA248" i="1"/>
  <c r="AA246" i="1"/>
  <c r="AA244" i="1"/>
  <c r="AA242" i="1"/>
  <c r="AA240" i="1"/>
  <c r="AA238" i="1"/>
  <c r="AA236" i="1"/>
  <c r="AA234" i="1"/>
  <c r="AA232" i="1"/>
  <c r="AA230" i="1"/>
  <c r="AA228" i="1"/>
  <c r="AA226" i="1"/>
  <c r="AA224" i="1"/>
  <c r="AA222" i="1"/>
  <c r="AA220" i="1"/>
  <c r="AA218" i="1"/>
  <c r="AA216" i="1"/>
  <c r="AA214" i="1"/>
  <c r="AA212" i="1"/>
  <c r="AA210" i="1"/>
  <c r="AA208" i="1"/>
  <c r="AA206" i="1"/>
  <c r="AA204" i="1"/>
  <c r="AA202" i="1"/>
  <c r="AA200" i="1"/>
  <c r="AA198" i="1"/>
  <c r="AA196" i="1"/>
  <c r="AA194" i="1"/>
  <c r="AA192" i="1"/>
  <c r="AA190" i="1"/>
  <c r="AA188" i="1"/>
  <c r="AA186" i="1"/>
  <c r="AA184" i="1"/>
  <c r="AA182" i="1"/>
  <c r="AA180" i="1"/>
  <c r="AA178" i="1"/>
  <c r="AA176" i="1"/>
  <c r="I176" i="1"/>
  <c r="AA174" i="1"/>
  <c r="I174" i="1"/>
  <c r="AA172" i="1"/>
  <c r="I172" i="1"/>
  <c r="AA170" i="1"/>
  <c r="I170" i="1"/>
  <c r="AA168" i="1"/>
  <c r="I168" i="1"/>
  <c r="AA166" i="1"/>
  <c r="I166" i="1"/>
  <c r="AA164" i="1"/>
  <c r="I164" i="1"/>
  <c r="AA162" i="1"/>
  <c r="I162" i="1"/>
  <c r="AA160" i="1"/>
  <c r="I160" i="1"/>
  <c r="AA158" i="1"/>
  <c r="I158" i="1"/>
  <c r="AA156" i="1"/>
  <c r="I156" i="1"/>
  <c r="AA154" i="1"/>
  <c r="I154" i="1"/>
  <c r="AA152" i="1"/>
  <c r="I152" i="1"/>
  <c r="AA150" i="1"/>
  <c r="I150" i="1"/>
  <c r="AA148" i="1"/>
  <c r="I148" i="1"/>
  <c r="AA146" i="1"/>
  <c r="I146" i="1"/>
  <c r="AA144" i="1"/>
  <c r="I144" i="1"/>
  <c r="AA142" i="1"/>
  <c r="I142" i="1"/>
  <c r="AA140" i="1"/>
  <c r="I140" i="1"/>
  <c r="AA138" i="1"/>
  <c r="I138" i="1"/>
  <c r="AA136" i="1"/>
  <c r="I136" i="1"/>
  <c r="AA134" i="1"/>
  <c r="I134" i="1"/>
  <c r="AA132" i="1"/>
  <c r="I132" i="1"/>
  <c r="AA130" i="1"/>
  <c r="I130" i="1"/>
  <c r="AA128" i="1"/>
  <c r="I128" i="1"/>
  <c r="AA126" i="1"/>
  <c r="I126" i="1"/>
  <c r="AA124" i="1"/>
  <c r="I124" i="1"/>
  <c r="AA122" i="1"/>
  <c r="I122" i="1"/>
  <c r="AA120" i="1"/>
  <c r="I120" i="1"/>
  <c r="AA118" i="1"/>
  <c r="I118" i="1"/>
  <c r="AA116" i="1"/>
  <c r="I116" i="1"/>
  <c r="AA114" i="1"/>
  <c r="I114" i="1"/>
  <c r="AA112" i="1"/>
  <c r="I112" i="1"/>
  <c r="AA110" i="1"/>
  <c r="I110" i="1"/>
  <c r="AA108" i="1"/>
  <c r="I108" i="1"/>
  <c r="AA106" i="1"/>
  <c r="I106" i="1"/>
  <c r="AA104" i="1"/>
  <c r="I104" i="1"/>
  <c r="AA102" i="1"/>
  <c r="I102" i="1"/>
  <c r="AA100" i="1"/>
  <c r="I100" i="1"/>
  <c r="AA98" i="1"/>
  <c r="I98" i="1"/>
  <c r="AA96" i="1"/>
  <c r="I96" i="1"/>
  <c r="AA94" i="1"/>
  <c r="I94" i="1"/>
  <c r="AA92" i="1"/>
  <c r="I92" i="1"/>
  <c r="AA90" i="1"/>
  <c r="I90" i="1"/>
  <c r="AA88" i="1"/>
  <c r="I88" i="1"/>
  <c r="AA86" i="1"/>
  <c r="I86" i="1"/>
  <c r="AA84" i="1"/>
  <c r="I84" i="1"/>
  <c r="AA82" i="1"/>
  <c r="I82" i="1"/>
  <c r="AA80" i="1"/>
  <c r="I80" i="1"/>
  <c r="AA78" i="1"/>
  <c r="I78" i="1"/>
  <c r="AA76" i="1"/>
  <c r="I76" i="1"/>
  <c r="AA74" i="1"/>
  <c r="I74" i="1"/>
  <c r="AA72" i="1"/>
  <c r="I72" i="1"/>
  <c r="AA70" i="1"/>
  <c r="I70" i="1"/>
  <c r="AA68" i="1"/>
  <c r="I68" i="1"/>
  <c r="AA66" i="1"/>
  <c r="I66" i="1"/>
  <c r="AA64" i="1"/>
  <c r="I64" i="1"/>
  <c r="AA62" i="1"/>
  <c r="I62" i="1"/>
  <c r="AA60" i="1"/>
  <c r="I60" i="1"/>
  <c r="AA58" i="1"/>
  <c r="I58" i="1"/>
  <c r="AA56" i="1"/>
  <c r="I56" i="1"/>
  <c r="AA54" i="1"/>
  <c r="I54" i="1"/>
  <c r="AA52" i="1"/>
  <c r="I52" i="1"/>
  <c r="AA50" i="1"/>
  <c r="I50" i="1"/>
  <c r="AA48" i="1"/>
  <c r="I48" i="1"/>
  <c r="AA46" i="1"/>
  <c r="I46" i="1"/>
  <c r="AA44" i="1"/>
  <c r="I44" i="1"/>
  <c r="AA42" i="1"/>
  <c r="I42" i="1"/>
  <c r="AA40" i="1"/>
  <c r="I40" i="1"/>
  <c r="AA38" i="1"/>
  <c r="I38" i="1"/>
  <c r="AA36" i="1"/>
  <c r="I36" i="1"/>
  <c r="AA34" i="1"/>
  <c r="I34" i="1"/>
  <c r="AA32" i="1"/>
  <c r="I32" i="1"/>
  <c r="AA30" i="1"/>
  <c r="I30" i="1"/>
  <c r="AA28" i="1"/>
  <c r="I28" i="1"/>
  <c r="AA26" i="1"/>
  <c r="I26" i="1"/>
  <c r="AA24" i="1"/>
  <c r="I24" i="1"/>
  <c r="AA22" i="1"/>
  <c r="I22" i="1"/>
  <c r="AA20" i="1"/>
  <c r="I20" i="1"/>
  <c r="AA18" i="1"/>
  <c r="I18" i="1"/>
  <c r="AA16" i="1"/>
  <c r="I16" i="1"/>
  <c r="AA14" i="1"/>
  <c r="I14" i="1"/>
  <c r="AA12" i="1"/>
  <c r="I12" i="1"/>
  <c r="AA10" i="1"/>
  <c r="I10" i="1"/>
  <c r="AA8" i="1"/>
  <c r="I8" i="1"/>
  <c r="AA6" i="1"/>
  <c r="I6" i="1"/>
  <c r="AA4" i="1"/>
  <c r="I4" i="1"/>
  <c r="AB253" i="1"/>
  <c r="J253" i="1"/>
  <c r="AB251" i="1"/>
  <c r="J251" i="1"/>
  <c r="AB249" i="1"/>
  <c r="J249" i="1"/>
  <c r="AB247" i="1"/>
  <c r="J247" i="1"/>
  <c r="AB245" i="1"/>
  <c r="J245" i="1"/>
  <c r="AB243" i="1"/>
  <c r="J243" i="1"/>
  <c r="AB241" i="1"/>
  <c r="J241" i="1"/>
  <c r="AB239" i="1"/>
  <c r="J239" i="1"/>
  <c r="AB237" i="1"/>
  <c r="J237" i="1"/>
  <c r="AB235" i="1"/>
  <c r="J235" i="1"/>
  <c r="AB233" i="1"/>
  <c r="J233" i="1"/>
  <c r="AB231" i="1"/>
  <c r="J231" i="1"/>
  <c r="AB229" i="1"/>
  <c r="J229" i="1"/>
  <c r="AB227" i="1"/>
  <c r="J227" i="1"/>
  <c r="AB225" i="1"/>
  <c r="J225" i="1"/>
  <c r="AB223" i="1"/>
  <c r="J223" i="1"/>
  <c r="AB221" i="1"/>
  <c r="J221" i="1"/>
  <c r="AB219" i="1"/>
  <c r="J219" i="1"/>
  <c r="AB217" i="1"/>
  <c r="J217" i="1"/>
  <c r="AB215" i="1"/>
  <c r="J215" i="1"/>
  <c r="AB213" i="1"/>
  <c r="J213" i="1"/>
  <c r="AB211" i="1"/>
  <c r="J211" i="1"/>
  <c r="AB209" i="1"/>
  <c r="J209" i="1"/>
  <c r="AB207" i="1"/>
  <c r="J207" i="1"/>
  <c r="AB205" i="1"/>
  <c r="J205" i="1"/>
  <c r="AB203" i="1"/>
  <c r="J203" i="1"/>
  <c r="AB201" i="1"/>
  <c r="J201" i="1"/>
  <c r="AB199" i="1"/>
  <c r="J199" i="1"/>
  <c r="AB197" i="1"/>
  <c r="J197" i="1"/>
  <c r="AB195" i="1"/>
  <c r="J195" i="1"/>
  <c r="AB193" i="1"/>
  <c r="J193" i="1"/>
  <c r="AB191" i="1"/>
  <c r="J191" i="1"/>
  <c r="AB189" i="1"/>
  <c r="J189" i="1"/>
  <c r="AB187" i="1"/>
  <c r="J187" i="1"/>
  <c r="AB185" i="1"/>
  <c r="J185" i="1"/>
  <c r="AB183" i="1"/>
  <c r="J183" i="1"/>
  <c r="AB181" i="1"/>
  <c r="J181" i="1"/>
  <c r="AB179" i="1"/>
  <c r="J179" i="1"/>
  <c r="AB177" i="1"/>
  <c r="J177" i="1"/>
  <c r="AB175" i="1"/>
  <c r="J175" i="1"/>
  <c r="AB173" i="1"/>
  <c r="J173" i="1"/>
  <c r="AB171" i="1"/>
  <c r="J171" i="1"/>
  <c r="AB169" i="1"/>
  <c r="J169" i="1"/>
  <c r="AB167" i="1"/>
  <c r="J167" i="1"/>
  <c r="AB165" i="1"/>
  <c r="J165" i="1"/>
  <c r="AB163" i="1"/>
  <c r="J163" i="1"/>
  <c r="AB161" i="1"/>
  <c r="J161" i="1"/>
  <c r="AB159" i="1"/>
  <c r="J159" i="1"/>
  <c r="AB157" i="1"/>
  <c r="J157" i="1"/>
  <c r="AB155" i="1"/>
  <c r="J155" i="1"/>
  <c r="AB153" i="1"/>
  <c r="J153" i="1"/>
  <c r="AB151" i="1"/>
  <c r="J151" i="1"/>
  <c r="AB149" i="1"/>
  <c r="J149" i="1"/>
  <c r="AB147" i="1"/>
  <c r="J147" i="1"/>
  <c r="AB145" i="1"/>
  <c r="J145" i="1"/>
  <c r="AB143" i="1"/>
  <c r="J143" i="1"/>
  <c r="AB141" i="1"/>
  <c r="J141" i="1"/>
  <c r="AB139" i="1"/>
  <c r="J139" i="1"/>
  <c r="AB137" i="1"/>
  <c r="J137" i="1"/>
  <c r="AB135" i="1"/>
  <c r="J135" i="1"/>
  <c r="AB133" i="1"/>
  <c r="J133" i="1"/>
  <c r="AB131" i="1"/>
  <c r="J131" i="1"/>
  <c r="AB129" i="1"/>
  <c r="J129" i="1"/>
  <c r="AB127" i="1"/>
  <c r="J127" i="1"/>
  <c r="AB125" i="1"/>
  <c r="J125" i="1"/>
  <c r="AB123" i="1"/>
  <c r="J123" i="1"/>
  <c r="AB121" i="1"/>
  <c r="J121" i="1"/>
  <c r="AB119" i="1"/>
  <c r="J119" i="1"/>
  <c r="AB117" i="1"/>
  <c r="J117" i="1"/>
  <c r="AB115" i="1"/>
  <c r="J115" i="1"/>
  <c r="AB113" i="1"/>
  <c r="J113" i="1"/>
  <c r="AB111" i="1"/>
  <c r="J111" i="1"/>
  <c r="AB109" i="1"/>
  <c r="J109" i="1"/>
  <c r="AB107" i="1"/>
  <c r="J107" i="1"/>
  <c r="AB105" i="1"/>
  <c r="J105" i="1"/>
  <c r="AB103" i="1"/>
  <c r="J103" i="1"/>
  <c r="AB101" i="1"/>
  <c r="J101" i="1"/>
  <c r="AB99" i="1"/>
  <c r="J99" i="1"/>
  <c r="AB97" i="1"/>
  <c r="J97" i="1"/>
  <c r="AB95" i="1"/>
  <c r="J95" i="1"/>
  <c r="AB93" i="1"/>
  <c r="J93" i="1"/>
  <c r="AB91" i="1"/>
  <c r="J91" i="1"/>
  <c r="AB89" i="1"/>
  <c r="J89" i="1"/>
  <c r="AB87" i="1"/>
  <c r="J87" i="1"/>
  <c r="AB85" i="1"/>
  <c r="J85" i="1"/>
  <c r="AB83" i="1"/>
  <c r="J83" i="1"/>
  <c r="AB81" i="1"/>
  <c r="J81" i="1"/>
  <c r="AB79" i="1"/>
  <c r="J79" i="1"/>
  <c r="AB77" i="1"/>
  <c r="J77" i="1"/>
  <c r="AB75" i="1"/>
  <c r="J75" i="1"/>
  <c r="AB73" i="1"/>
  <c r="J73" i="1"/>
  <c r="AB71" i="1"/>
  <c r="J71" i="1"/>
  <c r="AB69" i="1"/>
  <c r="J69" i="1"/>
  <c r="AB67" i="1"/>
  <c r="J67" i="1"/>
  <c r="AB65" i="1"/>
  <c r="J65" i="1"/>
  <c r="AB63" i="1"/>
  <c r="J63" i="1"/>
  <c r="AB61" i="1"/>
  <c r="J61" i="1"/>
  <c r="AB59" i="1"/>
  <c r="J59" i="1"/>
  <c r="AB57" i="1"/>
  <c r="J57" i="1"/>
  <c r="AB55" i="1"/>
  <c r="J55" i="1"/>
  <c r="AB53" i="1"/>
  <c r="J53" i="1"/>
  <c r="AB51" i="1"/>
  <c r="J51" i="1"/>
  <c r="AB49" i="1"/>
  <c r="J49" i="1"/>
  <c r="AB47" i="1"/>
  <c r="J47" i="1"/>
  <c r="AB45" i="1"/>
  <c r="J45" i="1"/>
  <c r="AB43" i="1"/>
  <c r="J43" i="1"/>
  <c r="AB41" i="1"/>
  <c r="J41" i="1"/>
  <c r="AB39" i="1"/>
  <c r="J39" i="1"/>
  <c r="AB37" i="1"/>
  <c r="J37" i="1"/>
  <c r="AB35" i="1"/>
  <c r="J35" i="1"/>
  <c r="AB33" i="1"/>
  <c r="J33" i="1"/>
  <c r="AB31" i="1"/>
  <c r="J31" i="1"/>
  <c r="AB29" i="1"/>
  <c r="J29" i="1"/>
  <c r="AB27" i="1"/>
  <c r="J27" i="1"/>
  <c r="AB25" i="1"/>
  <c r="J25" i="1"/>
  <c r="AB23" i="1"/>
  <c r="J23" i="1"/>
  <c r="AB21" i="1"/>
  <c r="J21" i="1"/>
  <c r="AB19" i="1"/>
  <c r="J19" i="1"/>
  <c r="AB17" i="1"/>
  <c r="J17" i="1"/>
  <c r="AB15" i="1"/>
  <c r="J15" i="1"/>
  <c r="AB13" i="1"/>
  <c r="J13" i="1"/>
  <c r="AB11" i="1"/>
  <c r="J11" i="1"/>
  <c r="AB9" i="1"/>
  <c r="J9" i="1"/>
  <c r="AB7" i="1"/>
  <c r="J7" i="1"/>
  <c r="AB5" i="1"/>
  <c r="J5" i="1"/>
  <c r="AB3" i="1"/>
  <c r="J3" i="1"/>
  <c r="AA253" i="1"/>
  <c r="AA251" i="1"/>
  <c r="AA249" i="1"/>
  <c r="AA247" i="1"/>
  <c r="AA245" i="1"/>
  <c r="AA243" i="1"/>
  <c r="AA241" i="1"/>
  <c r="AA239" i="1"/>
  <c r="AA237" i="1"/>
  <c r="AA235" i="1"/>
  <c r="AA233" i="1"/>
  <c r="AA231" i="1"/>
  <c r="AA229" i="1"/>
  <c r="AA227" i="1"/>
  <c r="AA225" i="1"/>
  <c r="AA223" i="1"/>
  <c r="AA221" i="1"/>
  <c r="AA219" i="1"/>
  <c r="AA217" i="1"/>
  <c r="AA215" i="1"/>
  <c r="AA213" i="1"/>
  <c r="AA211" i="1"/>
  <c r="AA209" i="1"/>
  <c r="AA207" i="1"/>
  <c r="AA205" i="1"/>
  <c r="AA203" i="1"/>
  <c r="AA201" i="1"/>
  <c r="AA199" i="1"/>
  <c r="AA197" i="1"/>
  <c r="AA195" i="1"/>
  <c r="AA193" i="1"/>
  <c r="AA191" i="1"/>
  <c r="AA189" i="1"/>
  <c r="AA187" i="1"/>
  <c r="AA185" i="1"/>
  <c r="AA183" i="1"/>
  <c r="AA181" i="1"/>
  <c r="AA179" i="1"/>
  <c r="AA177" i="1"/>
  <c r="AA175" i="1"/>
  <c r="AA173" i="1"/>
  <c r="AA171" i="1"/>
  <c r="AA169" i="1"/>
  <c r="AA167" i="1"/>
  <c r="AA165" i="1"/>
  <c r="AA163" i="1"/>
  <c r="AA161" i="1"/>
  <c r="AA159" i="1"/>
  <c r="AA157" i="1"/>
  <c r="AA155" i="1"/>
  <c r="AA153" i="1"/>
  <c r="AA151" i="1"/>
  <c r="AA149" i="1"/>
  <c r="AA147" i="1"/>
  <c r="AA145" i="1"/>
  <c r="AA143" i="1"/>
  <c r="AA141" i="1"/>
  <c r="AA139" i="1"/>
  <c r="AA137" i="1"/>
  <c r="AA135" i="1"/>
  <c r="AA133" i="1"/>
  <c r="AA131" i="1"/>
  <c r="AA129" i="1"/>
  <c r="AA127" i="1"/>
  <c r="AA125" i="1"/>
  <c r="AA123" i="1"/>
  <c r="AA121" i="1"/>
  <c r="AA119" i="1"/>
  <c r="AA117" i="1"/>
  <c r="AA115" i="1"/>
  <c r="AA113" i="1"/>
  <c r="AA111" i="1"/>
  <c r="AA109" i="1"/>
  <c r="AA107" i="1"/>
  <c r="AA105" i="1"/>
  <c r="AA103" i="1"/>
  <c r="AA101" i="1"/>
  <c r="AA99" i="1"/>
  <c r="AA97" i="1"/>
  <c r="AA95" i="1"/>
  <c r="AA93" i="1"/>
  <c r="AA91" i="1"/>
  <c r="AA89" i="1"/>
  <c r="AA87" i="1"/>
  <c r="AA85" i="1"/>
  <c r="AA83" i="1"/>
  <c r="AA81" i="1"/>
  <c r="AA79" i="1"/>
  <c r="AA77" i="1"/>
  <c r="AA75" i="1"/>
  <c r="AA73" i="1"/>
  <c r="AA71" i="1"/>
  <c r="AA69" i="1"/>
  <c r="AA67" i="1"/>
  <c r="AA65" i="1"/>
  <c r="AA63" i="1"/>
  <c r="AA61" i="1"/>
  <c r="AA59" i="1"/>
  <c r="AA57" i="1"/>
  <c r="AA55" i="1"/>
  <c r="AA53" i="1"/>
  <c r="AA51" i="1"/>
  <c r="AA49" i="1"/>
  <c r="AA47" i="1"/>
  <c r="AA45" i="1"/>
  <c r="AA43" i="1"/>
  <c r="AA41" i="1"/>
  <c r="AA39" i="1"/>
  <c r="AA37" i="1"/>
  <c r="AA35" i="1"/>
  <c r="AA33" i="1"/>
  <c r="AA31" i="1"/>
  <c r="AA29" i="1"/>
  <c r="AA27" i="1"/>
  <c r="AA25" i="1"/>
  <c r="AA23" i="1"/>
  <c r="AA21" i="1"/>
  <c r="AA19" i="1"/>
  <c r="AA17" i="1"/>
  <c r="AA15" i="1"/>
  <c r="AA13" i="1"/>
  <c r="AA11" i="1"/>
  <c r="AA9" i="1"/>
  <c r="AA7" i="1"/>
  <c r="AA5" i="1"/>
  <c r="AA3" i="1"/>
  <c r="AB252" i="1"/>
  <c r="AB244" i="1"/>
  <c r="AB236" i="1"/>
  <c r="AB228" i="1"/>
  <c r="AB220" i="1"/>
  <c r="AB212" i="1"/>
  <c r="AB204" i="1"/>
  <c r="AB196" i="1"/>
  <c r="AB188" i="1"/>
  <c r="AB180" i="1"/>
  <c r="AB172" i="1"/>
  <c r="AB164" i="1"/>
  <c r="AB156" i="1"/>
  <c r="AB148" i="1"/>
  <c r="AB140" i="1"/>
  <c r="AB132" i="1"/>
  <c r="AB124" i="1"/>
  <c r="AB116" i="1"/>
  <c r="AB108" i="1"/>
  <c r="AB100" i="1"/>
  <c r="AB92" i="1"/>
  <c r="AB84" i="1"/>
  <c r="AB76" i="1"/>
  <c r="AB68" i="1"/>
  <c r="AB60" i="1"/>
  <c r="AB52" i="1"/>
  <c r="AB44" i="1"/>
  <c r="AB36" i="1"/>
  <c r="AB28" i="1"/>
  <c r="AB20" i="1"/>
  <c r="AB12" i="1"/>
  <c r="B6" i="1"/>
  <c r="C10" i="1" s="1"/>
  <c r="B4" i="1"/>
  <c r="AB250" i="1" s="1"/>
  <c r="AB2" i="1"/>
  <c r="J252" i="1"/>
  <c r="J250" i="1"/>
  <c r="J248" i="1"/>
  <c r="J246" i="1"/>
  <c r="J244" i="1"/>
  <c r="J242" i="1"/>
  <c r="J240" i="1"/>
  <c r="J238" i="1"/>
  <c r="J236" i="1"/>
  <c r="J234" i="1"/>
  <c r="J232" i="1"/>
  <c r="J230" i="1"/>
  <c r="J228" i="1"/>
  <c r="J226" i="1"/>
  <c r="J224" i="1"/>
  <c r="J222" i="1"/>
  <c r="J220" i="1"/>
  <c r="J218" i="1"/>
  <c r="J216" i="1"/>
  <c r="J214" i="1"/>
  <c r="J212" i="1"/>
  <c r="J210" i="1"/>
  <c r="J208" i="1"/>
  <c r="J206" i="1"/>
  <c r="J204" i="1"/>
  <c r="J202" i="1"/>
  <c r="J200" i="1"/>
  <c r="J198" i="1"/>
  <c r="J196" i="1"/>
  <c r="J194" i="1"/>
  <c r="J192" i="1"/>
  <c r="J190" i="1"/>
  <c r="J188" i="1"/>
  <c r="J186" i="1"/>
  <c r="J184" i="1"/>
  <c r="J182" i="1"/>
  <c r="J180" i="1"/>
  <c r="J178" i="1"/>
  <c r="J176" i="1"/>
  <c r="J174" i="1"/>
  <c r="J172" i="1"/>
  <c r="J170" i="1"/>
  <c r="J168" i="1"/>
  <c r="J166" i="1"/>
  <c r="J164" i="1"/>
  <c r="J162" i="1"/>
  <c r="J160" i="1"/>
  <c r="J158" i="1"/>
  <c r="J156" i="1"/>
  <c r="J154" i="1"/>
  <c r="J152" i="1"/>
  <c r="J150" i="1"/>
  <c r="J148" i="1"/>
  <c r="J146" i="1"/>
  <c r="J144" i="1"/>
  <c r="J142" i="1"/>
  <c r="J140" i="1"/>
  <c r="J138" i="1"/>
  <c r="J136" i="1"/>
  <c r="J134" i="1"/>
  <c r="J132" i="1"/>
  <c r="J130" i="1"/>
  <c r="J128" i="1"/>
  <c r="J126" i="1"/>
  <c r="J124" i="1"/>
  <c r="J122" i="1"/>
  <c r="J120" i="1"/>
  <c r="J118" i="1"/>
  <c r="J116" i="1"/>
  <c r="J114" i="1"/>
  <c r="J112" i="1"/>
  <c r="J110" i="1"/>
  <c r="J108" i="1"/>
  <c r="J106" i="1"/>
  <c r="J104" i="1"/>
  <c r="J102" i="1"/>
  <c r="J100" i="1"/>
  <c r="J98" i="1"/>
  <c r="J96" i="1"/>
  <c r="J94" i="1"/>
  <c r="J92" i="1"/>
  <c r="J90" i="1"/>
  <c r="J88" i="1"/>
  <c r="J86" i="1"/>
  <c r="J84" i="1"/>
  <c r="J82" i="1"/>
  <c r="J80" i="1"/>
  <c r="J78" i="1"/>
  <c r="J76" i="1"/>
  <c r="J74" i="1"/>
  <c r="J72" i="1"/>
  <c r="J70" i="1"/>
  <c r="J68" i="1"/>
  <c r="J66" i="1"/>
  <c r="J64" i="1"/>
  <c r="J62" i="1"/>
  <c r="J60" i="1"/>
  <c r="J58" i="1"/>
  <c r="J56" i="1"/>
  <c r="J54" i="1"/>
  <c r="J52" i="1"/>
  <c r="J50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12" i="1"/>
  <c r="J10" i="1"/>
  <c r="J8" i="1"/>
  <c r="J6" i="1"/>
  <c r="J4" i="1"/>
  <c r="B7" i="1"/>
  <c r="C9" i="1" s="1"/>
  <c r="B10" i="1" s="1"/>
  <c r="B5" i="1"/>
  <c r="B9" i="1" s="1"/>
  <c r="B79" i="1" l="1"/>
  <c r="B82" i="1" s="1"/>
  <c r="C81" i="1"/>
  <c r="AB8" i="1"/>
  <c r="AB16" i="1"/>
  <c r="AB24" i="1"/>
  <c r="AB32" i="1"/>
  <c r="AB40" i="1"/>
  <c r="AB48" i="1"/>
  <c r="AB56" i="1"/>
  <c r="AB64" i="1"/>
  <c r="AB72" i="1"/>
  <c r="AB80" i="1"/>
  <c r="AB88" i="1"/>
  <c r="AB96" i="1"/>
  <c r="AB104" i="1"/>
  <c r="AB112" i="1"/>
  <c r="AB120" i="1"/>
  <c r="AB128" i="1"/>
  <c r="AB136" i="1"/>
  <c r="AB144" i="1"/>
  <c r="AB152" i="1"/>
  <c r="AB160" i="1"/>
  <c r="AB168" i="1"/>
  <c r="AB176" i="1"/>
  <c r="AB184" i="1"/>
  <c r="AB192" i="1"/>
  <c r="AB200" i="1"/>
  <c r="AB208" i="1"/>
  <c r="AB216" i="1"/>
  <c r="AB224" i="1"/>
  <c r="AB232" i="1"/>
  <c r="AB240" i="1"/>
  <c r="AB248" i="1"/>
  <c r="AC8" i="1"/>
  <c r="AC12" i="1"/>
  <c r="AC16" i="1"/>
  <c r="AC20" i="1"/>
  <c r="AC24" i="1"/>
  <c r="AC28" i="1"/>
  <c r="AC32" i="1"/>
  <c r="AC36" i="1"/>
  <c r="AC40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5" i="1"/>
  <c r="AC9" i="1"/>
  <c r="AC13" i="1"/>
  <c r="AC17" i="1"/>
  <c r="AC21" i="1"/>
  <c r="AC25" i="1"/>
  <c r="AC29" i="1"/>
  <c r="AC33" i="1"/>
  <c r="AC37" i="1"/>
  <c r="AC41" i="1"/>
  <c r="AC45" i="1"/>
  <c r="AC49" i="1"/>
  <c r="AC53" i="1"/>
  <c r="AC57" i="1"/>
  <c r="AC61" i="1"/>
  <c r="AC65" i="1"/>
  <c r="AC69" i="1"/>
  <c r="AC73" i="1"/>
  <c r="AC77" i="1"/>
  <c r="AC81" i="1"/>
  <c r="AC85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1" i="1"/>
  <c r="AC145" i="1"/>
  <c r="AC149" i="1"/>
  <c r="AC153" i="1"/>
  <c r="AC157" i="1"/>
  <c r="AC161" i="1"/>
  <c r="AC165" i="1"/>
  <c r="AC169" i="1"/>
  <c r="AC171" i="1"/>
  <c r="AC173" i="1"/>
  <c r="AC175" i="1"/>
  <c r="AC177" i="1"/>
  <c r="AC179" i="1"/>
  <c r="AC181" i="1"/>
  <c r="AC183" i="1"/>
  <c r="AC185" i="1"/>
  <c r="AC187" i="1"/>
  <c r="AC189" i="1"/>
  <c r="AC191" i="1"/>
  <c r="AC193" i="1"/>
  <c r="AC195" i="1"/>
  <c r="AC197" i="1"/>
  <c r="AC199" i="1"/>
  <c r="AC201" i="1"/>
  <c r="AC203" i="1"/>
  <c r="AC205" i="1"/>
  <c r="AC207" i="1"/>
  <c r="AC209" i="1"/>
  <c r="AC211" i="1"/>
  <c r="AC213" i="1"/>
  <c r="AC215" i="1"/>
  <c r="AC217" i="1"/>
  <c r="AC219" i="1"/>
  <c r="AC221" i="1"/>
  <c r="AC223" i="1"/>
  <c r="AC225" i="1"/>
  <c r="AC227" i="1"/>
  <c r="AC229" i="1"/>
  <c r="AC231" i="1"/>
  <c r="AC233" i="1"/>
  <c r="AC235" i="1"/>
  <c r="AC237" i="1"/>
  <c r="AC239" i="1"/>
  <c r="AC241" i="1"/>
  <c r="AC243" i="1"/>
  <c r="AC245" i="1"/>
  <c r="AC247" i="1"/>
  <c r="AC249" i="1"/>
  <c r="AC251" i="1"/>
  <c r="AC253" i="1"/>
  <c r="AC3" i="1"/>
  <c r="AC11" i="1"/>
  <c r="AC19" i="1"/>
  <c r="AC27" i="1"/>
  <c r="AC35" i="1"/>
  <c r="AC43" i="1"/>
  <c r="AC51" i="1"/>
  <c r="AC59" i="1"/>
  <c r="AC67" i="1"/>
  <c r="AC75" i="1"/>
  <c r="AC83" i="1"/>
  <c r="AC91" i="1"/>
  <c r="AC99" i="1"/>
  <c r="AC107" i="1"/>
  <c r="AC115" i="1"/>
  <c r="AC123" i="1"/>
  <c r="AC131" i="1"/>
  <c r="AC139" i="1"/>
  <c r="AC147" i="1"/>
  <c r="AC155" i="1"/>
  <c r="AC163" i="1"/>
  <c r="AC250" i="1"/>
  <c r="AC2" i="1"/>
  <c r="AC7" i="1"/>
  <c r="AC15" i="1"/>
  <c r="AC23" i="1"/>
  <c r="AC31" i="1"/>
  <c r="AC39" i="1"/>
  <c r="AC47" i="1"/>
  <c r="AC55" i="1"/>
  <c r="AC63" i="1"/>
  <c r="AC71" i="1"/>
  <c r="AC79" i="1"/>
  <c r="AC87" i="1"/>
  <c r="AC95" i="1"/>
  <c r="AC103" i="1"/>
  <c r="AC111" i="1"/>
  <c r="AC119" i="1"/>
  <c r="AC127" i="1"/>
  <c r="AC135" i="1"/>
  <c r="AC143" i="1"/>
  <c r="AC151" i="1"/>
  <c r="AC159" i="1"/>
  <c r="AC167" i="1"/>
  <c r="AC172" i="1"/>
  <c r="AC176" i="1"/>
  <c r="AC180" i="1"/>
  <c r="AC184" i="1"/>
  <c r="AC188" i="1"/>
  <c r="AC192" i="1"/>
  <c r="AC196" i="1"/>
  <c r="AC200" i="1"/>
  <c r="AC204" i="1"/>
  <c r="AC208" i="1"/>
  <c r="AC212" i="1"/>
  <c r="AC216" i="1"/>
  <c r="AC220" i="1"/>
  <c r="AC224" i="1"/>
  <c r="AC228" i="1"/>
  <c r="AC232" i="1"/>
  <c r="AC236" i="1"/>
  <c r="AC240" i="1"/>
  <c r="AC244" i="1"/>
  <c r="AC248" i="1"/>
  <c r="AC252" i="1"/>
  <c r="B11" i="1"/>
  <c r="AB4" i="1"/>
  <c r="AC4" i="1" s="1"/>
  <c r="AB6" i="1"/>
  <c r="AC6" i="1" s="1"/>
  <c r="AB10" i="1"/>
  <c r="AC10" i="1" s="1"/>
  <c r="AB14" i="1"/>
  <c r="AC14" i="1" s="1"/>
  <c r="AB18" i="1"/>
  <c r="AC18" i="1" s="1"/>
  <c r="AB22" i="1"/>
  <c r="AC22" i="1" s="1"/>
  <c r="AB26" i="1"/>
  <c r="AC26" i="1" s="1"/>
  <c r="AB30" i="1"/>
  <c r="AC30" i="1" s="1"/>
  <c r="AB34" i="1"/>
  <c r="AC34" i="1" s="1"/>
  <c r="AB38" i="1"/>
  <c r="AC38" i="1" s="1"/>
  <c r="AB42" i="1"/>
  <c r="AC42" i="1" s="1"/>
  <c r="AB46" i="1"/>
  <c r="AC46" i="1" s="1"/>
  <c r="AB50" i="1"/>
  <c r="AC50" i="1" s="1"/>
  <c r="AB54" i="1"/>
  <c r="AC54" i="1" s="1"/>
  <c r="AB58" i="1"/>
  <c r="AC58" i="1" s="1"/>
  <c r="AB62" i="1"/>
  <c r="AC62" i="1" s="1"/>
  <c r="AB66" i="1"/>
  <c r="AC66" i="1" s="1"/>
  <c r="AB70" i="1"/>
  <c r="AC70" i="1" s="1"/>
  <c r="AB74" i="1"/>
  <c r="AC74" i="1" s="1"/>
  <c r="AB78" i="1"/>
  <c r="AC78" i="1" s="1"/>
  <c r="AB82" i="1"/>
  <c r="AC82" i="1" s="1"/>
  <c r="AB86" i="1"/>
  <c r="AC86" i="1" s="1"/>
  <c r="AB90" i="1"/>
  <c r="AC90" i="1" s="1"/>
  <c r="AB94" i="1"/>
  <c r="AC94" i="1" s="1"/>
  <c r="AB98" i="1"/>
  <c r="AC98" i="1" s="1"/>
  <c r="AB102" i="1"/>
  <c r="AC102" i="1" s="1"/>
  <c r="AB106" i="1"/>
  <c r="AC106" i="1" s="1"/>
  <c r="AB110" i="1"/>
  <c r="AC110" i="1" s="1"/>
  <c r="AB114" i="1"/>
  <c r="AC114" i="1" s="1"/>
  <c r="AB118" i="1"/>
  <c r="AC118" i="1" s="1"/>
  <c r="AB122" i="1"/>
  <c r="AC122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B19" i="1" a="1"/>
  <c r="C6" i="1" l="1"/>
  <c r="C19" i="1"/>
  <c r="B20" i="1"/>
  <c r="C20" i="1"/>
  <c r="B19" i="1"/>
  <c r="L252" i="1" l="1"/>
  <c r="M252" i="1" s="1"/>
  <c r="L248" i="1"/>
  <c r="M248" i="1" s="1"/>
  <c r="L244" i="1"/>
  <c r="M244" i="1" s="1"/>
  <c r="L240" i="1"/>
  <c r="M240" i="1" s="1"/>
  <c r="L236" i="1"/>
  <c r="M236" i="1" s="1"/>
  <c r="L232" i="1"/>
  <c r="M232" i="1" s="1"/>
  <c r="L228" i="1"/>
  <c r="M228" i="1" s="1"/>
  <c r="L224" i="1"/>
  <c r="M224" i="1" s="1"/>
  <c r="L220" i="1"/>
  <c r="M220" i="1" s="1"/>
  <c r="L216" i="1"/>
  <c r="M216" i="1" s="1"/>
  <c r="L212" i="1"/>
  <c r="M212" i="1" s="1"/>
  <c r="L208" i="1"/>
  <c r="M208" i="1" s="1"/>
  <c r="L204" i="1"/>
  <c r="M204" i="1" s="1"/>
  <c r="L200" i="1"/>
  <c r="M200" i="1" s="1"/>
  <c r="L196" i="1"/>
  <c r="M196" i="1" s="1"/>
  <c r="L192" i="1"/>
  <c r="M192" i="1" s="1"/>
  <c r="L188" i="1"/>
  <c r="M188" i="1" s="1"/>
  <c r="L184" i="1"/>
  <c r="M184" i="1" s="1"/>
  <c r="L180" i="1"/>
  <c r="M180" i="1" s="1"/>
  <c r="L251" i="1"/>
  <c r="M251" i="1" s="1"/>
  <c r="L247" i="1"/>
  <c r="M247" i="1" s="1"/>
  <c r="L243" i="1"/>
  <c r="M243" i="1" s="1"/>
  <c r="L239" i="1"/>
  <c r="M239" i="1" s="1"/>
  <c r="L235" i="1"/>
  <c r="M235" i="1" s="1"/>
  <c r="L231" i="1"/>
  <c r="M231" i="1" s="1"/>
  <c r="L227" i="1"/>
  <c r="M227" i="1" s="1"/>
  <c r="L223" i="1"/>
  <c r="M223" i="1" s="1"/>
  <c r="L219" i="1"/>
  <c r="M219" i="1" s="1"/>
  <c r="L215" i="1"/>
  <c r="M215" i="1" s="1"/>
  <c r="L211" i="1"/>
  <c r="M211" i="1" s="1"/>
  <c r="L207" i="1"/>
  <c r="M207" i="1" s="1"/>
  <c r="L203" i="1"/>
  <c r="M203" i="1" s="1"/>
  <c r="L199" i="1"/>
  <c r="M199" i="1" s="1"/>
  <c r="L195" i="1"/>
  <c r="M195" i="1" s="1"/>
  <c r="L191" i="1"/>
  <c r="M191" i="1" s="1"/>
  <c r="L187" i="1"/>
  <c r="M187" i="1" s="1"/>
  <c r="L183" i="1"/>
  <c r="M183" i="1" s="1"/>
  <c r="L179" i="1"/>
  <c r="M179" i="1" s="1"/>
  <c r="L175" i="1"/>
  <c r="M175" i="1" s="1"/>
  <c r="L171" i="1"/>
  <c r="M171" i="1" s="1"/>
  <c r="L167" i="1"/>
  <c r="M167" i="1" s="1"/>
  <c r="L163" i="1"/>
  <c r="M163" i="1" s="1"/>
  <c r="L159" i="1"/>
  <c r="M159" i="1" s="1"/>
  <c r="L155" i="1"/>
  <c r="M155" i="1" s="1"/>
  <c r="L151" i="1"/>
  <c r="M151" i="1" s="1"/>
  <c r="L147" i="1"/>
  <c r="M147" i="1" s="1"/>
  <c r="L143" i="1"/>
  <c r="M143" i="1" s="1"/>
  <c r="L139" i="1"/>
  <c r="M139" i="1" s="1"/>
  <c r="L135" i="1"/>
  <c r="M135" i="1" s="1"/>
  <c r="L131" i="1"/>
  <c r="M131" i="1" s="1"/>
  <c r="L127" i="1"/>
  <c r="M127" i="1" s="1"/>
  <c r="L123" i="1"/>
  <c r="M123" i="1" s="1"/>
  <c r="L119" i="1"/>
  <c r="M119" i="1" s="1"/>
  <c r="L115" i="1"/>
  <c r="M115" i="1" s="1"/>
  <c r="L111" i="1"/>
  <c r="M111" i="1" s="1"/>
  <c r="L107" i="1"/>
  <c r="M107" i="1" s="1"/>
  <c r="L103" i="1"/>
  <c r="M103" i="1" s="1"/>
  <c r="L99" i="1"/>
  <c r="M99" i="1" s="1"/>
  <c r="L95" i="1"/>
  <c r="M95" i="1" s="1"/>
  <c r="L91" i="1"/>
  <c r="M91" i="1" s="1"/>
  <c r="L87" i="1"/>
  <c r="M87" i="1" s="1"/>
  <c r="L83" i="1"/>
  <c r="M83" i="1" s="1"/>
  <c r="L79" i="1"/>
  <c r="M79" i="1" s="1"/>
  <c r="L75" i="1"/>
  <c r="M75" i="1" s="1"/>
  <c r="L71" i="1"/>
  <c r="M71" i="1" s="1"/>
  <c r="L67" i="1"/>
  <c r="M67" i="1" s="1"/>
  <c r="L63" i="1"/>
  <c r="M63" i="1" s="1"/>
  <c r="L59" i="1"/>
  <c r="M59" i="1" s="1"/>
  <c r="L55" i="1"/>
  <c r="M55" i="1" s="1"/>
  <c r="L51" i="1"/>
  <c r="M51" i="1" s="1"/>
  <c r="L47" i="1"/>
  <c r="M47" i="1" s="1"/>
  <c r="L43" i="1"/>
  <c r="M43" i="1" s="1"/>
  <c r="L39" i="1"/>
  <c r="M39" i="1" s="1"/>
  <c r="L35" i="1"/>
  <c r="M35" i="1" s="1"/>
  <c r="L31" i="1"/>
  <c r="M31" i="1" s="1"/>
  <c r="L27" i="1"/>
  <c r="M27" i="1" s="1"/>
  <c r="L23" i="1"/>
  <c r="M23" i="1" s="1"/>
  <c r="L19" i="1"/>
  <c r="M19" i="1" s="1"/>
  <c r="L15" i="1"/>
  <c r="M15" i="1" s="1"/>
  <c r="L11" i="1"/>
  <c r="M11" i="1" s="1"/>
  <c r="L7" i="1"/>
  <c r="M7" i="1" s="1"/>
  <c r="L3" i="1"/>
  <c r="M3" i="1" s="1"/>
  <c r="L250" i="1"/>
  <c r="M250" i="1" s="1"/>
  <c r="L246" i="1"/>
  <c r="M246" i="1" s="1"/>
  <c r="L242" i="1"/>
  <c r="M242" i="1" s="1"/>
  <c r="L238" i="1"/>
  <c r="M238" i="1" s="1"/>
  <c r="L234" i="1"/>
  <c r="M234" i="1" s="1"/>
  <c r="L230" i="1"/>
  <c r="M230" i="1" s="1"/>
  <c r="L226" i="1"/>
  <c r="M226" i="1" s="1"/>
  <c r="L222" i="1"/>
  <c r="M222" i="1" s="1"/>
  <c r="L218" i="1"/>
  <c r="M218" i="1" s="1"/>
  <c r="L214" i="1"/>
  <c r="M214" i="1" s="1"/>
  <c r="L210" i="1"/>
  <c r="M210" i="1" s="1"/>
  <c r="L206" i="1"/>
  <c r="M206" i="1" s="1"/>
  <c r="L202" i="1"/>
  <c r="M202" i="1" s="1"/>
  <c r="L198" i="1"/>
  <c r="M198" i="1" s="1"/>
  <c r="L194" i="1"/>
  <c r="M194" i="1" s="1"/>
  <c r="L190" i="1"/>
  <c r="M190" i="1" s="1"/>
  <c r="L186" i="1"/>
  <c r="M186" i="1" s="1"/>
  <c r="L182" i="1"/>
  <c r="M182" i="1" s="1"/>
  <c r="L178" i="1"/>
  <c r="M178" i="1" s="1"/>
  <c r="L253" i="1"/>
  <c r="M253" i="1" s="1"/>
  <c r="L249" i="1"/>
  <c r="M249" i="1" s="1"/>
  <c r="L245" i="1"/>
  <c r="M245" i="1" s="1"/>
  <c r="L241" i="1"/>
  <c r="M241" i="1" s="1"/>
  <c r="L237" i="1"/>
  <c r="M237" i="1" s="1"/>
  <c r="L233" i="1"/>
  <c r="M233" i="1" s="1"/>
  <c r="L229" i="1"/>
  <c r="M229" i="1" s="1"/>
  <c r="L225" i="1"/>
  <c r="M225" i="1" s="1"/>
  <c r="L221" i="1"/>
  <c r="M221" i="1" s="1"/>
  <c r="L217" i="1"/>
  <c r="M217" i="1" s="1"/>
  <c r="L213" i="1"/>
  <c r="M213" i="1" s="1"/>
  <c r="L209" i="1"/>
  <c r="M209" i="1" s="1"/>
  <c r="L205" i="1"/>
  <c r="M205" i="1" s="1"/>
  <c r="L201" i="1"/>
  <c r="M201" i="1" s="1"/>
  <c r="L197" i="1"/>
  <c r="M197" i="1" s="1"/>
  <c r="L193" i="1"/>
  <c r="M193" i="1" s="1"/>
  <c r="L189" i="1"/>
  <c r="M189" i="1" s="1"/>
  <c r="L185" i="1"/>
  <c r="M185" i="1" s="1"/>
  <c r="L181" i="1"/>
  <c r="M181" i="1" s="1"/>
  <c r="L177" i="1"/>
  <c r="M177" i="1" s="1"/>
  <c r="L173" i="1"/>
  <c r="M173" i="1" s="1"/>
  <c r="L169" i="1"/>
  <c r="M169" i="1" s="1"/>
  <c r="L165" i="1"/>
  <c r="M165" i="1" s="1"/>
  <c r="L161" i="1"/>
  <c r="M161" i="1" s="1"/>
  <c r="L157" i="1"/>
  <c r="M157" i="1" s="1"/>
  <c r="L153" i="1"/>
  <c r="M153" i="1" s="1"/>
  <c r="L149" i="1"/>
  <c r="M149" i="1" s="1"/>
  <c r="L145" i="1"/>
  <c r="M145" i="1" s="1"/>
  <c r="L141" i="1"/>
  <c r="M141" i="1" s="1"/>
  <c r="L137" i="1"/>
  <c r="M137" i="1" s="1"/>
  <c r="L133" i="1"/>
  <c r="M133" i="1" s="1"/>
  <c r="L129" i="1"/>
  <c r="M129" i="1" s="1"/>
  <c r="L125" i="1"/>
  <c r="M125" i="1" s="1"/>
  <c r="L121" i="1"/>
  <c r="M121" i="1" s="1"/>
  <c r="L117" i="1"/>
  <c r="M117" i="1" s="1"/>
  <c r="L113" i="1"/>
  <c r="M113" i="1" s="1"/>
  <c r="L109" i="1"/>
  <c r="M109" i="1" s="1"/>
  <c r="L105" i="1"/>
  <c r="M105" i="1" s="1"/>
  <c r="L101" i="1"/>
  <c r="M101" i="1" s="1"/>
  <c r="L97" i="1"/>
  <c r="M97" i="1" s="1"/>
  <c r="L93" i="1"/>
  <c r="M93" i="1" s="1"/>
  <c r="L89" i="1"/>
  <c r="M89" i="1" s="1"/>
  <c r="L85" i="1"/>
  <c r="M85" i="1" s="1"/>
  <c r="L81" i="1"/>
  <c r="M81" i="1" s="1"/>
  <c r="L77" i="1"/>
  <c r="M77" i="1" s="1"/>
  <c r="L73" i="1"/>
  <c r="M73" i="1" s="1"/>
  <c r="L69" i="1"/>
  <c r="M69" i="1" s="1"/>
  <c r="L65" i="1"/>
  <c r="M65" i="1" s="1"/>
  <c r="L61" i="1"/>
  <c r="M61" i="1" s="1"/>
  <c r="L57" i="1"/>
  <c r="M57" i="1" s="1"/>
  <c r="L53" i="1"/>
  <c r="M53" i="1" s="1"/>
  <c r="L49" i="1"/>
  <c r="M49" i="1" s="1"/>
  <c r="L45" i="1"/>
  <c r="M45" i="1" s="1"/>
  <c r="L41" i="1"/>
  <c r="M41" i="1" s="1"/>
  <c r="L37" i="1"/>
  <c r="M37" i="1" s="1"/>
  <c r="L33" i="1"/>
  <c r="M33" i="1" s="1"/>
  <c r="L29" i="1"/>
  <c r="M29" i="1" s="1"/>
  <c r="L25" i="1"/>
  <c r="M25" i="1" s="1"/>
  <c r="L21" i="1"/>
  <c r="M21" i="1" s="1"/>
  <c r="L17" i="1"/>
  <c r="M17" i="1" s="1"/>
  <c r="L13" i="1"/>
  <c r="M13" i="1" s="1"/>
  <c r="L9" i="1"/>
  <c r="M9" i="1" s="1"/>
  <c r="L5" i="1"/>
  <c r="M5" i="1" s="1"/>
  <c r="L2" i="1"/>
  <c r="M2" i="1" s="1"/>
  <c r="L4" i="1"/>
  <c r="M4" i="1" s="1"/>
  <c r="L8" i="1"/>
  <c r="M8" i="1" s="1"/>
  <c r="L12" i="1"/>
  <c r="M12" i="1" s="1"/>
  <c r="L16" i="1"/>
  <c r="M16" i="1" s="1"/>
  <c r="L20" i="1"/>
  <c r="M20" i="1" s="1"/>
  <c r="L24" i="1"/>
  <c r="M24" i="1" s="1"/>
  <c r="L28" i="1"/>
  <c r="M28" i="1" s="1"/>
  <c r="L32" i="1"/>
  <c r="M32" i="1" s="1"/>
  <c r="L36" i="1"/>
  <c r="M36" i="1" s="1"/>
  <c r="L40" i="1"/>
  <c r="M40" i="1" s="1"/>
  <c r="L44" i="1"/>
  <c r="M44" i="1" s="1"/>
  <c r="L48" i="1"/>
  <c r="M48" i="1" s="1"/>
  <c r="L52" i="1"/>
  <c r="M52" i="1" s="1"/>
  <c r="L56" i="1"/>
  <c r="M56" i="1" s="1"/>
  <c r="L60" i="1"/>
  <c r="M60" i="1" s="1"/>
  <c r="L64" i="1"/>
  <c r="M64" i="1" s="1"/>
  <c r="L68" i="1"/>
  <c r="M68" i="1" s="1"/>
  <c r="L72" i="1"/>
  <c r="M72" i="1" s="1"/>
  <c r="L76" i="1"/>
  <c r="M76" i="1" s="1"/>
  <c r="L80" i="1"/>
  <c r="M80" i="1" s="1"/>
  <c r="L84" i="1"/>
  <c r="M84" i="1" s="1"/>
  <c r="L88" i="1"/>
  <c r="M88" i="1" s="1"/>
  <c r="L92" i="1"/>
  <c r="M92" i="1" s="1"/>
  <c r="L96" i="1"/>
  <c r="M96" i="1" s="1"/>
  <c r="L100" i="1"/>
  <c r="M100" i="1" s="1"/>
  <c r="L104" i="1"/>
  <c r="M104" i="1" s="1"/>
  <c r="L108" i="1"/>
  <c r="M108" i="1" s="1"/>
  <c r="L112" i="1"/>
  <c r="M112" i="1" s="1"/>
  <c r="L116" i="1"/>
  <c r="M116" i="1" s="1"/>
  <c r="L120" i="1"/>
  <c r="M120" i="1" s="1"/>
  <c r="L124" i="1"/>
  <c r="M124" i="1" s="1"/>
  <c r="L128" i="1"/>
  <c r="M128" i="1" s="1"/>
  <c r="L132" i="1"/>
  <c r="M132" i="1" s="1"/>
  <c r="L10" i="1"/>
  <c r="M10" i="1" s="1"/>
  <c r="L18" i="1"/>
  <c r="M18" i="1" s="1"/>
  <c r="L26" i="1"/>
  <c r="M26" i="1" s="1"/>
  <c r="L34" i="1"/>
  <c r="M34" i="1" s="1"/>
  <c r="L42" i="1"/>
  <c r="M42" i="1" s="1"/>
  <c r="L50" i="1"/>
  <c r="M50" i="1" s="1"/>
  <c r="L58" i="1"/>
  <c r="M58" i="1" s="1"/>
  <c r="L66" i="1"/>
  <c r="M66" i="1" s="1"/>
  <c r="L74" i="1"/>
  <c r="M74" i="1" s="1"/>
  <c r="L82" i="1"/>
  <c r="M82" i="1" s="1"/>
  <c r="L90" i="1"/>
  <c r="M90" i="1" s="1"/>
  <c r="L98" i="1"/>
  <c r="M98" i="1" s="1"/>
  <c r="L106" i="1"/>
  <c r="M106" i="1" s="1"/>
  <c r="L114" i="1"/>
  <c r="M114" i="1" s="1"/>
  <c r="L122" i="1"/>
  <c r="M122" i="1" s="1"/>
  <c r="L130" i="1"/>
  <c r="M130" i="1" s="1"/>
  <c r="L136" i="1"/>
  <c r="M136" i="1" s="1"/>
  <c r="L140" i="1"/>
  <c r="M140" i="1" s="1"/>
  <c r="L144" i="1"/>
  <c r="M144" i="1" s="1"/>
  <c r="L148" i="1"/>
  <c r="M148" i="1" s="1"/>
  <c r="L152" i="1"/>
  <c r="M152" i="1" s="1"/>
  <c r="L156" i="1"/>
  <c r="M156" i="1" s="1"/>
  <c r="L160" i="1"/>
  <c r="M160" i="1" s="1"/>
  <c r="L164" i="1"/>
  <c r="M164" i="1" s="1"/>
  <c r="L168" i="1"/>
  <c r="M168" i="1" s="1"/>
  <c r="L172" i="1"/>
  <c r="M172" i="1" s="1"/>
  <c r="L176" i="1"/>
  <c r="M176" i="1" s="1"/>
  <c r="L6" i="1"/>
  <c r="M6" i="1" s="1"/>
  <c r="L14" i="1"/>
  <c r="M14" i="1" s="1"/>
  <c r="L22" i="1"/>
  <c r="M22" i="1" s="1"/>
  <c r="L30" i="1"/>
  <c r="M30" i="1" s="1"/>
  <c r="L38" i="1"/>
  <c r="M38" i="1" s="1"/>
  <c r="L46" i="1"/>
  <c r="M46" i="1" s="1"/>
  <c r="L54" i="1"/>
  <c r="M54" i="1" s="1"/>
  <c r="L62" i="1"/>
  <c r="M62" i="1" s="1"/>
  <c r="L70" i="1"/>
  <c r="M70" i="1" s="1"/>
  <c r="L78" i="1"/>
  <c r="M78" i="1" s="1"/>
  <c r="L86" i="1"/>
  <c r="M86" i="1" s="1"/>
  <c r="L94" i="1"/>
  <c r="M94" i="1" s="1"/>
  <c r="L102" i="1"/>
  <c r="M102" i="1" s="1"/>
  <c r="L110" i="1"/>
  <c r="M110" i="1" s="1"/>
  <c r="L118" i="1"/>
  <c r="M118" i="1" s="1"/>
  <c r="L126" i="1"/>
  <c r="M126" i="1" s="1"/>
  <c r="L134" i="1"/>
  <c r="M134" i="1" s="1"/>
  <c r="L138" i="1"/>
  <c r="M138" i="1" s="1"/>
  <c r="L142" i="1"/>
  <c r="M142" i="1" s="1"/>
  <c r="L146" i="1"/>
  <c r="M146" i="1" s="1"/>
  <c r="L150" i="1"/>
  <c r="M150" i="1" s="1"/>
  <c r="L154" i="1"/>
  <c r="M154" i="1" s="1"/>
  <c r="L158" i="1"/>
  <c r="M158" i="1" s="1"/>
  <c r="L162" i="1"/>
  <c r="M162" i="1" s="1"/>
  <c r="L166" i="1"/>
  <c r="M166" i="1" s="1"/>
  <c r="L170" i="1"/>
  <c r="M170" i="1" s="1"/>
  <c r="L174" i="1"/>
  <c r="M174" i="1" s="1"/>
  <c r="Z253" i="1"/>
  <c r="Z251" i="1"/>
  <c r="Z249" i="1"/>
  <c r="Z247" i="1"/>
  <c r="Z245" i="1"/>
  <c r="Z243" i="1"/>
  <c r="Z241" i="1"/>
  <c r="Z239" i="1"/>
  <c r="Z237" i="1"/>
  <c r="Z235" i="1"/>
  <c r="Z233" i="1"/>
  <c r="Z231" i="1"/>
  <c r="Z229" i="1"/>
  <c r="Z227" i="1"/>
  <c r="Z225" i="1"/>
  <c r="Z223" i="1"/>
  <c r="Z221" i="1"/>
  <c r="Z219" i="1"/>
  <c r="Z217" i="1"/>
  <c r="Z215" i="1"/>
  <c r="Z213" i="1"/>
  <c r="Z211" i="1"/>
  <c r="Z209" i="1"/>
  <c r="Z207" i="1"/>
  <c r="Z205" i="1"/>
  <c r="Z203" i="1"/>
  <c r="Z201" i="1"/>
  <c r="Z199" i="1"/>
  <c r="Z197" i="1"/>
  <c r="Z195" i="1"/>
  <c r="Z193" i="1"/>
  <c r="Z191" i="1"/>
  <c r="Z189" i="1"/>
  <c r="Z187" i="1"/>
  <c r="Z185" i="1"/>
  <c r="Z183" i="1"/>
  <c r="Z181" i="1"/>
  <c r="Z179" i="1"/>
  <c r="Z177" i="1"/>
  <c r="Z175" i="1"/>
  <c r="Z173" i="1"/>
  <c r="Z171" i="1"/>
  <c r="Z169" i="1"/>
  <c r="Z167" i="1"/>
  <c r="Z165" i="1"/>
  <c r="Z163" i="1"/>
  <c r="Z161" i="1"/>
  <c r="Z159" i="1"/>
  <c r="Z157" i="1"/>
  <c r="Z155" i="1"/>
  <c r="Z153" i="1"/>
  <c r="Z151" i="1"/>
  <c r="Z149" i="1"/>
  <c r="Z147" i="1"/>
  <c r="Z145" i="1"/>
  <c r="Z143" i="1"/>
  <c r="Z141" i="1"/>
  <c r="Z139" i="1"/>
  <c r="Z137" i="1"/>
  <c r="Z135" i="1"/>
  <c r="Z133" i="1"/>
  <c r="Z131" i="1"/>
  <c r="Z129" i="1"/>
  <c r="Z127" i="1"/>
  <c r="Z125" i="1"/>
  <c r="Z123" i="1"/>
  <c r="Z121" i="1"/>
  <c r="Z119" i="1"/>
  <c r="Z117" i="1"/>
  <c r="Z115" i="1"/>
  <c r="Z113" i="1"/>
  <c r="Z111" i="1"/>
  <c r="Z109" i="1"/>
  <c r="Z107" i="1"/>
  <c r="Z105" i="1"/>
  <c r="Z103" i="1"/>
  <c r="Z101" i="1"/>
  <c r="Z99" i="1"/>
  <c r="Z97" i="1"/>
  <c r="Z95" i="1"/>
  <c r="Z93" i="1"/>
  <c r="Z91" i="1"/>
  <c r="Z89" i="1"/>
  <c r="Z87" i="1"/>
  <c r="Z85" i="1"/>
  <c r="Z83" i="1"/>
  <c r="Z81" i="1"/>
  <c r="Z79" i="1"/>
  <c r="Z77" i="1"/>
  <c r="Z75" i="1"/>
  <c r="Z73" i="1"/>
  <c r="Z71" i="1"/>
  <c r="Z69" i="1"/>
  <c r="Z67" i="1"/>
  <c r="Z65" i="1"/>
  <c r="Z63" i="1"/>
  <c r="Z61" i="1"/>
  <c r="Z59" i="1"/>
  <c r="Z57" i="1"/>
  <c r="Z55" i="1"/>
  <c r="Z53" i="1"/>
  <c r="Z51" i="1"/>
  <c r="Z49" i="1"/>
  <c r="Z47" i="1"/>
  <c r="Z45" i="1"/>
  <c r="Z43" i="1"/>
  <c r="Z41" i="1"/>
  <c r="Z39" i="1"/>
  <c r="Z37" i="1"/>
  <c r="Z35" i="1"/>
  <c r="Z33" i="1"/>
  <c r="Z31" i="1"/>
  <c r="Z29" i="1"/>
  <c r="Z27" i="1"/>
  <c r="Z25" i="1"/>
  <c r="Z23" i="1"/>
  <c r="Z21" i="1"/>
  <c r="Z19" i="1"/>
  <c r="Z17" i="1"/>
  <c r="Z15" i="1"/>
  <c r="Z13" i="1"/>
  <c r="Z11" i="1"/>
  <c r="Z9" i="1"/>
  <c r="Z7" i="1"/>
  <c r="Z5" i="1"/>
  <c r="Z3" i="1"/>
  <c r="Z128" i="1"/>
  <c r="Z124" i="1"/>
  <c r="Z120" i="1"/>
  <c r="Z252" i="1"/>
  <c r="Z250" i="1"/>
  <c r="Z248" i="1"/>
  <c r="Z246" i="1"/>
  <c r="Z244" i="1"/>
  <c r="Z242" i="1"/>
  <c r="Z240" i="1"/>
  <c r="Z238" i="1"/>
  <c r="Z236" i="1"/>
  <c r="Z234" i="1"/>
  <c r="Z232" i="1"/>
  <c r="Z230" i="1"/>
  <c r="Z228" i="1"/>
  <c r="Z226" i="1"/>
  <c r="Z224" i="1"/>
  <c r="Z222" i="1"/>
  <c r="Z220" i="1"/>
  <c r="Z218" i="1"/>
  <c r="Z216" i="1"/>
  <c r="Z214" i="1"/>
  <c r="Z212" i="1"/>
  <c r="Z210" i="1"/>
  <c r="Z208" i="1"/>
  <c r="Z206" i="1"/>
  <c r="Z204" i="1"/>
  <c r="Z202" i="1"/>
  <c r="Z200" i="1"/>
  <c r="Z198" i="1"/>
  <c r="Z196" i="1"/>
  <c r="Z194" i="1"/>
  <c r="Z192" i="1"/>
  <c r="Z190" i="1"/>
  <c r="Z188" i="1"/>
  <c r="Z186" i="1"/>
  <c r="Z184" i="1"/>
  <c r="Z182" i="1"/>
  <c r="Z180" i="1"/>
  <c r="Z178" i="1"/>
  <c r="Z176" i="1"/>
  <c r="Z174" i="1"/>
  <c r="Z172" i="1"/>
  <c r="Z170" i="1"/>
  <c r="Z168" i="1"/>
  <c r="Z166" i="1"/>
  <c r="Z164" i="1"/>
  <c r="Z162" i="1"/>
  <c r="Z160" i="1"/>
  <c r="Z158" i="1"/>
  <c r="Z156" i="1"/>
  <c r="Z154" i="1"/>
  <c r="Z152" i="1"/>
  <c r="Z150" i="1"/>
  <c r="Z148" i="1"/>
  <c r="Z146" i="1"/>
  <c r="Z144" i="1"/>
  <c r="Z142" i="1"/>
  <c r="Z140" i="1"/>
  <c r="Z138" i="1"/>
  <c r="Z136" i="1"/>
  <c r="Z134" i="1"/>
  <c r="Z132" i="1"/>
  <c r="Z130" i="1"/>
  <c r="Z126" i="1"/>
  <c r="Z122" i="1"/>
  <c r="Z118" i="1"/>
  <c r="Z116" i="1"/>
  <c r="Z114" i="1"/>
  <c r="Z112" i="1"/>
  <c r="Z110" i="1"/>
  <c r="Z108" i="1"/>
  <c r="Z106" i="1"/>
  <c r="Z104" i="1"/>
  <c r="Z102" i="1"/>
  <c r="Z100" i="1"/>
  <c r="Z98" i="1"/>
  <c r="Z96" i="1"/>
  <c r="Z94" i="1"/>
  <c r="Z92" i="1"/>
  <c r="Z90" i="1"/>
  <c r="Z88" i="1"/>
  <c r="Z86" i="1"/>
  <c r="Z84" i="1"/>
  <c r="Z82" i="1"/>
  <c r="Z80" i="1"/>
  <c r="Z78" i="1"/>
  <c r="Z76" i="1"/>
  <c r="Z72" i="1"/>
  <c r="Z68" i="1"/>
  <c r="Z64" i="1"/>
  <c r="Z60" i="1"/>
  <c r="Z56" i="1"/>
  <c r="Z52" i="1"/>
  <c r="Z48" i="1"/>
  <c r="Z44" i="1"/>
  <c r="Z40" i="1"/>
  <c r="Z36" i="1"/>
  <c r="Z32" i="1"/>
  <c r="Z28" i="1"/>
  <c r="Z24" i="1"/>
  <c r="Z20" i="1"/>
  <c r="Z16" i="1"/>
  <c r="Z12" i="1"/>
  <c r="Z8" i="1"/>
  <c r="Z4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Z10" i="1"/>
  <c r="Z6" i="1"/>
  <c r="Z2" i="1"/>
  <c r="B21" i="1" l="1"/>
  <c r="N11" i="1"/>
  <c r="N17" i="1"/>
  <c r="N27" i="1"/>
  <c r="N35" i="1"/>
  <c r="N45" i="1"/>
  <c r="N54" i="1"/>
  <c r="N63" i="1"/>
  <c r="N73" i="1"/>
  <c r="N82" i="1"/>
  <c r="N93" i="1"/>
  <c r="N102" i="1"/>
  <c r="N114" i="1"/>
  <c r="N125" i="1"/>
  <c r="N134" i="1"/>
  <c r="N146" i="1"/>
  <c r="N157" i="1"/>
  <c r="N166" i="1"/>
  <c r="N178" i="1"/>
  <c r="N189" i="1"/>
  <c r="N205" i="1"/>
  <c r="N221" i="1"/>
  <c r="N237" i="1"/>
  <c r="N253" i="1"/>
  <c r="N14" i="1"/>
  <c r="N21" i="1"/>
  <c r="N30" i="1"/>
  <c r="N39" i="1"/>
  <c r="N48" i="1"/>
  <c r="N57" i="1"/>
  <c r="N66" i="1"/>
  <c r="N76" i="1"/>
  <c r="N85" i="1"/>
  <c r="N91" i="1"/>
  <c r="N97" i="1"/>
  <c r="N101" i="1"/>
  <c r="N107" i="1"/>
  <c r="N113" i="1"/>
  <c r="N117" i="1"/>
  <c r="N123" i="1"/>
  <c r="N129" i="1"/>
  <c r="N133" i="1"/>
  <c r="N139" i="1"/>
  <c r="N145" i="1"/>
  <c r="N149" i="1"/>
  <c r="N155" i="1"/>
  <c r="N161" i="1"/>
  <c r="N165" i="1"/>
  <c r="N171" i="1"/>
  <c r="N177" i="1"/>
  <c r="N182" i="1"/>
  <c r="N188" i="1"/>
  <c r="N194" i="1"/>
  <c r="N202" i="1"/>
  <c r="N210" i="1"/>
  <c r="N218" i="1"/>
  <c r="N226" i="1"/>
  <c r="N234" i="1"/>
  <c r="N242" i="1"/>
  <c r="N250" i="1"/>
  <c r="N252" i="1"/>
  <c r="N248" i="1"/>
  <c r="N244" i="1"/>
  <c r="N240" i="1"/>
  <c r="N236" i="1"/>
  <c r="N232" i="1"/>
  <c r="N228" i="1"/>
  <c r="N224" i="1"/>
  <c r="N220" i="1"/>
  <c r="N216" i="1"/>
  <c r="N212" i="1"/>
  <c r="N208" i="1"/>
  <c r="N204" i="1"/>
  <c r="N200" i="1"/>
  <c r="N196" i="1"/>
  <c r="N192" i="1"/>
  <c r="N187" i="1"/>
  <c r="N179" i="1"/>
  <c r="N172" i="1"/>
  <c r="N167" i="1"/>
  <c r="N156" i="1"/>
  <c r="N151" i="1"/>
  <c r="N140" i="1"/>
  <c r="N135" i="1"/>
  <c r="N124" i="1"/>
  <c r="N119" i="1"/>
  <c r="N108" i="1"/>
  <c r="N103" i="1"/>
  <c r="N92" i="1"/>
  <c r="N87" i="1"/>
  <c r="N72" i="1"/>
  <c r="N58" i="1"/>
  <c r="N40" i="1"/>
  <c r="N26" i="1"/>
  <c r="N8" i="1"/>
  <c r="N4" i="1"/>
  <c r="N3" i="1"/>
  <c r="N22" i="1"/>
  <c r="N31" i="1"/>
  <c r="N41" i="1"/>
  <c r="N49" i="1"/>
  <c r="N59" i="1"/>
  <c r="N67" i="1"/>
  <c r="N77" i="1"/>
  <c r="N86" i="1"/>
  <c r="N98" i="1"/>
  <c r="N109" i="1"/>
  <c r="N118" i="1"/>
  <c r="N130" i="1"/>
  <c r="N141" i="1"/>
  <c r="N150" i="1"/>
  <c r="N162" i="1"/>
  <c r="N173" i="1"/>
  <c r="N183" i="1"/>
  <c r="N197" i="1"/>
  <c r="N213" i="1"/>
  <c r="N229" i="1"/>
  <c r="N245" i="1"/>
  <c r="N9" i="1"/>
  <c r="N16" i="1"/>
  <c r="N25" i="1"/>
  <c r="N34" i="1"/>
  <c r="N44" i="1"/>
  <c r="N53" i="1"/>
  <c r="N62" i="1"/>
  <c r="N71" i="1"/>
  <c r="N81" i="1"/>
  <c r="N7" i="1"/>
  <c r="N13" i="1"/>
  <c r="N15" i="1"/>
  <c r="N20" i="1"/>
  <c r="N24" i="1"/>
  <c r="N29" i="1"/>
  <c r="N33" i="1"/>
  <c r="N38" i="1"/>
  <c r="N43" i="1"/>
  <c r="N47" i="1"/>
  <c r="N52" i="1"/>
  <c r="N56" i="1"/>
  <c r="N61" i="1"/>
  <c r="N65" i="1"/>
  <c r="N70" i="1"/>
  <c r="N75" i="1"/>
  <c r="N80" i="1"/>
  <c r="N84" i="1"/>
  <c r="N90" i="1"/>
  <c r="N96" i="1"/>
  <c r="N100" i="1"/>
  <c r="N106" i="1"/>
  <c r="N112" i="1"/>
  <c r="N116" i="1"/>
  <c r="N122" i="1"/>
  <c r="N128" i="1"/>
  <c r="N132" i="1"/>
  <c r="N138" i="1"/>
  <c r="N144" i="1"/>
  <c r="N148" i="1"/>
  <c r="N154" i="1"/>
  <c r="N160" i="1"/>
  <c r="N164" i="1"/>
  <c r="N170" i="1"/>
  <c r="N175" i="1"/>
  <c r="N181" i="1"/>
  <c r="N186" i="1"/>
  <c r="N193" i="1"/>
  <c r="N201" i="1"/>
  <c r="N209" i="1"/>
  <c r="N217" i="1"/>
  <c r="N225" i="1"/>
  <c r="N233" i="1"/>
  <c r="N241" i="1"/>
  <c r="N249" i="1"/>
  <c r="N6" i="1"/>
  <c r="N12" i="1"/>
  <c r="N10" i="1"/>
  <c r="N18" i="1"/>
  <c r="N23" i="1"/>
  <c r="N28" i="1"/>
  <c r="N32" i="1"/>
  <c r="N36" i="1"/>
  <c r="N42" i="1"/>
  <c r="N46" i="1"/>
  <c r="N50" i="1"/>
  <c r="N55" i="1"/>
  <c r="N60" i="1"/>
  <c r="N64" i="1"/>
  <c r="N68" i="1"/>
  <c r="N74" i="1"/>
  <c r="N79" i="1"/>
  <c r="N83" i="1"/>
  <c r="N88" i="1"/>
  <c r="N95" i="1"/>
  <c r="N99" i="1"/>
  <c r="N104" i="1"/>
  <c r="N111" i="1"/>
  <c r="N115" i="1"/>
  <c r="N120" i="1"/>
  <c r="N127" i="1"/>
  <c r="N131" i="1"/>
  <c r="N136" i="1"/>
  <c r="N143" i="1"/>
  <c r="N147" i="1"/>
  <c r="N152" i="1"/>
  <c r="N159" i="1"/>
  <c r="N163" i="1"/>
  <c r="N168" i="1"/>
  <c r="N174" i="1"/>
  <c r="N180" i="1"/>
  <c r="N185" i="1"/>
  <c r="N190" i="1"/>
  <c r="N198" i="1"/>
  <c r="N206" i="1"/>
  <c r="N214" i="1"/>
  <c r="N222" i="1"/>
  <c r="N230" i="1"/>
  <c r="N238" i="1"/>
  <c r="N246" i="1"/>
  <c r="N251" i="1"/>
  <c r="N247" i="1"/>
  <c r="N243" i="1"/>
  <c r="N239" i="1"/>
  <c r="N235" i="1"/>
  <c r="N231" i="1"/>
  <c r="N227" i="1"/>
  <c r="N223" i="1"/>
  <c r="N219" i="1"/>
  <c r="N215" i="1"/>
  <c r="N211" i="1"/>
  <c r="N207" i="1"/>
  <c r="N203" i="1"/>
  <c r="N199" i="1"/>
  <c r="N195" i="1"/>
  <c r="N191" i="1"/>
  <c r="N184" i="1"/>
  <c r="N176" i="1"/>
  <c r="N169" i="1"/>
  <c r="N158" i="1"/>
  <c r="N153" i="1"/>
  <c r="N142" i="1"/>
  <c r="N137" i="1"/>
  <c r="N126" i="1"/>
  <c r="N121" i="1"/>
  <c r="N110" i="1"/>
  <c r="N105" i="1"/>
  <c r="N94" i="1"/>
  <c r="N89" i="1"/>
  <c r="N78" i="1"/>
  <c r="N69" i="1"/>
  <c r="N51" i="1"/>
  <c r="N37" i="1"/>
  <c r="N19" i="1"/>
  <c r="N5" i="1"/>
  <c r="N2" i="1"/>
  <c r="B30" i="1"/>
  <c r="B27" i="1" l="1"/>
  <c r="B26" i="1"/>
  <c r="B29" i="1"/>
  <c r="P5" i="1" l="1"/>
  <c r="P13" i="1"/>
  <c r="P21" i="1"/>
  <c r="P29" i="1"/>
  <c r="P37" i="1"/>
  <c r="P45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B48" i="1"/>
  <c r="P18" i="1"/>
  <c r="P34" i="1"/>
  <c r="P50" i="1"/>
  <c r="P66" i="1"/>
  <c r="P82" i="1"/>
  <c r="P98" i="1"/>
  <c r="P114" i="1"/>
  <c r="P130" i="1"/>
  <c r="P146" i="1"/>
  <c r="P162" i="1"/>
  <c r="P175" i="1"/>
  <c r="P183" i="1"/>
  <c r="P191" i="1"/>
  <c r="P199" i="1"/>
  <c r="P207" i="1"/>
  <c r="P215" i="1"/>
  <c r="P227" i="1"/>
  <c r="P247" i="1"/>
  <c r="P12" i="1"/>
  <c r="P28" i="1"/>
  <c r="P15" i="1"/>
  <c r="P31" i="1"/>
  <c r="P47" i="1"/>
  <c r="P63" i="1"/>
  <c r="P79" i="1"/>
  <c r="P95" i="1"/>
  <c r="P111" i="1"/>
  <c r="P127" i="1"/>
  <c r="P143" i="1"/>
  <c r="P159" i="1"/>
  <c r="P6" i="1"/>
  <c r="P38" i="1"/>
  <c r="P70" i="1"/>
  <c r="P102" i="1"/>
  <c r="P134" i="1"/>
  <c r="P166" i="1"/>
  <c r="P185" i="1"/>
  <c r="P201" i="1"/>
  <c r="P217" i="1"/>
  <c r="P253" i="1"/>
  <c r="P32" i="1"/>
  <c r="P48" i="1"/>
  <c r="P64" i="1"/>
  <c r="P80" i="1"/>
  <c r="P96" i="1"/>
  <c r="P112" i="1"/>
  <c r="P128" i="1"/>
  <c r="P144" i="1"/>
  <c r="P160" i="1"/>
  <c r="P174" i="1"/>
  <c r="P182" i="1"/>
  <c r="P190" i="1"/>
  <c r="P198" i="1"/>
  <c r="P206" i="1"/>
  <c r="P214" i="1"/>
  <c r="P222" i="1"/>
  <c r="P230" i="1"/>
  <c r="P238" i="1"/>
  <c r="P246" i="1"/>
  <c r="P2" i="1"/>
  <c r="P231" i="1"/>
  <c r="P245" i="1"/>
  <c r="P9" i="1"/>
  <c r="P25" i="1"/>
  <c r="P41" i="1"/>
  <c r="P57" i="1"/>
  <c r="P73" i="1"/>
  <c r="P89" i="1"/>
  <c r="P105" i="1"/>
  <c r="P121" i="1"/>
  <c r="P137" i="1"/>
  <c r="P153" i="1"/>
  <c r="P169" i="1"/>
  <c r="P26" i="1"/>
  <c r="P58" i="1"/>
  <c r="P90" i="1"/>
  <c r="P122" i="1"/>
  <c r="P154" i="1"/>
  <c r="P179" i="1"/>
  <c r="P195" i="1"/>
  <c r="P211" i="1"/>
  <c r="P237" i="1"/>
  <c r="P20" i="1"/>
  <c r="P23" i="1"/>
  <c r="P55" i="1"/>
  <c r="P87" i="1"/>
  <c r="P119" i="1"/>
  <c r="P151" i="1"/>
  <c r="P22" i="1"/>
  <c r="P86" i="1"/>
  <c r="P150" i="1"/>
  <c r="P193" i="1"/>
  <c r="P233" i="1"/>
  <c r="P40" i="1"/>
  <c r="P72" i="1"/>
  <c r="P104" i="1"/>
  <c r="P136" i="1"/>
  <c r="P168" i="1"/>
  <c r="P186" i="1"/>
  <c r="P202" i="1"/>
  <c r="P218" i="1"/>
  <c r="P234" i="1"/>
  <c r="P250" i="1"/>
  <c r="P239" i="1"/>
  <c r="P19" i="1"/>
  <c r="P51" i="1"/>
  <c r="P83" i="1"/>
  <c r="P115" i="1"/>
  <c r="P147" i="1"/>
  <c r="P14" i="1"/>
  <c r="P78" i="1"/>
  <c r="P142" i="1"/>
  <c r="P189" i="1"/>
  <c r="P223" i="1"/>
  <c r="P36" i="1"/>
  <c r="P68" i="1"/>
  <c r="P100" i="1"/>
  <c r="P132" i="1"/>
  <c r="P164" i="1"/>
  <c r="P184" i="1"/>
  <c r="P200" i="1"/>
  <c r="P216" i="1"/>
  <c r="P232" i="1"/>
  <c r="P248" i="1"/>
  <c r="P235" i="1"/>
  <c r="P11" i="1"/>
  <c r="P75" i="1"/>
  <c r="P139" i="1"/>
  <c r="P62" i="1"/>
  <c r="P181" i="1"/>
  <c r="P24" i="1"/>
  <c r="P92" i="1"/>
  <c r="P156" i="1"/>
  <c r="P196" i="1"/>
  <c r="P228" i="1"/>
  <c r="P229" i="1"/>
  <c r="P27" i="1"/>
  <c r="P155" i="1"/>
  <c r="P197" i="1"/>
  <c r="P108" i="1"/>
  <c r="P204" i="1"/>
  <c r="P241" i="1"/>
  <c r="P123" i="1"/>
  <c r="P158" i="1"/>
  <c r="P76" i="1"/>
  <c r="P188" i="1"/>
  <c r="P33" i="1"/>
  <c r="P65" i="1"/>
  <c r="P97" i="1"/>
  <c r="P129" i="1"/>
  <c r="P161" i="1"/>
  <c r="P42" i="1"/>
  <c r="P106" i="1"/>
  <c r="P170" i="1"/>
  <c r="P203" i="1"/>
  <c r="P4" i="1"/>
  <c r="P39" i="1"/>
  <c r="P103" i="1"/>
  <c r="P167" i="1"/>
  <c r="P118" i="1"/>
  <c r="P209" i="1"/>
  <c r="P56" i="1"/>
  <c r="P120" i="1"/>
  <c r="P178" i="1"/>
  <c r="P210" i="1"/>
  <c r="P242" i="1"/>
  <c r="P3" i="1"/>
  <c r="P67" i="1"/>
  <c r="P131" i="1"/>
  <c r="P46" i="1"/>
  <c r="P173" i="1"/>
  <c r="P8" i="1"/>
  <c r="P84" i="1"/>
  <c r="P148" i="1"/>
  <c r="P192" i="1"/>
  <c r="P224" i="1"/>
  <c r="P221" i="1"/>
  <c r="P43" i="1"/>
  <c r="P171" i="1"/>
  <c r="P213" i="1"/>
  <c r="P124" i="1"/>
  <c r="P212" i="1"/>
  <c r="P251" i="1"/>
  <c r="P94" i="1"/>
  <c r="P172" i="1"/>
  <c r="P59" i="1"/>
  <c r="P243" i="1"/>
  <c r="P220" i="1"/>
  <c r="P49" i="1"/>
  <c r="P113" i="1"/>
  <c r="P10" i="1"/>
  <c r="P138" i="1"/>
  <c r="P219" i="1"/>
  <c r="P71" i="1"/>
  <c r="P54" i="1"/>
  <c r="P16" i="1"/>
  <c r="P152" i="1"/>
  <c r="P226" i="1"/>
  <c r="P35" i="1"/>
  <c r="P163" i="1"/>
  <c r="P205" i="1"/>
  <c r="P116" i="1"/>
  <c r="P208" i="1"/>
  <c r="P249" i="1"/>
  <c r="P126" i="1"/>
  <c r="P180" i="1"/>
  <c r="P91" i="1"/>
  <c r="P236" i="1"/>
  <c r="P140" i="1"/>
  <c r="P17" i="1"/>
  <c r="P145" i="1"/>
  <c r="P187" i="1"/>
  <c r="P135" i="1"/>
  <c r="P88" i="1"/>
  <c r="P225" i="1"/>
  <c r="P110" i="1"/>
  <c r="P176" i="1"/>
  <c r="P107" i="1"/>
  <c r="P244" i="1"/>
  <c r="P30" i="1"/>
  <c r="P74" i="1"/>
  <c r="P177" i="1"/>
  <c r="P99" i="1"/>
  <c r="P240" i="1"/>
  <c r="P44" i="1"/>
  <c r="P81" i="1"/>
  <c r="P194" i="1"/>
  <c r="P60" i="1"/>
  <c r="P7" i="1"/>
  <c r="P52" i="1"/>
  <c r="P252" i="1"/>
  <c r="Q8" i="1"/>
  <c r="Q24" i="1"/>
  <c r="Q40" i="1"/>
  <c r="Q56" i="1"/>
  <c r="Q72" i="1"/>
  <c r="Q88" i="1"/>
  <c r="Q104" i="1"/>
  <c r="Q120" i="1"/>
  <c r="Q136" i="1"/>
  <c r="Q152" i="1"/>
  <c r="Q168" i="1"/>
  <c r="Q184" i="1"/>
  <c r="Q200" i="1"/>
  <c r="Q216" i="1"/>
  <c r="Q232" i="1"/>
  <c r="Q248" i="1"/>
  <c r="Q13" i="1"/>
  <c r="Q29" i="1"/>
  <c r="Q45" i="1"/>
  <c r="Q61" i="1"/>
  <c r="Q77" i="1"/>
  <c r="Q14" i="1"/>
  <c r="Q46" i="1"/>
  <c r="Q78" i="1"/>
  <c r="Q110" i="1"/>
  <c r="Q142" i="1"/>
  <c r="Q174" i="1"/>
  <c r="Q206" i="1"/>
  <c r="Q238" i="1"/>
  <c r="Q19" i="1"/>
  <c r="Q51" i="1"/>
  <c r="Q83" i="1"/>
  <c r="Q101" i="1"/>
  <c r="Q117" i="1"/>
  <c r="Q133" i="1"/>
  <c r="Q149" i="1"/>
  <c r="Q165" i="1"/>
  <c r="Q181" i="1"/>
  <c r="Q197" i="1"/>
  <c r="Q213" i="1"/>
  <c r="Q229" i="1"/>
  <c r="Q245" i="1"/>
  <c r="Q20" i="1"/>
  <c r="Q52" i="1"/>
  <c r="Q84" i="1"/>
  <c r="Q116" i="1"/>
  <c r="Q148" i="1"/>
  <c r="Q180" i="1"/>
  <c r="Q212" i="1"/>
  <c r="Q244" i="1"/>
  <c r="Q25" i="1"/>
  <c r="Q57" i="1"/>
  <c r="Q6" i="1"/>
  <c r="Q70" i="1"/>
  <c r="Q134" i="1"/>
  <c r="Q198" i="1"/>
  <c r="Q11" i="1"/>
  <c r="Q75" i="1"/>
  <c r="Q113" i="1"/>
  <c r="Q145" i="1"/>
  <c r="Q177" i="1"/>
  <c r="Q209" i="1"/>
  <c r="Q241" i="1"/>
  <c r="Q10" i="1"/>
  <c r="Q42" i="1"/>
  <c r="Q74" i="1"/>
  <c r="Q106" i="1"/>
  <c r="Q138" i="1"/>
  <c r="Q170" i="1"/>
  <c r="Q202" i="1"/>
  <c r="Q234" i="1"/>
  <c r="Q15" i="1"/>
  <c r="Q47" i="1"/>
  <c r="Q79" i="1"/>
  <c r="Q99" i="1"/>
  <c r="Q115" i="1"/>
  <c r="Q131" i="1"/>
  <c r="Q147" i="1"/>
  <c r="Q163" i="1"/>
  <c r="Q179" i="1"/>
  <c r="Q195" i="1"/>
  <c r="Q211" i="1"/>
  <c r="Q227" i="1"/>
  <c r="Q243" i="1"/>
  <c r="Q60" i="1"/>
  <c r="Q124" i="1"/>
  <c r="Q188" i="1"/>
  <c r="Q252" i="1"/>
  <c r="Q65" i="1"/>
  <c r="Q86" i="1"/>
  <c r="Q214" i="1"/>
  <c r="Q89" i="1"/>
  <c r="Q153" i="1"/>
  <c r="Q217" i="1"/>
  <c r="Q18" i="1"/>
  <c r="Q82" i="1"/>
  <c r="Q146" i="1"/>
  <c r="Q210" i="1"/>
  <c r="Q23" i="1"/>
  <c r="Q87" i="1"/>
  <c r="Q119" i="1"/>
  <c r="Q151" i="1"/>
  <c r="Q183" i="1"/>
  <c r="Q215" i="1"/>
  <c r="Q247" i="1"/>
  <c r="Q44" i="1"/>
  <c r="Q172" i="1"/>
  <c r="Q49" i="1"/>
  <c r="Q182" i="1"/>
  <c r="Q137" i="1"/>
  <c r="Q2" i="1"/>
  <c r="Q130" i="1"/>
  <c r="Q7" i="1"/>
  <c r="Q111" i="1"/>
  <c r="Q175" i="1"/>
  <c r="Q239" i="1"/>
  <c r="Q76" i="1"/>
  <c r="Q204" i="1"/>
  <c r="Q81" i="1"/>
  <c r="Q246" i="1"/>
  <c r="Q169" i="1"/>
  <c r="Q34" i="1"/>
  <c r="Q162" i="1"/>
  <c r="Q39" i="1"/>
  <c r="Q127" i="1"/>
  <c r="Q191" i="1"/>
  <c r="Q16" i="1"/>
  <c r="Q48" i="1"/>
  <c r="Q80" i="1"/>
  <c r="Q112" i="1"/>
  <c r="Q144" i="1"/>
  <c r="Q176" i="1"/>
  <c r="Q208" i="1"/>
  <c r="Q240" i="1"/>
  <c r="Q21" i="1"/>
  <c r="Q53" i="1"/>
  <c r="Q85" i="1"/>
  <c r="Q62" i="1"/>
  <c r="Q126" i="1"/>
  <c r="Q190" i="1"/>
  <c r="Q3" i="1"/>
  <c r="Q67" i="1"/>
  <c r="Q109" i="1"/>
  <c r="Q141" i="1"/>
  <c r="Q173" i="1"/>
  <c r="Q205" i="1"/>
  <c r="Q237" i="1"/>
  <c r="Q36" i="1"/>
  <c r="Q100" i="1"/>
  <c r="Q164" i="1"/>
  <c r="Q228" i="1"/>
  <c r="Q41" i="1"/>
  <c r="Q38" i="1"/>
  <c r="Q166" i="1"/>
  <c r="Q43" i="1"/>
  <c r="Q129" i="1"/>
  <c r="Q193" i="1"/>
  <c r="Q253" i="1"/>
  <c r="Q58" i="1"/>
  <c r="Q122" i="1"/>
  <c r="Q186" i="1"/>
  <c r="Q250" i="1"/>
  <c r="Q63" i="1"/>
  <c r="Q107" i="1"/>
  <c r="Q139" i="1"/>
  <c r="Q171" i="1"/>
  <c r="Q203" i="1"/>
  <c r="Q235" i="1"/>
  <c r="Q92" i="1"/>
  <c r="Q220" i="1"/>
  <c r="Q22" i="1"/>
  <c r="Q27" i="1"/>
  <c r="Q185" i="1"/>
  <c r="Q50" i="1"/>
  <c r="Q178" i="1"/>
  <c r="Q55" i="1"/>
  <c r="Q135" i="1"/>
  <c r="Q199" i="1"/>
  <c r="Q251" i="1"/>
  <c r="Q236" i="1"/>
  <c r="Q59" i="1"/>
  <c r="Q66" i="1"/>
  <c r="Q71" i="1"/>
  <c r="Q207" i="1"/>
  <c r="Q140" i="1"/>
  <c r="Q118" i="1"/>
  <c r="Q233" i="1"/>
  <c r="Q226" i="1"/>
  <c r="Q159" i="1"/>
  <c r="Q223" i="1"/>
  <c r="Q32" i="1"/>
  <c r="Q96" i="1"/>
  <c r="Q160" i="1"/>
  <c r="Q224" i="1"/>
  <c r="Q37" i="1"/>
  <c r="Q30" i="1"/>
  <c r="Q158" i="1"/>
  <c r="Q35" i="1"/>
  <c r="Q125" i="1"/>
  <c r="Q189" i="1"/>
  <c r="Q4" i="1"/>
  <c r="Q132" i="1"/>
  <c r="Q9" i="1"/>
  <c r="Q102" i="1"/>
  <c r="Q97" i="1"/>
  <c r="Q225" i="1"/>
  <c r="Q90" i="1"/>
  <c r="Q218" i="1"/>
  <c r="Q91" i="1"/>
  <c r="Q155" i="1"/>
  <c r="Q219" i="1"/>
  <c r="Q156" i="1"/>
  <c r="Q150" i="1"/>
  <c r="Q249" i="1"/>
  <c r="Q242" i="1"/>
  <c r="Q167" i="1"/>
  <c r="Q108" i="1"/>
  <c r="Q201" i="1"/>
  <c r="Q143" i="1"/>
  <c r="Q17" i="1"/>
  <c r="Q98" i="1"/>
  <c r="Q64" i="1"/>
  <c r="Q192" i="1"/>
  <c r="Q69" i="1"/>
  <c r="Q222" i="1"/>
  <c r="Q157" i="1"/>
  <c r="Q68" i="1"/>
  <c r="Q73" i="1"/>
  <c r="Q161" i="1"/>
  <c r="Q154" i="1"/>
  <c r="Q123" i="1"/>
  <c r="Q28" i="1"/>
  <c r="Q121" i="1"/>
  <c r="Q103" i="1"/>
  <c r="Q54" i="1"/>
  <c r="Q12" i="1"/>
  <c r="Q95" i="1"/>
  <c r="Q128" i="1"/>
  <c r="Q94" i="1"/>
  <c r="Q221" i="1"/>
  <c r="Q230" i="1"/>
  <c r="Q31" i="1"/>
  <c r="Q33" i="1"/>
  <c r="Q231" i="1"/>
  <c r="Q105" i="1"/>
  <c r="B49" i="1"/>
  <c r="Q5" i="1"/>
  <c r="Q93" i="1"/>
  <c r="Q196" i="1"/>
  <c r="Q26" i="1"/>
  <c r="Q187" i="1"/>
  <c r="Q114" i="1"/>
  <c r="Q194" i="1"/>
  <c r="C33" i="1" l="1"/>
  <c r="B32" i="1"/>
  <c r="C32" i="1"/>
  <c r="B33" i="1" l="1"/>
  <c r="B34" i="1" l="1"/>
  <c r="C36" i="1" l="1"/>
  <c r="C47" i="1" s="1"/>
  <c r="B35" i="1"/>
  <c r="C35" i="1"/>
  <c r="C46" i="1" s="1"/>
  <c r="B36" i="1"/>
  <c r="B47" i="1" s="1"/>
  <c r="B37" i="1" l="1" a="1"/>
  <c r="B46" i="1"/>
  <c r="C38" i="1" l="1"/>
  <c r="C37" i="1"/>
  <c r="B37" i="1"/>
  <c r="B38" i="1"/>
  <c r="S7" i="1" l="1"/>
  <c r="S44" i="1"/>
  <c r="S74" i="1"/>
  <c r="S176" i="1"/>
  <c r="S135" i="1"/>
  <c r="S140" i="1"/>
  <c r="S126" i="1"/>
  <c r="S205" i="1"/>
  <c r="S152" i="1"/>
  <c r="S219" i="1"/>
  <c r="S49" i="1"/>
  <c r="S172" i="1"/>
  <c r="S124" i="1"/>
  <c r="S221" i="1"/>
  <c r="S84" i="1"/>
  <c r="S131" i="1"/>
  <c r="S210" i="1"/>
  <c r="S209" i="1"/>
  <c r="S39" i="1"/>
  <c r="S106" i="1"/>
  <c r="S97" i="1"/>
  <c r="S76" i="1"/>
  <c r="S204" i="1"/>
  <c r="S27" i="1"/>
  <c r="S156" i="1"/>
  <c r="S62" i="1"/>
  <c r="S235" i="1"/>
  <c r="S200" i="1"/>
  <c r="S100" i="1"/>
  <c r="S189" i="1"/>
  <c r="S147" i="1"/>
  <c r="S19" i="1"/>
  <c r="S218" i="1"/>
  <c r="S136" i="1"/>
  <c r="S233" i="1"/>
  <c r="S22" i="1"/>
  <c r="S55" i="1"/>
  <c r="S211" i="1"/>
  <c r="S122" i="1"/>
  <c r="S169" i="1"/>
  <c r="S137" i="1"/>
  <c r="S41" i="1"/>
  <c r="S231" i="1"/>
  <c r="S230" i="1"/>
  <c r="S198" i="1"/>
  <c r="S160" i="1"/>
  <c r="S96" i="1"/>
  <c r="S32" i="1"/>
  <c r="S185" i="1"/>
  <c r="S70" i="1"/>
  <c r="S143" i="1"/>
  <c r="S79" i="1"/>
  <c r="S15" i="1"/>
  <c r="S227" i="1"/>
  <c r="S191" i="1"/>
  <c r="S146" i="1"/>
  <c r="S82" i="1"/>
  <c r="S18" i="1"/>
  <c r="S149" i="1"/>
  <c r="S117" i="1"/>
  <c r="S85" i="1"/>
  <c r="S53" i="1"/>
  <c r="S21" i="1"/>
  <c r="S52" i="1"/>
  <c r="S81" i="1"/>
  <c r="S177" i="1"/>
  <c r="S107" i="1"/>
  <c r="S88" i="1"/>
  <c r="S17" i="1"/>
  <c r="S180" i="1"/>
  <c r="S116" i="1"/>
  <c r="S226" i="1"/>
  <c r="S71" i="1"/>
  <c r="S113" i="1"/>
  <c r="S59" i="1"/>
  <c r="S212" i="1"/>
  <c r="S43" i="1"/>
  <c r="S148" i="1"/>
  <c r="S46" i="1"/>
  <c r="S242" i="1"/>
  <c r="S56" i="1"/>
  <c r="S103" i="1"/>
  <c r="S170" i="1"/>
  <c r="S129" i="1"/>
  <c r="S188" i="1"/>
  <c r="S241" i="1"/>
  <c r="S155" i="1"/>
  <c r="S196" i="1"/>
  <c r="S181" i="1"/>
  <c r="S11" i="1"/>
  <c r="S216" i="1"/>
  <c r="S132" i="1"/>
  <c r="S223" i="1"/>
  <c r="S14" i="1"/>
  <c r="S51" i="1"/>
  <c r="S234" i="1"/>
  <c r="S168" i="1"/>
  <c r="S40" i="1"/>
  <c r="S86" i="1"/>
  <c r="S87" i="1"/>
  <c r="S237" i="1"/>
  <c r="S154" i="1"/>
  <c r="S26" i="1"/>
  <c r="S121" i="1"/>
  <c r="S57" i="1"/>
  <c r="S245" i="1"/>
  <c r="S238" i="1"/>
  <c r="S206" i="1"/>
  <c r="S174" i="1"/>
  <c r="S112" i="1"/>
  <c r="S48" i="1"/>
  <c r="S201" i="1"/>
  <c r="S102" i="1"/>
  <c r="S159" i="1"/>
  <c r="S95" i="1"/>
  <c r="S31" i="1"/>
  <c r="S247" i="1"/>
  <c r="S199" i="1"/>
  <c r="S162" i="1"/>
  <c r="S98" i="1"/>
  <c r="S34" i="1"/>
  <c r="S141" i="1"/>
  <c r="S109" i="1"/>
  <c r="S77" i="1"/>
  <c r="S45" i="1"/>
  <c r="S13" i="1"/>
  <c r="S252" i="1"/>
  <c r="S194" i="1"/>
  <c r="S99" i="1"/>
  <c r="S244" i="1"/>
  <c r="S225" i="1"/>
  <c r="S145" i="1"/>
  <c r="S91" i="1"/>
  <c r="S208" i="1"/>
  <c r="S35" i="1"/>
  <c r="S54" i="1"/>
  <c r="S10" i="1"/>
  <c r="S243" i="1"/>
  <c r="S251" i="1"/>
  <c r="S171" i="1"/>
  <c r="S192" i="1"/>
  <c r="S173" i="1"/>
  <c r="S3" i="1"/>
  <c r="S120" i="1"/>
  <c r="S167" i="1"/>
  <c r="S203" i="1"/>
  <c r="S161" i="1"/>
  <c r="S33" i="1"/>
  <c r="S123" i="1"/>
  <c r="S197" i="1"/>
  <c r="S228" i="1"/>
  <c r="S24" i="1"/>
  <c r="S75" i="1"/>
  <c r="S232" i="1"/>
  <c r="S164" i="1"/>
  <c r="S36" i="1"/>
  <c r="S78" i="1"/>
  <c r="S83" i="1"/>
  <c r="S250" i="1"/>
  <c r="S186" i="1"/>
  <c r="S72" i="1"/>
  <c r="S150" i="1"/>
  <c r="S119" i="1"/>
  <c r="S20" i="1"/>
  <c r="S179" i="1"/>
  <c r="S58" i="1"/>
  <c r="S105" i="1"/>
  <c r="S73" i="1"/>
  <c r="S9" i="1"/>
  <c r="S246" i="1"/>
  <c r="S214" i="1"/>
  <c r="S182" i="1"/>
  <c r="S128" i="1"/>
  <c r="S64" i="1"/>
  <c r="S217" i="1"/>
  <c r="S134" i="1"/>
  <c r="S6" i="1"/>
  <c r="S111" i="1"/>
  <c r="S47" i="1"/>
  <c r="S12" i="1"/>
  <c r="S207" i="1"/>
  <c r="S175" i="1"/>
  <c r="S114" i="1"/>
  <c r="S50" i="1"/>
  <c r="S165" i="1"/>
  <c r="S133" i="1"/>
  <c r="S101" i="1"/>
  <c r="S69" i="1"/>
  <c r="S37" i="1"/>
  <c r="S5" i="1"/>
  <c r="S60" i="1"/>
  <c r="S240" i="1"/>
  <c r="S30" i="1"/>
  <c r="S110" i="1"/>
  <c r="S187" i="1"/>
  <c r="S236" i="1"/>
  <c r="S249" i="1"/>
  <c r="S163" i="1"/>
  <c r="S16" i="1"/>
  <c r="S138" i="1"/>
  <c r="S220" i="1"/>
  <c r="S94" i="1"/>
  <c r="S213" i="1"/>
  <c r="S224" i="1"/>
  <c r="S8" i="1"/>
  <c r="S67" i="1"/>
  <c r="S178" i="1"/>
  <c r="S118" i="1"/>
  <c r="S4" i="1"/>
  <c r="S42" i="1"/>
  <c r="S65" i="1"/>
  <c r="S158" i="1"/>
  <c r="S108" i="1"/>
  <c r="S229" i="1"/>
  <c r="S92" i="1"/>
  <c r="S139" i="1"/>
  <c r="S248" i="1"/>
  <c r="S184" i="1"/>
  <c r="S68" i="1"/>
  <c r="S142" i="1"/>
  <c r="S115" i="1"/>
  <c r="S239" i="1"/>
  <c r="S202" i="1"/>
  <c r="S104" i="1"/>
  <c r="S193" i="1"/>
  <c r="S151" i="1"/>
  <c r="S23" i="1"/>
  <c r="S195" i="1"/>
  <c r="S90" i="1"/>
  <c r="S153" i="1"/>
  <c r="S89" i="1"/>
  <c r="S25" i="1"/>
  <c r="S2" i="1"/>
  <c r="S222" i="1"/>
  <c r="S190" i="1"/>
  <c r="S144" i="1"/>
  <c r="S80" i="1"/>
  <c r="S253" i="1"/>
  <c r="S166" i="1"/>
  <c r="S38" i="1"/>
  <c r="S127" i="1"/>
  <c r="S63" i="1"/>
  <c r="S28" i="1"/>
  <c r="S215" i="1"/>
  <c r="S183" i="1"/>
  <c r="S130" i="1"/>
  <c r="S66" i="1"/>
  <c r="S157" i="1"/>
  <c r="S125" i="1"/>
  <c r="S93" i="1"/>
  <c r="S61" i="1"/>
  <c r="S29" i="1"/>
  <c r="Y3" i="1"/>
  <c r="Y67" i="1"/>
  <c r="Y131" i="1"/>
  <c r="Y30" i="1"/>
  <c r="Y94" i="1"/>
  <c r="Y158" i="1"/>
  <c r="Y45" i="1"/>
  <c r="Y109" i="1"/>
  <c r="Y8" i="1"/>
  <c r="Y72" i="1"/>
  <c r="Y136" i="1"/>
  <c r="Y189" i="1"/>
  <c r="Y170" i="1"/>
  <c r="Y234" i="1"/>
  <c r="Y229" i="1"/>
  <c r="Y208" i="1"/>
  <c r="Y23" i="1"/>
  <c r="Y87" i="1"/>
  <c r="Y151" i="1"/>
  <c r="Y50" i="1"/>
  <c r="Y114" i="1"/>
  <c r="Y9" i="1"/>
  <c r="Y73" i="1"/>
  <c r="Y137" i="1"/>
  <c r="Y36" i="1"/>
  <c r="Y100" i="1"/>
  <c r="Y164" i="1"/>
  <c r="Y219" i="1"/>
  <c r="Y198" i="1"/>
  <c r="Y233" i="1"/>
  <c r="Y246" i="1"/>
  <c r="Y220" i="1"/>
  <c r="Y59" i="1"/>
  <c r="Y22" i="1"/>
  <c r="Y150" i="1"/>
  <c r="Y101" i="1"/>
  <c r="Y64" i="1"/>
  <c r="Y191" i="1"/>
  <c r="Y226" i="1"/>
  <c r="Y200" i="1"/>
  <c r="Y79" i="1"/>
  <c r="Y83" i="1"/>
  <c r="Y46" i="1"/>
  <c r="Y173" i="1"/>
  <c r="Y125" i="1"/>
  <c r="Y88" i="1"/>
  <c r="Y207" i="1"/>
  <c r="Y250" i="1"/>
  <c r="Y224" i="1"/>
  <c r="Y103" i="1"/>
  <c r="Y66" i="1"/>
  <c r="Y25" i="1"/>
  <c r="Y153" i="1"/>
  <c r="Y116" i="1"/>
  <c r="Y235" i="1"/>
  <c r="Y180" i="1"/>
  <c r="Y252" i="1"/>
  <c r="Y54" i="1"/>
  <c r="Y133" i="1"/>
  <c r="Y215" i="1"/>
  <c r="Y232" i="1"/>
  <c r="Y10" i="1"/>
  <c r="Y138" i="1"/>
  <c r="Y97" i="1"/>
  <c r="Y60" i="1"/>
  <c r="Y187" i="1"/>
  <c r="Y222" i="1"/>
  <c r="Y225" i="1"/>
  <c r="Y139" i="1"/>
  <c r="Y53" i="1"/>
  <c r="Y144" i="1"/>
  <c r="Y237" i="1"/>
  <c r="Y159" i="1"/>
  <c r="Y81" i="1"/>
  <c r="Y171" i="1"/>
  <c r="Y193" i="1"/>
  <c r="Y6" i="1"/>
  <c r="Y85" i="1"/>
  <c r="Y175" i="1"/>
  <c r="Y184" i="1"/>
  <c r="Y26" i="1"/>
  <c r="Y113" i="1"/>
  <c r="Y195" i="1"/>
  <c r="Y172" i="1"/>
  <c r="Y51" i="1"/>
  <c r="Y142" i="1"/>
  <c r="Y56" i="1"/>
  <c r="Y218" i="1"/>
  <c r="Y71" i="1"/>
  <c r="Y162" i="1"/>
  <c r="Y84" i="1"/>
  <c r="Y201" i="1"/>
  <c r="Y27" i="1"/>
  <c r="Y32" i="1"/>
  <c r="Y47" i="1"/>
  <c r="Y169" i="1"/>
  <c r="Y92" i="1"/>
  <c r="Y217" i="1"/>
  <c r="Y38" i="1"/>
  <c r="Y199" i="1"/>
  <c r="Y58" i="1"/>
  <c r="Y227" i="1"/>
  <c r="Y70" i="1"/>
  <c r="Y231" i="1"/>
  <c r="Y90" i="1"/>
  <c r="Y174" i="1"/>
  <c r="Y78" i="1"/>
  <c r="Y239" i="1"/>
  <c r="Y98" i="1"/>
  <c r="Y182" i="1"/>
  <c r="Y253" i="1"/>
  <c r="Y28" i="1"/>
  <c r="Y75" i="1"/>
  <c r="Y95" i="1"/>
  <c r="Y107" i="1"/>
  <c r="Y127" i="1"/>
  <c r="Y115" i="1"/>
  <c r="Y120" i="1"/>
  <c r="Y135" i="1"/>
  <c r="Y148" i="1"/>
  <c r="Y155" i="1"/>
  <c r="Y143" i="1"/>
  <c r="Y156" i="1"/>
  <c r="Y166" i="1"/>
  <c r="Y17" i="1"/>
  <c r="Y21" i="1"/>
  <c r="Y49" i="1"/>
  <c r="Y35" i="1"/>
  <c r="Y99" i="1"/>
  <c r="Y163" i="1"/>
  <c r="Y62" i="1"/>
  <c r="Y126" i="1"/>
  <c r="Y13" i="1"/>
  <c r="Y77" i="1"/>
  <c r="Y141" i="1"/>
  <c r="Y40" i="1"/>
  <c r="Y104" i="1"/>
  <c r="Y168" i="1"/>
  <c r="Y223" i="1"/>
  <c r="Y202" i="1"/>
  <c r="Y197" i="1"/>
  <c r="Y176" i="1"/>
  <c r="Y240" i="1"/>
  <c r="Y55" i="1"/>
  <c r="Y119" i="1"/>
  <c r="Y18" i="1"/>
  <c r="Y82" i="1"/>
  <c r="Y146" i="1"/>
  <c r="Y41" i="1"/>
  <c r="Y105" i="1"/>
  <c r="Y4" i="1"/>
  <c r="Y68" i="1"/>
  <c r="Y132" i="1"/>
  <c r="Y181" i="1"/>
  <c r="Y251" i="1"/>
  <c r="Y238" i="1"/>
  <c r="Y212" i="1"/>
  <c r="Y241" i="1"/>
  <c r="Y123" i="1"/>
  <c r="Y86" i="1"/>
  <c r="Y37" i="1"/>
  <c r="Y165" i="1"/>
  <c r="Y128" i="1"/>
  <c r="Y247" i="1"/>
  <c r="Y221" i="1"/>
  <c r="Y15" i="1"/>
  <c r="Y19" i="1"/>
  <c r="Y147" i="1"/>
  <c r="Y110" i="1"/>
  <c r="Y61" i="1"/>
  <c r="Y24" i="1"/>
  <c r="Y152" i="1"/>
  <c r="Y186" i="1"/>
  <c r="Y245" i="1"/>
  <c r="Y39" i="1"/>
  <c r="Y167" i="1"/>
  <c r="Y130" i="1"/>
  <c r="Y89" i="1"/>
  <c r="Y52" i="1"/>
  <c r="Y179" i="1"/>
  <c r="Y214" i="1"/>
  <c r="Y209" i="1"/>
  <c r="Y91" i="1"/>
  <c r="Y5" i="1"/>
  <c r="Y96" i="1"/>
  <c r="Y185" i="1"/>
  <c r="Y111" i="1"/>
  <c r="Y74" i="1"/>
  <c r="Y33" i="1"/>
  <c r="Y161" i="1"/>
  <c r="Y124" i="1"/>
  <c r="Y243" i="1"/>
  <c r="Y196" i="1"/>
  <c r="Y11" i="1"/>
  <c r="Y102" i="1"/>
  <c r="Y16" i="1"/>
  <c r="Y178" i="1"/>
  <c r="Y31" i="1"/>
  <c r="Y122" i="1"/>
  <c r="Y44" i="1"/>
  <c r="Y206" i="1"/>
  <c r="Y43" i="1"/>
  <c r="Y134" i="1"/>
  <c r="Y48" i="1"/>
  <c r="Y210" i="1"/>
  <c r="Y63" i="1"/>
  <c r="Y154" i="1"/>
  <c r="Y76" i="1"/>
  <c r="Y177" i="1"/>
  <c r="Y2" i="1"/>
  <c r="Y14" i="1"/>
  <c r="Y93" i="1"/>
  <c r="Y183" i="1"/>
  <c r="Y192" i="1"/>
  <c r="Y34" i="1"/>
  <c r="Y121" i="1"/>
  <c r="Y203" i="1"/>
  <c r="Y188" i="1"/>
  <c r="Y118" i="1"/>
  <c r="Y194" i="1"/>
  <c r="Y42" i="1"/>
  <c r="Y129" i="1"/>
  <c r="Y211" i="1"/>
  <c r="Y204" i="1"/>
  <c r="Y117" i="1"/>
  <c r="Y216" i="1"/>
  <c r="Y145" i="1"/>
  <c r="Y236" i="1"/>
  <c r="Y149" i="1"/>
  <c r="Y248" i="1"/>
  <c r="Y12" i="1"/>
  <c r="Y157" i="1"/>
  <c r="Y7" i="1"/>
  <c r="Y20" i="1"/>
  <c r="Y69" i="1"/>
  <c r="Y106" i="1"/>
  <c r="Y190" i="1"/>
  <c r="Y80" i="1"/>
  <c r="Y108" i="1"/>
  <c r="Y112" i="1"/>
  <c r="Y140" i="1"/>
  <c r="Y29" i="1"/>
  <c r="Y213" i="1"/>
  <c r="Y57" i="1"/>
  <c r="Y244" i="1"/>
  <c r="Y160" i="1"/>
  <c r="Y65" i="1"/>
  <c r="Y230" i="1"/>
  <c r="Y242" i="1"/>
  <c r="Y249" i="1"/>
  <c r="Y205" i="1"/>
  <c r="Y228" i="1"/>
  <c r="T29" i="1" l="1"/>
  <c r="V29" i="1"/>
  <c r="T93" i="1"/>
  <c r="V93" i="1"/>
  <c r="T157" i="1"/>
  <c r="V157" i="1"/>
  <c r="T130" i="1"/>
  <c r="V130" i="1"/>
  <c r="T215" i="1"/>
  <c r="V215" i="1"/>
  <c r="T63" i="1"/>
  <c r="V63" i="1"/>
  <c r="T38" i="1"/>
  <c r="V38" i="1"/>
  <c r="T253" i="1"/>
  <c r="V253" i="1"/>
  <c r="T144" i="1"/>
  <c r="V144" i="1"/>
  <c r="T222" i="1"/>
  <c r="V222" i="1"/>
  <c r="T25" i="1"/>
  <c r="V25" i="1"/>
  <c r="T153" i="1"/>
  <c r="V153" i="1"/>
  <c r="T195" i="1"/>
  <c r="V195" i="1"/>
  <c r="T151" i="1"/>
  <c r="V151" i="1"/>
  <c r="T104" i="1"/>
  <c r="V104" i="1"/>
  <c r="T239" i="1"/>
  <c r="V239" i="1"/>
  <c r="T142" i="1"/>
  <c r="V142" i="1"/>
  <c r="T184" i="1"/>
  <c r="V184" i="1"/>
  <c r="T139" i="1"/>
  <c r="V139" i="1"/>
  <c r="T229" i="1"/>
  <c r="V229" i="1"/>
  <c r="T158" i="1"/>
  <c r="V158" i="1"/>
  <c r="T42" i="1"/>
  <c r="V42" i="1"/>
  <c r="T118" i="1"/>
  <c r="V118" i="1"/>
  <c r="T67" i="1"/>
  <c r="V67" i="1"/>
  <c r="T224" i="1"/>
  <c r="V224" i="1"/>
  <c r="T94" i="1"/>
  <c r="V94" i="1"/>
  <c r="T138" i="1"/>
  <c r="V138" i="1"/>
  <c r="T163" i="1"/>
  <c r="V163" i="1"/>
  <c r="T236" i="1"/>
  <c r="V236" i="1"/>
  <c r="T110" i="1"/>
  <c r="V110" i="1"/>
  <c r="T240" i="1"/>
  <c r="V240" i="1"/>
  <c r="T5" i="1"/>
  <c r="V5" i="1"/>
  <c r="T69" i="1"/>
  <c r="V69" i="1"/>
  <c r="T133" i="1"/>
  <c r="V133" i="1"/>
  <c r="T50" i="1"/>
  <c r="V50" i="1"/>
  <c r="T175" i="1"/>
  <c r="V175" i="1"/>
  <c r="T12" i="1"/>
  <c r="V12" i="1"/>
  <c r="T111" i="1"/>
  <c r="V111" i="1"/>
  <c r="T134" i="1"/>
  <c r="V134" i="1"/>
  <c r="T64" i="1"/>
  <c r="V64" i="1"/>
  <c r="T182" i="1"/>
  <c r="V182" i="1"/>
  <c r="T246" i="1"/>
  <c r="V246" i="1"/>
  <c r="T73" i="1"/>
  <c r="V73" i="1"/>
  <c r="T58" i="1"/>
  <c r="V58" i="1"/>
  <c r="T20" i="1"/>
  <c r="V20" i="1"/>
  <c r="T150" i="1"/>
  <c r="V150" i="1"/>
  <c r="T186" i="1"/>
  <c r="V186" i="1"/>
  <c r="T83" i="1"/>
  <c r="V83" i="1"/>
  <c r="T36" i="1"/>
  <c r="V36" i="1"/>
  <c r="T232" i="1"/>
  <c r="V232" i="1"/>
  <c r="T24" i="1"/>
  <c r="V24" i="1"/>
  <c r="T197" i="1"/>
  <c r="V197" i="1"/>
  <c r="T33" i="1"/>
  <c r="V33" i="1"/>
  <c r="T203" i="1"/>
  <c r="V203" i="1"/>
  <c r="T120" i="1"/>
  <c r="V120" i="1"/>
  <c r="T173" i="1"/>
  <c r="V173" i="1"/>
  <c r="T171" i="1"/>
  <c r="V171" i="1"/>
  <c r="T243" i="1"/>
  <c r="V243" i="1"/>
  <c r="T54" i="1"/>
  <c r="V54" i="1"/>
  <c r="T208" i="1"/>
  <c r="V208" i="1"/>
  <c r="T145" i="1"/>
  <c r="V145" i="1"/>
  <c r="T244" i="1"/>
  <c r="V244" i="1"/>
  <c r="T194" i="1"/>
  <c r="V194" i="1"/>
  <c r="T13" i="1"/>
  <c r="V13" i="1"/>
  <c r="T77" i="1"/>
  <c r="V77" i="1"/>
  <c r="T141" i="1"/>
  <c r="V141" i="1"/>
  <c r="T98" i="1"/>
  <c r="V98" i="1"/>
  <c r="T199" i="1"/>
  <c r="V199" i="1"/>
  <c r="T31" i="1"/>
  <c r="V31" i="1"/>
  <c r="T159" i="1"/>
  <c r="V159" i="1"/>
  <c r="T201" i="1"/>
  <c r="V201" i="1"/>
  <c r="T112" i="1"/>
  <c r="V112" i="1"/>
  <c r="T206" i="1"/>
  <c r="V206" i="1"/>
  <c r="T245" i="1"/>
  <c r="V245" i="1"/>
  <c r="T121" i="1"/>
  <c r="V121" i="1"/>
  <c r="T154" i="1"/>
  <c r="V154" i="1"/>
  <c r="T87" i="1"/>
  <c r="V87" i="1"/>
  <c r="T40" i="1"/>
  <c r="V40" i="1"/>
  <c r="T234" i="1"/>
  <c r="V234" i="1"/>
  <c r="T14" i="1"/>
  <c r="V14" i="1"/>
  <c r="T132" i="1"/>
  <c r="V132" i="1"/>
  <c r="T11" i="1"/>
  <c r="V11" i="1"/>
  <c r="T196" i="1"/>
  <c r="V196" i="1"/>
  <c r="T241" i="1"/>
  <c r="V241" i="1"/>
  <c r="T129" i="1"/>
  <c r="V129" i="1"/>
  <c r="T103" i="1"/>
  <c r="V103" i="1"/>
  <c r="T242" i="1"/>
  <c r="V242" i="1"/>
  <c r="T148" i="1"/>
  <c r="V148" i="1"/>
  <c r="T212" i="1"/>
  <c r="V212" i="1"/>
  <c r="T113" i="1"/>
  <c r="V113" i="1"/>
  <c r="T226" i="1"/>
  <c r="V226" i="1"/>
  <c r="T180" i="1"/>
  <c r="V180" i="1"/>
  <c r="T88" i="1"/>
  <c r="V88" i="1"/>
  <c r="T177" i="1"/>
  <c r="V177" i="1"/>
  <c r="T52" i="1"/>
  <c r="V52" i="1"/>
  <c r="T53" i="1"/>
  <c r="V53" i="1"/>
  <c r="T117" i="1"/>
  <c r="V117" i="1"/>
  <c r="T18" i="1"/>
  <c r="V18" i="1"/>
  <c r="T146" i="1"/>
  <c r="V146" i="1"/>
  <c r="T227" i="1"/>
  <c r="V227" i="1"/>
  <c r="T79" i="1"/>
  <c r="V79" i="1"/>
  <c r="T70" i="1"/>
  <c r="V70" i="1"/>
  <c r="T32" i="1"/>
  <c r="V32" i="1"/>
  <c r="T160" i="1"/>
  <c r="V160" i="1"/>
  <c r="T230" i="1"/>
  <c r="V230" i="1"/>
  <c r="T41" i="1"/>
  <c r="V41" i="1"/>
  <c r="T169" i="1"/>
  <c r="V169" i="1"/>
  <c r="T211" i="1"/>
  <c r="V211" i="1"/>
  <c r="T22" i="1"/>
  <c r="V22" i="1"/>
  <c r="T136" i="1"/>
  <c r="V136" i="1"/>
  <c r="T19" i="1"/>
  <c r="V19" i="1"/>
  <c r="T189" i="1"/>
  <c r="V189" i="1"/>
  <c r="T200" i="1"/>
  <c r="V200" i="1"/>
  <c r="T62" i="1"/>
  <c r="V62" i="1"/>
  <c r="T27" i="1"/>
  <c r="V27" i="1"/>
  <c r="T76" i="1"/>
  <c r="V76" i="1"/>
  <c r="T106" i="1"/>
  <c r="V106" i="1"/>
  <c r="T209" i="1"/>
  <c r="V209" i="1"/>
  <c r="T131" i="1"/>
  <c r="V131" i="1"/>
  <c r="T221" i="1"/>
  <c r="V221" i="1"/>
  <c r="T172" i="1"/>
  <c r="V172" i="1"/>
  <c r="T219" i="1"/>
  <c r="V219" i="1"/>
  <c r="T205" i="1"/>
  <c r="V205" i="1"/>
  <c r="T140" i="1"/>
  <c r="V140" i="1"/>
  <c r="T176" i="1"/>
  <c r="V176" i="1"/>
  <c r="T44" i="1"/>
  <c r="V44" i="1"/>
  <c r="T61" i="1"/>
  <c r="V61" i="1"/>
  <c r="T125" i="1"/>
  <c r="V125" i="1"/>
  <c r="T66" i="1"/>
  <c r="V66" i="1"/>
  <c r="T183" i="1"/>
  <c r="V183" i="1"/>
  <c r="T28" i="1"/>
  <c r="V28" i="1"/>
  <c r="T127" i="1"/>
  <c r="V127" i="1"/>
  <c r="T166" i="1"/>
  <c r="V166" i="1"/>
  <c r="T80" i="1"/>
  <c r="V80" i="1"/>
  <c r="T190" i="1"/>
  <c r="V190" i="1"/>
  <c r="T2" i="1"/>
  <c r="V2" i="1"/>
  <c r="T89" i="1"/>
  <c r="V89" i="1"/>
  <c r="T90" i="1"/>
  <c r="V90" i="1"/>
  <c r="T23" i="1"/>
  <c r="V23" i="1"/>
  <c r="T193" i="1"/>
  <c r="V193" i="1"/>
  <c r="T202" i="1"/>
  <c r="V202" i="1"/>
  <c r="T115" i="1"/>
  <c r="V115" i="1"/>
  <c r="T68" i="1"/>
  <c r="V68" i="1"/>
  <c r="T248" i="1"/>
  <c r="V248" i="1"/>
  <c r="T92" i="1"/>
  <c r="V92" i="1"/>
  <c r="T108" i="1"/>
  <c r="V108" i="1"/>
  <c r="T65" i="1"/>
  <c r="V65" i="1"/>
  <c r="T4" i="1"/>
  <c r="V4" i="1"/>
  <c r="T178" i="1"/>
  <c r="V178" i="1"/>
  <c r="T8" i="1"/>
  <c r="V8" i="1"/>
  <c r="T213" i="1"/>
  <c r="V213" i="1"/>
  <c r="T220" i="1"/>
  <c r="V220" i="1"/>
  <c r="T16" i="1"/>
  <c r="V16" i="1"/>
  <c r="T249" i="1"/>
  <c r="V249" i="1"/>
  <c r="T187" i="1"/>
  <c r="V187" i="1"/>
  <c r="T30" i="1"/>
  <c r="V30" i="1"/>
  <c r="T60" i="1"/>
  <c r="V60" i="1"/>
  <c r="T37" i="1"/>
  <c r="V37" i="1"/>
  <c r="T101" i="1"/>
  <c r="V101" i="1"/>
  <c r="T165" i="1"/>
  <c r="V165" i="1"/>
  <c r="T114" i="1"/>
  <c r="V114" i="1"/>
  <c r="T207" i="1"/>
  <c r="V207" i="1"/>
  <c r="T47" i="1"/>
  <c r="V47" i="1"/>
  <c r="T6" i="1"/>
  <c r="V6" i="1"/>
  <c r="T217" i="1"/>
  <c r="V217" i="1"/>
  <c r="T128" i="1"/>
  <c r="V128" i="1"/>
  <c r="T214" i="1"/>
  <c r="V214" i="1"/>
  <c r="T9" i="1"/>
  <c r="V9" i="1"/>
  <c r="T105" i="1"/>
  <c r="V105" i="1"/>
  <c r="T179" i="1"/>
  <c r="V179" i="1"/>
  <c r="T119" i="1"/>
  <c r="V119" i="1"/>
  <c r="T72" i="1"/>
  <c r="V72" i="1"/>
  <c r="T250" i="1"/>
  <c r="V250" i="1"/>
  <c r="T78" i="1"/>
  <c r="V78" i="1"/>
  <c r="T164" i="1"/>
  <c r="V164" i="1"/>
  <c r="T75" i="1"/>
  <c r="V75" i="1"/>
  <c r="T228" i="1"/>
  <c r="V228" i="1"/>
  <c r="T123" i="1"/>
  <c r="V123" i="1"/>
  <c r="T161" i="1"/>
  <c r="V161" i="1"/>
  <c r="T167" i="1"/>
  <c r="V167" i="1"/>
  <c r="T3" i="1"/>
  <c r="V3" i="1"/>
  <c r="T192" i="1"/>
  <c r="V192" i="1"/>
  <c r="T251" i="1"/>
  <c r="V251" i="1"/>
  <c r="T10" i="1"/>
  <c r="V10" i="1"/>
  <c r="T35" i="1"/>
  <c r="V35" i="1"/>
  <c r="T91" i="1"/>
  <c r="V91" i="1"/>
  <c r="T225" i="1"/>
  <c r="V225" i="1"/>
  <c r="T99" i="1"/>
  <c r="V99" i="1"/>
  <c r="T252" i="1"/>
  <c r="V252" i="1"/>
  <c r="T45" i="1"/>
  <c r="V45" i="1"/>
  <c r="T109" i="1"/>
  <c r="V109" i="1"/>
  <c r="T34" i="1"/>
  <c r="V34" i="1"/>
  <c r="T162" i="1"/>
  <c r="V162" i="1"/>
  <c r="T247" i="1"/>
  <c r="V247" i="1"/>
  <c r="T95" i="1"/>
  <c r="V95" i="1"/>
  <c r="T102" i="1"/>
  <c r="V102" i="1"/>
  <c r="T48" i="1"/>
  <c r="V48" i="1"/>
  <c r="T174" i="1"/>
  <c r="V174" i="1"/>
  <c r="T238" i="1"/>
  <c r="V238" i="1"/>
  <c r="T57" i="1"/>
  <c r="V57" i="1"/>
  <c r="T26" i="1"/>
  <c r="V26" i="1"/>
  <c r="T237" i="1"/>
  <c r="V237" i="1"/>
  <c r="T86" i="1"/>
  <c r="V86" i="1"/>
  <c r="T168" i="1"/>
  <c r="V168" i="1"/>
  <c r="T51" i="1"/>
  <c r="V51" i="1"/>
  <c r="T223" i="1"/>
  <c r="V223" i="1"/>
  <c r="T216" i="1"/>
  <c r="V216" i="1"/>
  <c r="T181" i="1"/>
  <c r="V181" i="1"/>
  <c r="T155" i="1"/>
  <c r="V155" i="1"/>
  <c r="T188" i="1"/>
  <c r="V188" i="1"/>
  <c r="T170" i="1"/>
  <c r="V170" i="1"/>
  <c r="T56" i="1"/>
  <c r="V56" i="1"/>
  <c r="T46" i="1"/>
  <c r="V46" i="1"/>
  <c r="T43" i="1"/>
  <c r="V43" i="1"/>
  <c r="T59" i="1"/>
  <c r="V59" i="1"/>
  <c r="T71" i="1"/>
  <c r="V71" i="1"/>
  <c r="T116" i="1"/>
  <c r="V116" i="1"/>
  <c r="T17" i="1"/>
  <c r="V17" i="1"/>
  <c r="T107" i="1"/>
  <c r="V107" i="1"/>
  <c r="T81" i="1"/>
  <c r="V81" i="1"/>
  <c r="T21" i="1"/>
  <c r="V21" i="1"/>
  <c r="T85" i="1"/>
  <c r="V85" i="1"/>
  <c r="T149" i="1"/>
  <c r="V149" i="1"/>
  <c r="T82" i="1"/>
  <c r="V82" i="1"/>
  <c r="T191" i="1"/>
  <c r="V191" i="1"/>
  <c r="T15" i="1"/>
  <c r="V15" i="1"/>
  <c r="T143" i="1"/>
  <c r="V143" i="1"/>
  <c r="T185" i="1"/>
  <c r="V185" i="1"/>
  <c r="T96" i="1"/>
  <c r="V96" i="1"/>
  <c r="T198" i="1"/>
  <c r="V198" i="1"/>
  <c r="T231" i="1"/>
  <c r="V231" i="1"/>
  <c r="T137" i="1"/>
  <c r="V137" i="1"/>
  <c r="T122" i="1"/>
  <c r="V122" i="1"/>
  <c r="T55" i="1"/>
  <c r="V55" i="1"/>
  <c r="T233" i="1"/>
  <c r="V233" i="1"/>
  <c r="T218" i="1"/>
  <c r="V218" i="1"/>
  <c r="T147" i="1"/>
  <c r="V147" i="1"/>
  <c r="T100" i="1"/>
  <c r="V100" i="1"/>
  <c r="T235" i="1"/>
  <c r="V235" i="1"/>
  <c r="T156" i="1"/>
  <c r="V156" i="1"/>
  <c r="T204" i="1"/>
  <c r="V204" i="1"/>
  <c r="T97" i="1"/>
  <c r="V97" i="1"/>
  <c r="T39" i="1"/>
  <c r="V39" i="1"/>
  <c r="T210" i="1"/>
  <c r="V210" i="1"/>
  <c r="T84" i="1"/>
  <c r="V84" i="1"/>
  <c r="T124" i="1"/>
  <c r="V124" i="1"/>
  <c r="T49" i="1"/>
  <c r="V49" i="1"/>
  <c r="T152" i="1"/>
  <c r="V152" i="1"/>
  <c r="T126" i="1"/>
  <c r="V126" i="1"/>
  <c r="T135" i="1"/>
  <c r="V135" i="1"/>
  <c r="T74" i="1"/>
  <c r="V74" i="1"/>
  <c r="T7" i="1"/>
  <c r="V7" i="1"/>
  <c r="U61" i="1"/>
  <c r="U125" i="1"/>
  <c r="U66" i="1"/>
  <c r="U183" i="1"/>
  <c r="U28" i="1"/>
  <c r="U127" i="1"/>
  <c r="U166" i="1"/>
  <c r="U80" i="1"/>
  <c r="U190" i="1"/>
  <c r="U2" i="1"/>
  <c r="U89" i="1"/>
  <c r="U90" i="1"/>
  <c r="U23" i="1"/>
  <c r="U193" i="1"/>
  <c r="U202" i="1"/>
  <c r="U115" i="1"/>
  <c r="U68" i="1"/>
  <c r="U248" i="1"/>
  <c r="U92" i="1"/>
  <c r="U108" i="1"/>
  <c r="U65" i="1"/>
  <c r="U4" i="1"/>
  <c r="U178" i="1"/>
  <c r="U8" i="1"/>
  <c r="U213" i="1"/>
  <c r="U220" i="1"/>
  <c r="U16" i="1"/>
  <c r="U249" i="1"/>
  <c r="U187" i="1"/>
  <c r="U30" i="1"/>
  <c r="U60" i="1"/>
  <c r="U53" i="1"/>
  <c r="U117" i="1"/>
  <c r="U18" i="1"/>
  <c r="U146" i="1"/>
  <c r="U227" i="1"/>
  <c r="U79" i="1"/>
  <c r="U70" i="1"/>
  <c r="U32" i="1"/>
  <c r="U160" i="1"/>
  <c r="U230" i="1"/>
  <c r="U41" i="1"/>
  <c r="U169" i="1"/>
  <c r="U211" i="1"/>
  <c r="U22" i="1"/>
  <c r="U136" i="1"/>
  <c r="U19" i="1"/>
  <c r="U189" i="1"/>
  <c r="U200" i="1"/>
  <c r="U62" i="1"/>
  <c r="U27" i="1"/>
  <c r="U76" i="1"/>
  <c r="U106" i="1"/>
  <c r="U209" i="1"/>
  <c r="U131" i="1"/>
  <c r="U221" i="1"/>
  <c r="U172" i="1"/>
  <c r="U219" i="1"/>
  <c r="U205" i="1"/>
  <c r="U140" i="1"/>
  <c r="U176" i="1"/>
  <c r="U44" i="1"/>
  <c r="U13" i="1"/>
  <c r="U77" i="1"/>
  <c r="U141" i="1"/>
  <c r="U98" i="1"/>
  <c r="U199" i="1"/>
  <c r="U31" i="1"/>
  <c r="U159" i="1"/>
  <c r="U201" i="1"/>
  <c r="U112" i="1"/>
  <c r="U206" i="1"/>
  <c r="U245" i="1"/>
  <c r="U121" i="1"/>
  <c r="U154" i="1"/>
  <c r="U87" i="1"/>
  <c r="U40" i="1"/>
  <c r="U234" i="1"/>
  <c r="U14" i="1"/>
  <c r="U132" i="1"/>
  <c r="U11" i="1"/>
  <c r="U196" i="1"/>
  <c r="U241" i="1"/>
  <c r="U129" i="1"/>
  <c r="U103" i="1"/>
  <c r="U242" i="1"/>
  <c r="U148" i="1"/>
  <c r="U212" i="1"/>
  <c r="U113" i="1"/>
  <c r="U226" i="1"/>
  <c r="U180" i="1"/>
  <c r="U88" i="1"/>
  <c r="U177" i="1"/>
  <c r="U52" i="1"/>
  <c r="U37" i="1"/>
  <c r="U101" i="1"/>
  <c r="U165" i="1"/>
  <c r="U114" i="1"/>
  <c r="U207" i="1"/>
  <c r="U47" i="1"/>
  <c r="U6" i="1"/>
  <c r="U217" i="1"/>
  <c r="U128" i="1"/>
  <c r="U214" i="1"/>
  <c r="U9" i="1"/>
  <c r="U137" i="1"/>
  <c r="U179" i="1"/>
  <c r="U119" i="1"/>
  <c r="U72" i="1"/>
  <c r="U250" i="1"/>
  <c r="U78" i="1"/>
  <c r="U164" i="1"/>
  <c r="U75" i="1"/>
  <c r="U228" i="1"/>
  <c r="U123" i="1"/>
  <c r="U161" i="1"/>
  <c r="U167" i="1"/>
  <c r="U3" i="1"/>
  <c r="U192" i="1"/>
  <c r="U251" i="1"/>
  <c r="U10" i="1"/>
  <c r="U35" i="1"/>
  <c r="U91" i="1"/>
  <c r="U225" i="1"/>
  <c r="U99" i="1"/>
  <c r="U252" i="1"/>
  <c r="B52" i="1"/>
  <c r="U29" i="1"/>
  <c r="U93" i="1"/>
  <c r="U157" i="1"/>
  <c r="U130" i="1"/>
  <c r="U215" i="1"/>
  <c r="U63" i="1"/>
  <c r="U38" i="1"/>
  <c r="U253" i="1"/>
  <c r="U144" i="1"/>
  <c r="U222" i="1"/>
  <c r="U25" i="1"/>
  <c r="U153" i="1"/>
  <c r="U195" i="1"/>
  <c r="U151" i="1"/>
  <c r="U104" i="1"/>
  <c r="U239" i="1"/>
  <c r="U142" i="1"/>
  <c r="U184" i="1"/>
  <c r="U139" i="1"/>
  <c r="U229" i="1"/>
  <c r="U158" i="1"/>
  <c r="U42" i="1"/>
  <c r="U118" i="1"/>
  <c r="U67" i="1"/>
  <c r="U224" i="1"/>
  <c r="U94" i="1"/>
  <c r="U138" i="1"/>
  <c r="U163" i="1"/>
  <c r="U236" i="1"/>
  <c r="U110" i="1"/>
  <c r="U240" i="1"/>
  <c r="U21" i="1"/>
  <c r="U85" i="1"/>
  <c r="U149" i="1"/>
  <c r="U82" i="1"/>
  <c r="U191" i="1"/>
  <c r="U15" i="1"/>
  <c r="U143" i="1"/>
  <c r="U185" i="1"/>
  <c r="U96" i="1"/>
  <c r="U198" i="1"/>
  <c r="U231" i="1"/>
  <c r="U105" i="1"/>
  <c r="U122" i="1"/>
  <c r="U55" i="1"/>
  <c r="U233" i="1"/>
  <c r="U218" i="1"/>
  <c r="U147" i="1"/>
  <c r="U100" i="1"/>
  <c r="U235" i="1"/>
  <c r="U156" i="1"/>
  <c r="U204" i="1"/>
  <c r="U97" i="1"/>
  <c r="U39" i="1"/>
  <c r="U210" i="1"/>
  <c r="U84" i="1"/>
  <c r="U124" i="1"/>
  <c r="U49" i="1"/>
  <c r="U152" i="1"/>
  <c r="U126" i="1"/>
  <c r="U135" i="1"/>
  <c r="U74" i="1"/>
  <c r="U7" i="1"/>
  <c r="U45" i="1"/>
  <c r="U109" i="1"/>
  <c r="U34" i="1"/>
  <c r="U162" i="1"/>
  <c r="U247" i="1"/>
  <c r="U95" i="1"/>
  <c r="U102" i="1"/>
  <c r="U48" i="1"/>
  <c r="U174" i="1"/>
  <c r="U238" i="1"/>
  <c r="U57" i="1"/>
  <c r="U26" i="1"/>
  <c r="U237" i="1"/>
  <c r="U86" i="1"/>
  <c r="U168" i="1"/>
  <c r="U51" i="1"/>
  <c r="U223" i="1"/>
  <c r="U216" i="1"/>
  <c r="U181" i="1"/>
  <c r="U155" i="1"/>
  <c r="U188" i="1"/>
  <c r="U170" i="1"/>
  <c r="U56" i="1"/>
  <c r="U46" i="1"/>
  <c r="U43" i="1"/>
  <c r="U59" i="1"/>
  <c r="U71" i="1"/>
  <c r="U116" i="1"/>
  <c r="U17" i="1"/>
  <c r="U107" i="1"/>
  <c r="U81" i="1"/>
  <c r="U5" i="1"/>
  <c r="U69" i="1"/>
  <c r="U133" i="1"/>
  <c r="U50" i="1"/>
  <c r="U175" i="1"/>
  <c r="U12" i="1"/>
  <c r="U111" i="1"/>
  <c r="U134" i="1"/>
  <c r="U64" i="1"/>
  <c r="U182" i="1"/>
  <c r="U246" i="1"/>
  <c r="U73" i="1"/>
  <c r="U58" i="1"/>
  <c r="U20" i="1"/>
  <c r="U150" i="1"/>
  <c r="U186" i="1"/>
  <c r="U83" i="1"/>
  <c r="U36" i="1"/>
  <c r="U232" i="1"/>
  <c r="U24" i="1"/>
  <c r="U197" i="1"/>
  <c r="U33" i="1"/>
  <c r="U203" i="1"/>
  <c r="U120" i="1"/>
  <c r="U173" i="1"/>
  <c r="U171" i="1"/>
  <c r="U243" i="1"/>
  <c r="U54" i="1"/>
  <c r="U208" i="1"/>
  <c r="U145" i="1"/>
  <c r="U244" i="1"/>
  <c r="U194" i="1"/>
  <c r="X65" i="1" l="1"/>
  <c r="X126" i="1"/>
  <c r="X164" i="1"/>
  <c r="X207" i="1"/>
  <c r="X193" i="1"/>
  <c r="X2" i="1"/>
  <c r="X196" i="1"/>
  <c r="X158" i="1"/>
  <c r="X244" i="1"/>
  <c r="X173" i="1"/>
  <c r="X203" i="1"/>
  <c r="X197" i="1"/>
  <c r="X232" i="1"/>
  <c r="X83" i="1"/>
  <c r="X186" i="1"/>
  <c r="X58" i="1"/>
  <c r="X73" i="1"/>
  <c r="X246" i="1"/>
  <c r="X111" i="1"/>
  <c r="X175" i="1"/>
  <c r="X133" i="1"/>
  <c r="X5" i="1"/>
  <c r="X116" i="1"/>
  <c r="X59" i="1"/>
  <c r="X46" i="1"/>
  <c r="X170" i="1"/>
  <c r="X216" i="1"/>
  <c r="X51" i="1"/>
  <c r="X168" i="1"/>
  <c r="X237" i="1"/>
  <c r="X26" i="1"/>
  <c r="X238" i="1"/>
  <c r="X48" i="1"/>
  <c r="X102" i="1"/>
  <c r="X95" i="1"/>
  <c r="X162" i="1"/>
  <c r="X34" i="1"/>
  <c r="X109" i="1"/>
  <c r="X7" i="1"/>
  <c r="X135" i="1"/>
  <c r="X124" i="1"/>
  <c r="X84" i="1"/>
  <c r="X210" i="1"/>
  <c r="X39" i="1"/>
  <c r="X97" i="1"/>
  <c r="X218" i="1"/>
  <c r="X233" i="1"/>
  <c r="X55" i="1"/>
  <c r="X231" i="1"/>
  <c r="X198" i="1"/>
  <c r="X185" i="1"/>
  <c r="X15" i="1"/>
  <c r="X191" i="1"/>
  <c r="X82" i="1"/>
  <c r="X149" i="1"/>
  <c r="X85" i="1"/>
  <c r="X21" i="1"/>
  <c r="X240" i="1"/>
  <c r="X110" i="1"/>
  <c r="X94" i="1"/>
  <c r="X224" i="1"/>
  <c r="X118" i="1"/>
  <c r="X139" i="1"/>
  <c r="X142" i="1"/>
  <c r="X104" i="1"/>
  <c r="X195" i="1"/>
  <c r="X153" i="1"/>
  <c r="X253" i="1"/>
  <c r="X38" i="1"/>
  <c r="X63" i="1"/>
  <c r="X157" i="1"/>
  <c r="X29" i="1"/>
  <c r="X252" i="1"/>
  <c r="X35" i="1"/>
  <c r="X10" i="1"/>
  <c r="X251" i="1"/>
  <c r="X192" i="1"/>
  <c r="X167" i="1"/>
  <c r="X161" i="1"/>
  <c r="X228" i="1"/>
  <c r="X78" i="1"/>
  <c r="X250" i="1"/>
  <c r="X72" i="1"/>
  <c r="X119" i="1"/>
  <c r="X137" i="1"/>
  <c r="X214" i="1"/>
  <c r="X217" i="1"/>
  <c r="X6" i="1"/>
  <c r="X47" i="1"/>
  <c r="X114" i="1"/>
  <c r="X101" i="1"/>
  <c r="X52" i="1"/>
  <c r="X177" i="1"/>
  <c r="X88" i="1"/>
  <c r="X226" i="1"/>
  <c r="X113" i="1"/>
  <c r="X212" i="1"/>
  <c r="X103" i="1"/>
  <c r="X129" i="1"/>
  <c r="X132" i="1"/>
  <c r="X14" i="1"/>
  <c r="X234" i="1"/>
  <c r="X40" i="1"/>
  <c r="X87" i="1"/>
  <c r="X121" i="1"/>
  <c r="X245" i="1"/>
  <c r="X201" i="1"/>
  <c r="X31" i="1"/>
  <c r="X199" i="1"/>
  <c r="X98" i="1"/>
  <c r="X141" i="1"/>
  <c r="X44" i="1"/>
  <c r="X176" i="1"/>
  <c r="X140" i="1"/>
  <c r="X219" i="1"/>
  <c r="X172" i="1"/>
  <c r="X221" i="1"/>
  <c r="X131" i="1"/>
  <c r="X27" i="1"/>
  <c r="X62" i="1"/>
  <c r="X200" i="1"/>
  <c r="X189" i="1"/>
  <c r="X136" i="1"/>
  <c r="X211" i="1"/>
  <c r="X169" i="1"/>
  <c r="X230" i="1"/>
  <c r="X160" i="1"/>
  <c r="X227" i="1"/>
  <c r="X18" i="1"/>
  <c r="X53" i="1"/>
  <c r="X249" i="1"/>
  <c r="X16" i="1"/>
  <c r="X220" i="1"/>
  <c r="X8" i="1"/>
  <c r="X92" i="1"/>
  <c r="X248" i="1"/>
  <c r="X68" i="1"/>
  <c r="X115" i="1"/>
  <c r="X90" i="1"/>
  <c r="X89" i="1"/>
  <c r="X190" i="1"/>
  <c r="X166" i="1"/>
  <c r="X183" i="1"/>
  <c r="X125" i="1"/>
  <c r="X61" i="1"/>
  <c r="X100" i="1"/>
  <c r="X194" i="1"/>
  <c r="X145" i="1"/>
  <c r="X208" i="1"/>
  <c r="X54" i="1"/>
  <c r="X243" i="1"/>
  <c r="X171" i="1"/>
  <c r="X120" i="1"/>
  <c r="X33" i="1"/>
  <c r="X24" i="1"/>
  <c r="X36" i="1"/>
  <c r="X150" i="1"/>
  <c r="X20" i="1"/>
  <c r="X182" i="1"/>
  <c r="X64" i="1"/>
  <c r="X134" i="1"/>
  <c r="X12" i="1"/>
  <c r="X50" i="1"/>
  <c r="X69" i="1"/>
  <c r="X81" i="1"/>
  <c r="X107" i="1"/>
  <c r="X17" i="1"/>
  <c r="X71" i="1"/>
  <c r="X43" i="1"/>
  <c r="X56" i="1"/>
  <c r="X188" i="1"/>
  <c r="X155" i="1"/>
  <c r="X181" i="1"/>
  <c r="X223" i="1"/>
  <c r="X86" i="1"/>
  <c r="X57" i="1"/>
  <c r="X174" i="1"/>
  <c r="X247" i="1"/>
  <c r="X45" i="1"/>
  <c r="X74" i="1"/>
  <c r="X152" i="1"/>
  <c r="X49" i="1"/>
  <c r="X204" i="1"/>
  <c r="X156" i="1"/>
  <c r="X235" i="1"/>
  <c r="X147" i="1"/>
  <c r="X122" i="1"/>
  <c r="X105" i="1"/>
  <c r="X96" i="1"/>
  <c r="X143" i="1"/>
  <c r="X236" i="1"/>
  <c r="X163" i="1"/>
  <c r="X138" i="1"/>
  <c r="X67" i="1"/>
  <c r="X42" i="1"/>
  <c r="X229" i="1"/>
  <c r="X184" i="1"/>
  <c r="X239" i="1"/>
  <c r="X151" i="1"/>
  <c r="X25" i="1"/>
  <c r="X222" i="1"/>
  <c r="X144" i="1"/>
  <c r="X215" i="1"/>
  <c r="X130" i="1"/>
  <c r="X93" i="1"/>
  <c r="X99" i="1"/>
  <c r="X225" i="1"/>
  <c r="X91" i="1"/>
  <c r="X3" i="1"/>
  <c r="X123" i="1"/>
  <c r="X75" i="1"/>
  <c r="X179" i="1"/>
  <c r="X9" i="1"/>
  <c r="X128" i="1"/>
  <c r="X165" i="1"/>
  <c r="X37" i="1"/>
  <c r="X180" i="1"/>
  <c r="X148" i="1"/>
  <c r="X242" i="1"/>
  <c r="X241" i="1"/>
  <c r="X11" i="1"/>
  <c r="X154" i="1"/>
  <c r="X206" i="1"/>
  <c r="X112" i="1"/>
  <c r="X159" i="1"/>
  <c r="X77" i="1"/>
  <c r="X13" i="1"/>
  <c r="X205" i="1"/>
  <c r="X209" i="1"/>
  <c r="X106" i="1"/>
  <c r="X76" i="1"/>
  <c r="X19" i="1"/>
  <c r="X22" i="1"/>
  <c r="X41" i="1"/>
  <c r="X32" i="1"/>
  <c r="X70" i="1"/>
  <c r="X79" i="1"/>
  <c r="X146" i="1"/>
  <c r="X117" i="1"/>
  <c r="X60" i="1"/>
  <c r="X30" i="1"/>
  <c r="X187" i="1"/>
  <c r="X213" i="1"/>
  <c r="X178" i="1"/>
  <c r="X4" i="1"/>
  <c r="X108" i="1"/>
  <c r="X202" i="1"/>
  <c r="X23" i="1"/>
  <c r="X80" i="1"/>
  <c r="X127" i="1"/>
  <c r="X28" i="1"/>
  <c r="X66" i="1"/>
  <c r="B44" i="1" l="1"/>
</calcChain>
</file>

<file path=xl/sharedStrings.xml><?xml version="1.0" encoding="utf-8"?>
<sst xmlns="http://schemas.openxmlformats.org/spreadsheetml/2006/main" count="88" uniqueCount="87">
  <si>
    <t>date</t>
  </si>
  <si>
    <t>msft</t>
  </si>
  <si>
    <t>csco</t>
  </si>
  <si>
    <t>covariance</t>
  </si>
  <si>
    <t>X1</t>
  </si>
  <si>
    <t>X2</t>
  </si>
  <si>
    <t>covariance matrix inverse</t>
  </si>
  <si>
    <t>alpha</t>
  </si>
  <si>
    <t>delta bar</t>
  </si>
  <si>
    <t>eta bar</t>
  </si>
  <si>
    <t>n</t>
  </si>
  <si>
    <t>sample covariance matrix</t>
  </si>
  <si>
    <t>Capital Psi</t>
  </si>
  <si>
    <t>Sigma_(k+1)</t>
  </si>
  <si>
    <t>mu_(k+1)</t>
  </si>
  <si>
    <t>determinant S</t>
  </si>
  <si>
    <t>Determinant Capital Psi</t>
  </si>
  <si>
    <t>beta_i_k</t>
  </si>
  <si>
    <t>delta_i_k</t>
  </si>
  <si>
    <t>eta_i_k</t>
  </si>
  <si>
    <t>X1 - mu1[k]</t>
  </si>
  <si>
    <t>X2 -mu2[k]</t>
  </si>
  <si>
    <t>X1 - mu1[k+1]</t>
  </si>
  <si>
    <t>X2 -mu2[k+1]</t>
  </si>
  <si>
    <t>beta_i_[k,2]</t>
  </si>
  <si>
    <t>delta_i_[k,2]</t>
  </si>
  <si>
    <t>eta_i_[k,2]</t>
  </si>
  <si>
    <t>xi_i_[k,2]</t>
  </si>
  <si>
    <t>epsilon</t>
  </si>
  <si>
    <t>log likelihood function</t>
  </si>
  <si>
    <t>total log likelihood</t>
  </si>
  <si>
    <t>Sigma Inverse_(k+1)</t>
  </si>
  <si>
    <t>nu_(k+1)</t>
  </si>
  <si>
    <t>nu_k</t>
  </si>
  <si>
    <t>mu_k</t>
  </si>
  <si>
    <t>sample mean msft</t>
  </si>
  <si>
    <t>sample mean csco</t>
  </si>
  <si>
    <t>sample variance msft</t>
  </si>
  <si>
    <t>sample variance csco</t>
  </si>
  <si>
    <t>Sigma_k</t>
  </si>
  <si>
    <t>Sigma diffs</t>
  </si>
  <si>
    <t>mu diffs</t>
  </si>
  <si>
    <t>nu diff</t>
  </si>
  <si>
    <t>Step 4</t>
  </si>
  <si>
    <t>Step 4 - beyond column R</t>
  </si>
  <si>
    <t>Step 3 revise means and covariance</t>
  </si>
  <si>
    <t>Step 2 compute conditional W and 1/W</t>
  </si>
  <si>
    <t>Compute Expected 1/W and ln W given X</t>
  </si>
  <si>
    <t>Step 1 - Initialize parameters or use ones from previous step</t>
  </si>
  <si>
    <t>Step 5 - Maximum Log Likelihood for W parameter nu using Step 4 info</t>
  </si>
  <si>
    <t>To run this spreadsheet, here is the recipe:</t>
  </si>
  <si>
    <t>1.  Start by entering suitable values in cells B13 through C17</t>
  </si>
  <si>
    <t>2.  Hit control shift R to start the EM macro</t>
  </si>
  <si>
    <t>3.  When the solver window comes up, hit enter</t>
  </si>
  <si>
    <t>4.  Keep doing (2) and (3) until the numbers in rows 46 to 50 get really tiny</t>
  </si>
  <si>
    <t>Make sure your macros are turned on, and you have the solver addin</t>
  </si>
  <si>
    <t xml:space="preserve"> </t>
  </si>
  <si>
    <t>unconditional log likelihood</t>
  </si>
  <si>
    <t>overall log likelihood [k+1]</t>
  </si>
  <si>
    <t>overall log likelihood [k]</t>
  </si>
  <si>
    <t>X1-Sample Mu1</t>
  </si>
  <si>
    <t>X2-Sample Mu2</t>
  </si>
  <si>
    <t>likelihood based on sample mean and covariance</t>
  </si>
  <si>
    <t>log likelihood[0]</t>
  </si>
  <si>
    <t>2-dimensional EM algorithm for stock prices</t>
  </si>
  <si>
    <t>Sample Kurtosis MSFT</t>
  </si>
  <si>
    <t>Sample Kurtosis CSCO</t>
  </si>
  <si>
    <t>Average kurtosis</t>
  </si>
  <si>
    <t>Quick and Dirty nu</t>
  </si>
  <si>
    <t>modified sample covariance</t>
  </si>
  <si>
    <t>Elliptical fitting algorithm</t>
  </si>
  <si>
    <t>guess for mu[k]</t>
  </si>
  <si>
    <t>guess for sigma[k]</t>
  </si>
  <si>
    <t>elliptical fitting</t>
  </si>
  <si>
    <t>X-mu[k]</t>
  </si>
  <si>
    <t>sigma[k] inverse</t>
  </si>
  <si>
    <t>w1 limit</t>
  </si>
  <si>
    <t xml:space="preserve">mu[k+1] </t>
  </si>
  <si>
    <t>w2 limit</t>
  </si>
  <si>
    <t>Sigma[k+1]</t>
  </si>
  <si>
    <t>w1</t>
  </si>
  <si>
    <t>w2</t>
  </si>
  <si>
    <t>limit c</t>
  </si>
  <si>
    <t>Di[k]^2</t>
  </si>
  <si>
    <t>limit binary</t>
  </si>
  <si>
    <t>conditional correlation</t>
  </si>
  <si>
    <t>unconditional 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</si>
</sst>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3" fillId="0" borderId="0" xfId="0" applyFont="1"/>
    <xf numFmtId="16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2" fontId="5" fillId="0" borderId="0" xfId="0" applyNumberFormat="1" applyFont="1"/>
    <xf numFmtId="0" fontId="6" fillId="0" borderId="0" xfId="0" applyFont="1"/>
    <xf numFmtId="164" fontId="7" fillId="0" borderId="0" xfId="0" applyNumberFormat="1" applyFont="1"/>
    <xf numFmtId="0" fontId="7" fillId="0" borderId="0" xfId="0" applyFont="1"/>
    <xf numFmtId="164" fontId="2" fillId="0" borderId="0" xfId="0" applyNumberFormat="1" applyFont="1"/>
    <xf numFmtId="164" fontId="8" fillId="0" borderId="0" xfId="0" applyNumberFormat="1" applyFont="1"/>
    <xf numFmtId="0" fontId="8" fillId="0" borderId="0" xfId="0" applyFont="1"/>
    <xf numFmtId="0" fontId="9" fillId="0" borderId="0" xfId="0" applyFont="1"/>
    <xf numFmtId="164" fontId="0" fillId="0" borderId="0" xfId="0" quotePrefix="1" applyNumberFormat="1"/>
    <xf numFmtId="164" fontId="0" fillId="0" borderId="0" xfId="0" applyNumberFormat="1"/>
    <xf numFmtId="164" fontId="6" fillId="0" borderId="0" xfId="0" applyNumberFormat="1" applyFont="1"/>
    <xf numFmtId="164" fontId="1" fillId="0" borderId="0" xfId="0" applyNumberFormat="1" applyFont="1"/>
    <xf numFmtId="0" fontId="0" fillId="0" borderId="0" xfId="0" quotePrefix="1"/>
    <xf numFmtId="164" fontId="10" fillId="0" borderId="0" xfId="0" applyNumberFormat="1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54"/>
  <sheetViews>
    <sheetView tabSelected="1" topLeftCell="A77" workbookViewId="0">
      <selection activeCell="B86" sqref="B86"/>
    </sheetView>
  </sheetViews>
  <sheetFormatPr defaultRowHeight="15" x14ac:dyDescent="0.25"/>
  <cols>
    <col min="1" max="1" width="44" customWidth="1"/>
    <col min="2" max="2" width="18.85546875" bestFit="1" customWidth="1"/>
    <col min="3" max="3" width="23.5703125" customWidth="1"/>
    <col min="4" max="4" width="12.28515625" customWidth="1"/>
    <col min="5" max="5" width="11.5703125" customWidth="1"/>
    <col min="6" max="7" width="10.85546875" customWidth="1"/>
    <col min="8" max="10" width="13.28515625" customWidth="1"/>
    <col min="12" max="12" width="11.42578125" customWidth="1"/>
    <col min="13" max="13" width="11.28515625" customWidth="1"/>
    <col min="14" max="14" width="13.7109375" customWidth="1"/>
    <col min="16" max="16" width="14" customWidth="1"/>
    <col min="17" max="17" width="14.5703125" customWidth="1"/>
    <col min="19" max="19" width="12.42578125" customWidth="1"/>
    <col min="20" max="20" width="16.5703125" customWidth="1"/>
    <col min="21" max="21" width="11.7109375" customWidth="1"/>
    <col min="22" max="22" width="12.7109375" customWidth="1"/>
    <col min="24" max="24" width="26.140625" customWidth="1"/>
    <col min="25" max="25" width="25.7109375" customWidth="1"/>
    <col min="26" max="26" width="31.140625" customWidth="1"/>
    <col min="27" max="27" width="17.7109375" customWidth="1"/>
    <col min="28" max="28" width="16" customWidth="1"/>
    <col min="29" max="29" width="24" customWidth="1"/>
    <col min="30" max="30" width="19" customWidth="1"/>
    <col min="40" max="40" width="13.42578125" customWidth="1"/>
  </cols>
  <sheetData>
    <row r="1" spans="1:41" ht="18.75" x14ac:dyDescent="0.3">
      <c r="A1" s="2" t="s">
        <v>64</v>
      </c>
      <c r="D1" t="s">
        <v>0</v>
      </c>
      <c r="E1" t="s">
        <v>1</v>
      </c>
      <c r="F1" t="s">
        <v>2</v>
      </c>
      <c r="G1" t="s">
        <v>4</v>
      </c>
      <c r="H1" t="s">
        <v>5</v>
      </c>
      <c r="I1" t="s">
        <v>20</v>
      </c>
      <c r="J1" t="s">
        <v>21</v>
      </c>
      <c r="L1" t="s">
        <v>17</v>
      </c>
      <c r="M1" t="s">
        <v>18</v>
      </c>
      <c r="N1" t="s">
        <v>19</v>
      </c>
      <c r="P1" t="s">
        <v>22</v>
      </c>
      <c r="Q1" t="s">
        <v>23</v>
      </c>
      <c r="R1" s="13" t="s">
        <v>43</v>
      </c>
      <c r="S1" t="s">
        <v>24</v>
      </c>
      <c r="T1" t="s">
        <v>25</v>
      </c>
      <c r="U1" t="s">
        <v>26</v>
      </c>
      <c r="V1" t="s">
        <v>27</v>
      </c>
      <c r="X1" t="s">
        <v>29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F1" t="s">
        <v>73</v>
      </c>
      <c r="AH1" t="s">
        <v>74</v>
      </c>
      <c r="AJ1" t="s">
        <v>83</v>
      </c>
      <c r="AK1" t="s">
        <v>80</v>
      </c>
      <c r="AL1" t="s">
        <v>81</v>
      </c>
      <c r="AM1" t="s">
        <v>84</v>
      </c>
    </row>
    <row r="2" spans="1:41" ht="18.75" x14ac:dyDescent="0.3">
      <c r="A2" s="2" t="s">
        <v>56</v>
      </c>
      <c r="D2" s="5">
        <v>42033</v>
      </c>
      <c r="E2" s="6">
        <v>42.01</v>
      </c>
      <c r="F2" s="6">
        <v>27.22</v>
      </c>
      <c r="G2" s="3">
        <f>(E2-E3)/E3*E$2</f>
        <v>0.83632435057052723</v>
      </c>
      <c r="H2" s="3">
        <f>(F2-F3)/F3*F$2</f>
        <v>0.41627004848936977</v>
      </c>
      <c r="I2" s="3">
        <f t="shared" ref="I2:I65" si="0">G2-$B$16</f>
        <v>0.80533054898420986</v>
      </c>
      <c r="J2" s="3">
        <f t="shared" ref="J2:J65" si="1">H2-$B$17</f>
        <v>0.3865892267740213</v>
      </c>
      <c r="K2" s="4"/>
      <c r="L2" s="3">
        <f>(I2^2*$B$19+J2^2*$C$20+2*I2*J2*$C$19)*0.5+$B$13*0.5</f>
        <v>5.000208240461756</v>
      </c>
      <c r="M2" s="3">
        <f>$B$24/L2</f>
        <v>0.79996668291371209</v>
      </c>
      <c r="N2" s="3">
        <f t="shared" ref="N2:N65" si="2">$B$24/L2</f>
        <v>0.79996668291371209</v>
      </c>
      <c r="O2" s="4"/>
      <c r="P2" s="3">
        <f>G2-$B$29</f>
        <v>0.80306031802856204</v>
      </c>
      <c r="Q2" s="3">
        <f>H2-$B$30</f>
        <v>0.3873601751081065</v>
      </c>
      <c r="R2" s="4"/>
      <c r="S2" s="3">
        <f>(P2^2*$B$37+Q2^2*$C$38+2*P2*Q2*$C$37)*0.5+$B$13*0.5</f>
        <v>4.2774036071631434</v>
      </c>
      <c r="T2" s="3">
        <f>$B$24/S2</f>
        <v>0.93514673090503075</v>
      </c>
      <c r="U2" s="3">
        <f>$B$24/S2</f>
        <v>0.93514673090503075</v>
      </c>
      <c r="V2" s="3">
        <f>(EXP(GAMMALN($B$24-$B$39))/EXP(GAMMALN($B$24))/S2^(-$B$39)-1)/$B$39</f>
        <v>0.19724465977200012</v>
      </c>
      <c r="W2" s="4"/>
      <c r="X2" s="3">
        <f>0.5*$B$43*LN(0.5*$B$43)-0.5*$B$43*T2-($B$43*0.5+1)*V2-GAMMALN($B$43*0.5)</f>
        <v>-0.98007202418917094</v>
      </c>
      <c r="Y2" s="14">
        <f>GAMMALN($B$43/2+1)-GAMMALN($B$43/2)-LN(PI())-LN($B$43)-0.5*LN($B$35*$C$36-$C$35*$B$36)-($B$43/2+1)*LN(SUMPRODUCT(MMULT(P2:Q2,$B$37:$C$38),P2:Q2)/$B$43+1)</f>
        <v>-1.3066180753815462</v>
      </c>
      <c r="Z2" s="15">
        <f>GAMMALN($B$13/2+1)-GAMMALN($B$13/2)-LN(PI())-LN($B$13)-0.5*LN($B$14*$C$15-$C$14*$B$15)-($B$13/2+1)*LN(SUMPRODUCT(MMULT(I2:J2,$B$19:$C$20),I2:J2)/$B$13+1)</f>
        <v>-1.530174988249082</v>
      </c>
      <c r="AA2" s="15">
        <f>G2-$B$3</f>
        <v>0.80533054898420986</v>
      </c>
      <c r="AB2" s="15">
        <f>H2-$B$4</f>
        <v>0.3865892267740213</v>
      </c>
      <c r="AC2" s="15">
        <f>GAMMALN($B$13/2+1)-GAMMALN($B$13/2)-LN(PI())-LN($B$13)-0.5*LN($B$9*$C$10-$C$9*$B$10)-($B$13/2+1)*LN(SUMPRODUCT(MMULT(AA2:AB2,MINVERSE($B$9:$C$10)),AA2:AB2)/$B$13+1)</f>
        <v>-1.3542599883788624</v>
      </c>
      <c r="AH2" s="15">
        <f>G2-$B$70</f>
        <v>0.79273863536848099</v>
      </c>
      <c r="AI2" s="15">
        <f>H2-$B$70</f>
        <v>0.37268433328732359</v>
      </c>
      <c r="AJ2" s="18">
        <f>SUMPRODUCT(MMULT(AH2:AI2,$B$73:$C$74),AH2:AI2)</f>
        <v>5.7761520800135617</v>
      </c>
      <c r="AK2">
        <f>IF(SQRT(AJ2)&lt;=$B$75,1,$B$75/SQRT(AJ2))</f>
        <v>1</v>
      </c>
      <c r="AL2">
        <f>IF(AJ2&lt;=$B$77,1,$B$77/AJ2)</f>
        <v>0.34625127113954107</v>
      </c>
      <c r="AM2">
        <f>IF(AJ2&gt;B$83,1,0)</f>
        <v>1</v>
      </c>
      <c r="AN2">
        <f>AM2*AH2</f>
        <v>0.79273863536848099</v>
      </c>
      <c r="AO2">
        <f>AM2*AI2</f>
        <v>0.37268433328732359</v>
      </c>
    </row>
    <row r="3" spans="1:41" x14ac:dyDescent="0.25">
      <c r="A3" s="7" t="s">
        <v>35</v>
      </c>
      <c r="B3" s="8">
        <f>AVERAGE(G2:G253)</f>
        <v>3.099380158631735E-2</v>
      </c>
      <c r="C3" s="8"/>
      <c r="D3" s="5">
        <v>42032</v>
      </c>
      <c r="E3" s="6">
        <v>41.19</v>
      </c>
      <c r="F3" s="6">
        <v>26.81</v>
      </c>
      <c r="G3" s="3">
        <f t="shared" ref="G3:H66" si="3">(E3-E4)/E4*E$2</f>
        <v>-1.4476019690576643</v>
      </c>
      <c r="H3" s="3">
        <f t="shared" si="3"/>
        <v>-9.107063197026008E-2</v>
      </c>
      <c r="I3" s="3">
        <f t="shared" si="0"/>
        <v>-1.4785957706439816</v>
      </c>
      <c r="J3" s="3">
        <f t="shared" si="1"/>
        <v>-0.12075145368560852</v>
      </c>
      <c r="K3" s="4"/>
      <c r="L3" s="3">
        <f t="shared" ref="L3:L66" si="4">(I3^2*$B$19+J3^2*$C$20+2*I3*J3*$C$19)*0.5+$B$13*0.5</f>
        <v>9.1284838112877527</v>
      </c>
      <c r="M3" s="3">
        <f t="shared" ref="M3:M66" si="5">$B$24/L3</f>
        <v>0.43818886933379148</v>
      </c>
      <c r="N3" s="3">
        <f t="shared" si="2"/>
        <v>0.43818886933379148</v>
      </c>
      <c r="O3" s="4"/>
      <c r="P3" s="3">
        <f t="shared" ref="P3:P66" si="6">G3-$B$29</f>
        <v>-1.4808660015996293</v>
      </c>
      <c r="Q3" s="3">
        <f t="shared" ref="Q3:Q66" si="7">H3-$B$30</f>
        <v>-0.11998050535152335</v>
      </c>
      <c r="R3" s="4"/>
      <c r="S3" s="3">
        <f t="shared" ref="S3:S66" si="8">(P3^2*$B$37+Q3^2*$C$38+2*P3*Q3*$C$37)*0.5+$B$13*0.5</f>
        <v>6.9829692762080953</v>
      </c>
      <c r="T3" s="3">
        <f t="shared" ref="T3:T66" si="9">$B$24/S3</f>
        <v>0.57282222530013582</v>
      </c>
      <c r="U3" s="3">
        <f t="shared" ref="U3:U66" si="10">$B$24/S3</f>
        <v>0.57282222530013582</v>
      </c>
      <c r="V3" s="3">
        <f t="shared" ref="V3:V66" si="11">(EXP(GAMMALN($B$24-$B$39))/EXP(GAMMALN($B$24))/S3^(-$B$39)-1)/$B$39</f>
        <v>0.68739437137033121</v>
      </c>
      <c r="W3" s="4"/>
      <c r="X3" s="3">
        <f t="shared" ref="X3:X66" si="12">0.5*$B$43*LN(0.5*$B$43)-0.5*$B$43*T3-($B$43*0.5+1)*V3-GAMMALN($B$43*0.5)</f>
        <v>-2.0571049388573601</v>
      </c>
      <c r="Y3" s="14">
        <f t="shared" ref="Y3:Y66" si="13">GAMMALN($B$43/2+1)-GAMMALN($B$43/2)-LN(PI())-LN($B$43)-0.5*LN($B$35*$C$36-$C$35*$B$36)-($B$43/2+1)*LN(SUMPRODUCT(MMULT(P3:Q3,$B$37:$C$38),P3:Q3)/$B$43+1)</f>
        <v>-3.4264585019732028</v>
      </c>
      <c r="Z3" s="15">
        <f t="shared" ref="Z3:Z66" si="14">GAMMALN($B$13/2+1)-GAMMALN($B$13/2)-LN(PI())-LN($B$13)-0.5*LN($B$14*$C$15-$C$14*$B$15)-($B$13/2+1)*LN(SUMPRODUCT(MMULT(I3:J3,$B$19:$C$20),I3:J3)/$B$13+1)</f>
        <v>-3.9378552061907923</v>
      </c>
      <c r="AA3" s="15">
        <f t="shared" ref="AA3:AA66" si="15">G3-$B$3</f>
        <v>-1.4785957706439816</v>
      </c>
      <c r="AB3" s="15">
        <f t="shared" ref="AB3:AB66" si="16">H3-$B$4</f>
        <v>-0.12075145368560852</v>
      </c>
      <c r="AC3" s="15">
        <f t="shared" ref="AC3:AC66" si="17">GAMMALN($B$13/2+1)-GAMMALN($B$13/2)-LN(PI())-LN($B$13)-0.5*LN($B$9*$C$10-$C$9*$B$10)-($B$13/2+1)*LN(SUMPRODUCT(MMULT(AA3:AB3,MINVERSE($B$9:$C$10)),AA3:AB3)/$B$13+1)</f>
        <v>-3.2760707881761162</v>
      </c>
      <c r="AH3" s="15">
        <f t="shared" ref="AH3:AH66" si="18">G3-$B$70</f>
        <v>-1.4911876842597105</v>
      </c>
      <c r="AI3" s="15">
        <f t="shared" ref="AI3:AI66" si="19">H3-$B$70</f>
        <v>-0.13465634717230626</v>
      </c>
      <c r="AJ3" s="18">
        <f t="shared" ref="AJ3:AJ66" si="20">SUMPRODUCT(MMULT(AH3:AI3,$B$73:$C$74),AH3:AI3)</f>
        <v>18.397865511008479</v>
      </c>
      <c r="AK3">
        <f t="shared" ref="AK3:AK66" si="21">IF(SQRT(AJ3)&lt;=$B$75,1,$B$75/SQRT(AJ3))</f>
        <v>0.69941917536036446</v>
      </c>
      <c r="AL3">
        <f t="shared" ref="AL3:AL66" si="22">IF(AJ3&lt;=$B$77,1,$B$77/AJ3)</f>
        <v>0.10870826285817163</v>
      </c>
      <c r="AM3">
        <f t="shared" ref="AM3:AM66" si="23">IF(AJ3&gt;B$83,1,0)</f>
        <v>1</v>
      </c>
      <c r="AN3">
        <f t="shared" ref="AN3:AN66" si="24">AM3*AH3</f>
        <v>-1.4911876842597105</v>
      </c>
      <c r="AO3">
        <f t="shared" ref="AO3:AO66" si="25">AM3*AI3</f>
        <v>-0.13465634717230626</v>
      </c>
    </row>
    <row r="4" spans="1:41" x14ac:dyDescent="0.25">
      <c r="A4" s="7" t="s">
        <v>36</v>
      </c>
      <c r="B4" s="8">
        <f>AVERAGE(H2:H253)</f>
        <v>2.968082171534845E-2</v>
      </c>
      <c r="C4" s="8"/>
      <c r="D4" s="5">
        <v>42031</v>
      </c>
      <c r="E4" s="6">
        <v>42.66</v>
      </c>
      <c r="F4" s="6">
        <v>26.9</v>
      </c>
      <c r="G4" s="3">
        <f t="shared" si="3"/>
        <v>-3.8873324824505437</v>
      </c>
      <c r="H4" s="3">
        <f t="shared" si="3"/>
        <v>-1.0413085448695034</v>
      </c>
      <c r="I4" s="3">
        <f t="shared" si="0"/>
        <v>-3.9183262840368611</v>
      </c>
      <c r="J4" s="3">
        <f t="shared" si="1"/>
        <v>-1.0709893665848518</v>
      </c>
      <c r="K4" s="4"/>
      <c r="L4" s="3">
        <f t="shared" si="4"/>
        <v>41.393896887702553</v>
      </c>
      <c r="M4" s="3">
        <f t="shared" si="5"/>
        <v>9.6632602889541772E-2</v>
      </c>
      <c r="N4" s="3">
        <f t="shared" si="2"/>
        <v>9.6632602889541772E-2</v>
      </c>
      <c r="O4" s="4"/>
      <c r="P4" s="3">
        <f t="shared" si="6"/>
        <v>-3.9205965149925088</v>
      </c>
      <c r="Q4" s="3">
        <f t="shared" si="7"/>
        <v>-1.0702184182507666</v>
      </c>
      <c r="R4" s="4"/>
      <c r="S4" s="3">
        <f t="shared" si="8"/>
        <v>27.809505134620927</v>
      </c>
      <c r="T4" s="3">
        <f t="shared" si="9"/>
        <v>0.14383571302821474</v>
      </c>
      <c r="U4" s="3">
        <f t="shared" si="10"/>
        <v>0.14383571302821474</v>
      </c>
      <c r="V4" s="3">
        <f t="shared" si="11"/>
        <v>2.069488506017958</v>
      </c>
      <c r="W4" s="4"/>
      <c r="X4" s="3">
        <f t="shared" si="12"/>
        <v>-7.8151971401059832</v>
      </c>
      <c r="Y4" s="14">
        <f t="shared" si="13"/>
        <v>-10.316369063283418</v>
      </c>
      <c r="Z4" s="15">
        <f t="shared" si="14"/>
        <v>-9.9847905567831319</v>
      </c>
      <c r="AA4" s="15">
        <f t="shared" si="15"/>
        <v>-3.9183262840368611</v>
      </c>
      <c r="AB4" s="15">
        <f t="shared" si="16"/>
        <v>-1.0709893665848518</v>
      </c>
      <c r="AC4" s="15">
        <f t="shared" si="17"/>
        <v>-8.8028741972779621</v>
      </c>
      <c r="AH4" s="15">
        <f t="shared" si="18"/>
        <v>-3.93091819765259</v>
      </c>
      <c r="AI4" s="15">
        <f t="shared" si="19"/>
        <v>-1.0848942600715497</v>
      </c>
      <c r="AJ4" s="18">
        <f t="shared" si="20"/>
        <v>116.91538610462842</v>
      </c>
      <c r="AK4">
        <f t="shared" si="21"/>
        <v>0.2774504417393176</v>
      </c>
      <c r="AL4">
        <f t="shared" si="22"/>
        <v>1.7106388360298323E-2</v>
      </c>
      <c r="AM4">
        <f t="shared" si="23"/>
        <v>1</v>
      </c>
      <c r="AN4">
        <f t="shared" si="24"/>
        <v>-3.93091819765259</v>
      </c>
      <c r="AO4">
        <f t="shared" si="25"/>
        <v>-1.0848942600715497</v>
      </c>
    </row>
    <row r="5" spans="1:41" x14ac:dyDescent="0.25">
      <c r="A5" s="7" t="s">
        <v>37</v>
      </c>
      <c r="B5" s="8">
        <f>STDEV(G2:G253)^2</f>
        <v>0.31358886555175902</v>
      </c>
      <c r="C5" s="8" t="s">
        <v>63</v>
      </c>
      <c r="D5" s="5">
        <v>42030</v>
      </c>
      <c r="E5" s="6">
        <v>47.01</v>
      </c>
      <c r="F5" s="6">
        <v>27.97</v>
      </c>
      <c r="G5" s="3">
        <f t="shared" si="3"/>
        <v>-0.15137134378974293</v>
      </c>
      <c r="H5" s="3">
        <f t="shared" si="3"/>
        <v>-0.23157745480326319</v>
      </c>
      <c r="I5" s="3">
        <f t="shared" si="0"/>
        <v>-0.18236514537606027</v>
      </c>
      <c r="J5" s="3">
        <f t="shared" si="1"/>
        <v>-0.26125827651861167</v>
      </c>
      <c r="K5" s="4"/>
      <c r="L5" s="3">
        <f t="shared" si="4"/>
        <v>3.5976667721757232</v>
      </c>
      <c r="M5" s="3">
        <f t="shared" si="5"/>
        <v>1.1118317101894799</v>
      </c>
      <c r="N5" s="3">
        <f t="shared" si="2"/>
        <v>1.1118317101894799</v>
      </c>
      <c r="O5" s="4"/>
      <c r="P5" s="3">
        <f t="shared" si="6"/>
        <v>-0.1846353763317081</v>
      </c>
      <c r="Q5" s="3">
        <f t="shared" si="7"/>
        <v>-0.26048732818452647</v>
      </c>
      <c r="R5" s="4"/>
      <c r="S5" s="3">
        <f t="shared" si="8"/>
        <v>3.3746639804159848</v>
      </c>
      <c r="T5" s="3">
        <f t="shared" si="9"/>
        <v>1.1853031955812476</v>
      </c>
      <c r="U5" s="3">
        <f t="shared" si="10"/>
        <v>1.1853031955812476</v>
      </c>
      <c r="V5" s="3">
        <f t="shared" si="11"/>
        <v>-3.9807639909961168E-2</v>
      </c>
      <c r="W5" s="4"/>
      <c r="X5" s="3">
        <f t="shared" si="12"/>
        <v>-0.80318480905070433</v>
      </c>
      <c r="Y5" s="14">
        <f t="shared" si="13"/>
        <v>-0.37272375198560231</v>
      </c>
      <c r="Z5" s="15">
        <f t="shared" si="14"/>
        <v>-0.21339881562102103</v>
      </c>
      <c r="AA5" s="15">
        <f t="shared" si="15"/>
        <v>-0.18236514537606027</v>
      </c>
      <c r="AB5" s="15">
        <f t="shared" si="16"/>
        <v>-0.26125827651861167</v>
      </c>
      <c r="AC5" s="15">
        <f t="shared" si="17"/>
        <v>-0.41362877840357498</v>
      </c>
      <c r="AH5" s="15">
        <f t="shared" si="18"/>
        <v>-0.19495705899178911</v>
      </c>
      <c r="AI5" s="15">
        <f t="shared" si="19"/>
        <v>-0.27516317000530938</v>
      </c>
      <c r="AJ5" s="18">
        <f t="shared" si="20"/>
        <v>1.9515170764045535</v>
      </c>
      <c r="AK5">
        <f t="shared" si="21"/>
        <v>1</v>
      </c>
      <c r="AL5">
        <f t="shared" si="22"/>
        <v>1</v>
      </c>
      <c r="AM5">
        <f t="shared" si="23"/>
        <v>0</v>
      </c>
      <c r="AN5">
        <f t="shared" si="24"/>
        <v>0</v>
      </c>
      <c r="AO5">
        <f t="shared" si="25"/>
        <v>0</v>
      </c>
    </row>
    <row r="6" spans="1:41" x14ac:dyDescent="0.25">
      <c r="A6" s="7" t="s">
        <v>38</v>
      </c>
      <c r="B6" s="8">
        <f>STDEV(H2:H253)^2</f>
        <v>9.0236688634610207E-2</v>
      </c>
      <c r="C6" s="8">
        <f>SUM(AC2:AC253)</f>
        <v>-210.77699594305071</v>
      </c>
      <c r="D6" s="5">
        <v>42027</v>
      </c>
      <c r="E6" s="6">
        <v>47.18</v>
      </c>
      <c r="F6" s="6">
        <v>28.21</v>
      </c>
      <c r="G6" s="3">
        <f t="shared" si="3"/>
        <v>4.4568215573941868E-2</v>
      </c>
      <c r="H6" s="3">
        <f t="shared" si="3"/>
        <v>-0.27697543859649043</v>
      </c>
      <c r="I6" s="3">
        <f t="shared" si="0"/>
        <v>1.3574413987624517E-2</v>
      </c>
      <c r="J6" s="3">
        <f t="shared" si="1"/>
        <v>-0.3066562603118389</v>
      </c>
      <c r="K6" s="4"/>
      <c r="L6" s="3">
        <f t="shared" si="4"/>
        <v>4.0622671658294003</v>
      </c>
      <c r="M6" s="3">
        <f t="shared" si="5"/>
        <v>0.98467181913755619</v>
      </c>
      <c r="N6" s="3">
        <f t="shared" si="2"/>
        <v>0.98467181913755619</v>
      </c>
      <c r="O6" s="4"/>
      <c r="P6" s="3">
        <f t="shared" si="6"/>
        <v>1.1304183031976701E-2</v>
      </c>
      <c r="Q6" s="3">
        <f t="shared" si="7"/>
        <v>-0.3058853119777537</v>
      </c>
      <c r="R6" s="4"/>
      <c r="S6" s="3">
        <f t="shared" si="8"/>
        <v>3.6663832312001645</v>
      </c>
      <c r="T6" s="3">
        <f t="shared" si="9"/>
        <v>1.0909934253355802</v>
      </c>
      <c r="U6" s="3">
        <f t="shared" si="10"/>
        <v>1.0909934253355802</v>
      </c>
      <c r="V6" s="3">
        <f t="shared" si="11"/>
        <v>4.3102296298780374E-2</v>
      </c>
      <c r="W6" s="4"/>
      <c r="X6" s="3">
        <f t="shared" si="12"/>
        <v>-0.8337547465709283</v>
      </c>
      <c r="Y6" s="14">
        <f t="shared" si="13"/>
        <v>-0.69189221266469247</v>
      </c>
      <c r="Z6" s="15">
        <f t="shared" si="14"/>
        <v>-0.69922168155947539</v>
      </c>
      <c r="AA6" s="15">
        <f t="shared" si="15"/>
        <v>1.3574413987624517E-2</v>
      </c>
      <c r="AB6" s="15">
        <f t="shared" si="16"/>
        <v>-0.3066562603118389</v>
      </c>
      <c r="AC6" s="15">
        <f t="shared" si="17"/>
        <v>-0.75032701899003607</v>
      </c>
      <c r="AH6" s="15">
        <f t="shared" si="18"/>
        <v>9.8250037189567818E-4</v>
      </c>
      <c r="AI6" s="15">
        <f t="shared" si="19"/>
        <v>-0.32056115379853661</v>
      </c>
      <c r="AJ6" s="18">
        <f t="shared" si="20"/>
        <v>3.3003450028939811</v>
      </c>
      <c r="AK6">
        <f t="shared" si="21"/>
        <v>1</v>
      </c>
      <c r="AL6">
        <f t="shared" si="22"/>
        <v>0.60599725127108084</v>
      </c>
      <c r="AM6">
        <f t="shared" si="23"/>
        <v>1</v>
      </c>
      <c r="AN6">
        <f t="shared" si="24"/>
        <v>9.8250037189567818E-4</v>
      </c>
      <c r="AO6">
        <f t="shared" si="25"/>
        <v>-0.32056115379853661</v>
      </c>
    </row>
    <row r="7" spans="1:41" x14ac:dyDescent="0.25">
      <c r="A7" s="7" t="s">
        <v>3</v>
      </c>
      <c r="B7" s="8">
        <f>COVAR(G2:G253,H2:H253)</f>
        <v>7.8063968950498469E-2</v>
      </c>
      <c r="C7" s="8"/>
      <c r="D7" s="5">
        <v>42026</v>
      </c>
      <c r="E7" s="6">
        <v>47.13</v>
      </c>
      <c r="F7" s="6">
        <v>28.5</v>
      </c>
      <c r="G7" s="3">
        <f t="shared" si="3"/>
        <v>1.1069708188153315</v>
      </c>
      <c r="H7" s="3">
        <f t="shared" si="3"/>
        <v>0.64530172413793119</v>
      </c>
      <c r="I7" s="3">
        <f t="shared" si="0"/>
        <v>1.0759770172290142</v>
      </c>
      <c r="J7" s="3">
        <f t="shared" si="1"/>
        <v>0.61562090242258272</v>
      </c>
      <c r="K7" s="4"/>
      <c r="L7" s="3">
        <f t="shared" si="4"/>
        <v>7.2235179284410265</v>
      </c>
      <c r="M7" s="3">
        <f t="shared" si="5"/>
        <v>0.55374680863611792</v>
      </c>
      <c r="N7" s="3">
        <f t="shared" si="2"/>
        <v>0.55374680863611792</v>
      </c>
      <c r="O7" s="4"/>
      <c r="P7" s="3">
        <f t="shared" si="6"/>
        <v>1.0737067862733665</v>
      </c>
      <c r="Q7" s="3">
        <f t="shared" si="7"/>
        <v>0.61639185075666791</v>
      </c>
      <c r="R7" s="4"/>
      <c r="S7" s="3">
        <f t="shared" si="8"/>
        <v>5.6912400220527797</v>
      </c>
      <c r="T7" s="3">
        <f t="shared" si="9"/>
        <v>0.70283452894282172</v>
      </c>
      <c r="U7" s="3">
        <f t="shared" si="10"/>
        <v>0.70283452894282172</v>
      </c>
      <c r="V7" s="3">
        <f t="shared" si="11"/>
        <v>0.48283633347523391</v>
      </c>
      <c r="W7" s="4"/>
      <c r="X7" s="3">
        <f t="shared" si="12"/>
        <v>-1.5102854592283363</v>
      </c>
      <c r="Y7" s="14">
        <f t="shared" si="13"/>
        <v>-2.5134773559131709</v>
      </c>
      <c r="Z7" s="15">
        <f t="shared" si="14"/>
        <v>-3.0016250773908251</v>
      </c>
      <c r="AA7" s="15">
        <f t="shared" si="15"/>
        <v>1.0759770172290142</v>
      </c>
      <c r="AB7" s="15">
        <f t="shared" si="16"/>
        <v>0.61562090242258272</v>
      </c>
      <c r="AC7" s="15">
        <f t="shared" si="17"/>
        <v>-2.5015417217518241</v>
      </c>
      <c r="AH7" s="15">
        <f t="shared" si="18"/>
        <v>1.0633851036132853</v>
      </c>
      <c r="AI7" s="15">
        <f t="shared" si="19"/>
        <v>0.60171600893588495</v>
      </c>
      <c r="AJ7" s="18">
        <f t="shared" si="20"/>
        <v>12.305779421021699</v>
      </c>
      <c r="AK7">
        <f t="shared" si="21"/>
        <v>0.85519802971886694</v>
      </c>
      <c r="AL7">
        <f t="shared" si="22"/>
        <v>0.16252526000778489</v>
      </c>
      <c r="AM7">
        <f t="shared" si="23"/>
        <v>1</v>
      </c>
      <c r="AN7">
        <f t="shared" si="24"/>
        <v>1.0633851036132853</v>
      </c>
      <c r="AO7">
        <f t="shared" si="25"/>
        <v>0.60171600893588495</v>
      </c>
    </row>
    <row r="8" spans="1:41" x14ac:dyDescent="0.25">
      <c r="A8" s="7" t="s">
        <v>10</v>
      </c>
      <c r="B8" s="9">
        <v>252</v>
      </c>
      <c r="C8" s="9"/>
      <c r="D8" s="5">
        <v>42025</v>
      </c>
      <c r="E8" s="6">
        <v>45.92</v>
      </c>
      <c r="F8" s="6">
        <v>27.84</v>
      </c>
      <c r="G8" s="3">
        <f t="shared" si="3"/>
        <v>-0.4256240569088155</v>
      </c>
      <c r="H8" s="3">
        <f t="shared" si="3"/>
        <v>-0.22303526897043144</v>
      </c>
      <c r="I8" s="3">
        <f t="shared" si="0"/>
        <v>-0.45661785849513287</v>
      </c>
      <c r="J8" s="3">
        <f t="shared" si="1"/>
        <v>-0.25271609068577988</v>
      </c>
      <c r="K8" s="4"/>
      <c r="L8" s="3">
        <f t="shared" si="4"/>
        <v>3.733597317810359</v>
      </c>
      <c r="M8" s="3">
        <f t="shared" si="5"/>
        <v>1.0713528159340648</v>
      </c>
      <c r="N8" s="3">
        <f t="shared" si="2"/>
        <v>1.0713528159340648</v>
      </c>
      <c r="O8" s="4"/>
      <c r="P8" s="3">
        <f t="shared" si="6"/>
        <v>-0.45888808945078063</v>
      </c>
      <c r="Q8" s="3">
        <f t="shared" si="7"/>
        <v>-0.25194514235169468</v>
      </c>
      <c r="R8" s="4"/>
      <c r="S8" s="3">
        <f t="shared" si="8"/>
        <v>3.4687877807146794</v>
      </c>
      <c r="T8" s="3">
        <f t="shared" si="9"/>
        <v>1.1531405934484336</v>
      </c>
      <c r="U8" s="3">
        <f t="shared" si="10"/>
        <v>1.1531405934484336</v>
      </c>
      <c r="V8" s="3">
        <f t="shared" si="11"/>
        <v>-1.2298279399303169E-2</v>
      </c>
      <c r="W8" s="4"/>
      <c r="X8" s="3">
        <f t="shared" si="12"/>
        <v>-0.8093297655172238</v>
      </c>
      <c r="Y8" s="14">
        <f t="shared" si="13"/>
        <v>-0.47770823346133928</v>
      </c>
      <c r="Z8" s="15">
        <f t="shared" si="14"/>
        <v>-0.3617455386557884</v>
      </c>
      <c r="AA8" s="15">
        <f t="shared" si="15"/>
        <v>-0.45661785849513287</v>
      </c>
      <c r="AB8" s="15">
        <f t="shared" si="16"/>
        <v>-0.25271609068577988</v>
      </c>
      <c r="AC8" s="15">
        <f t="shared" si="17"/>
        <v>-0.5151050135774774</v>
      </c>
      <c r="AH8" s="15">
        <f t="shared" si="18"/>
        <v>-0.46920977211086168</v>
      </c>
      <c r="AI8" s="15">
        <f t="shared" si="19"/>
        <v>-0.26662098417247765</v>
      </c>
      <c r="AJ8" s="18">
        <f t="shared" si="20"/>
        <v>2.4067895633863219</v>
      </c>
      <c r="AK8">
        <f t="shared" si="21"/>
        <v>1</v>
      </c>
      <c r="AL8">
        <f t="shared" si="22"/>
        <v>0.83098249652787504</v>
      </c>
      <c r="AM8">
        <f t="shared" si="23"/>
        <v>0</v>
      </c>
      <c r="AN8">
        <f t="shared" si="24"/>
        <v>0</v>
      </c>
      <c r="AO8">
        <f t="shared" si="25"/>
        <v>0</v>
      </c>
    </row>
    <row r="9" spans="1:41" x14ac:dyDescent="0.25">
      <c r="A9" s="7" t="s">
        <v>11</v>
      </c>
      <c r="B9" s="8">
        <f>B5</f>
        <v>0.31358886555175902</v>
      </c>
      <c r="C9" s="8">
        <f>B7</f>
        <v>7.8063968950498469E-2</v>
      </c>
      <c r="D9" s="5">
        <v>42024</v>
      </c>
      <c r="E9" s="6">
        <v>46.39</v>
      </c>
      <c r="F9" s="6">
        <v>28.07</v>
      </c>
      <c r="G9" s="3">
        <f t="shared" si="3"/>
        <v>0.1362781141868499</v>
      </c>
      <c r="H9" s="3">
        <f t="shared" si="3"/>
        <v>0.38351878612716817</v>
      </c>
      <c r="I9" s="3">
        <f t="shared" si="0"/>
        <v>0.10528431260053256</v>
      </c>
      <c r="J9" s="3">
        <f t="shared" si="1"/>
        <v>0.35383796441181969</v>
      </c>
      <c r="K9" s="4"/>
      <c r="L9" s="3">
        <f t="shared" si="4"/>
        <v>4.2133806739221917</v>
      </c>
      <c r="M9" s="3">
        <f t="shared" si="5"/>
        <v>0.94935642173448387</v>
      </c>
      <c r="N9" s="3">
        <f t="shared" si="2"/>
        <v>0.94935642173448387</v>
      </c>
      <c r="O9" s="4"/>
      <c r="P9" s="3">
        <f t="shared" si="6"/>
        <v>0.10301408164488474</v>
      </c>
      <c r="Q9" s="3">
        <f t="shared" si="7"/>
        <v>0.35460891274590489</v>
      </c>
      <c r="R9" s="4"/>
      <c r="S9" s="3">
        <f t="shared" si="8"/>
        <v>3.771800300277107</v>
      </c>
      <c r="T9" s="3">
        <f t="shared" si="9"/>
        <v>1.060501532837284</v>
      </c>
      <c r="U9" s="3">
        <f t="shared" si="10"/>
        <v>1.060501532837284</v>
      </c>
      <c r="V9" s="3">
        <f t="shared" si="11"/>
        <v>7.1449198801865066E-2</v>
      </c>
      <c r="W9" s="4"/>
      <c r="X9" s="3">
        <f t="shared" si="12"/>
        <v>-0.85225336767161797</v>
      </c>
      <c r="Y9" s="14">
        <f t="shared" si="13"/>
        <v>-0.80288926718341691</v>
      </c>
      <c r="Z9" s="15">
        <f t="shared" si="14"/>
        <v>-0.84531809315924167</v>
      </c>
      <c r="AA9" s="15">
        <f t="shared" si="15"/>
        <v>0.10528431260053256</v>
      </c>
      <c r="AB9" s="15">
        <f t="shared" si="16"/>
        <v>0.35383796441181969</v>
      </c>
      <c r="AC9" s="15">
        <f t="shared" si="17"/>
        <v>-0.85400204462870166</v>
      </c>
      <c r="AH9" s="15">
        <f t="shared" si="18"/>
        <v>9.269239898480372E-2</v>
      </c>
      <c r="AI9" s="15">
        <f t="shared" si="19"/>
        <v>0.33993307092512198</v>
      </c>
      <c r="AJ9" s="18">
        <f t="shared" si="20"/>
        <v>3.296497771889753</v>
      </c>
      <c r="AK9">
        <f t="shared" si="21"/>
        <v>1</v>
      </c>
      <c r="AL9">
        <f t="shared" si="22"/>
        <v>0.60670449015758876</v>
      </c>
      <c r="AM9">
        <f t="shared" si="23"/>
        <v>1</v>
      </c>
      <c r="AN9">
        <f t="shared" si="24"/>
        <v>9.269239898480372E-2</v>
      </c>
      <c r="AO9">
        <f t="shared" si="25"/>
        <v>0.33993307092512198</v>
      </c>
    </row>
    <row r="10" spans="1:41" x14ac:dyDescent="0.25">
      <c r="A10" s="7"/>
      <c r="B10" s="8">
        <f>C9</f>
        <v>7.8063968950498469E-2</v>
      </c>
      <c r="C10" s="8">
        <f>B6</f>
        <v>9.0236688634610207E-2</v>
      </c>
      <c r="D10" s="5">
        <v>42020</v>
      </c>
      <c r="E10" s="6">
        <v>46.24</v>
      </c>
      <c r="F10" s="6">
        <v>27.68</v>
      </c>
      <c r="G10" s="3">
        <f t="shared" si="3"/>
        <v>0.70201407211961775</v>
      </c>
      <c r="H10" s="3">
        <f t="shared" si="3"/>
        <v>0.26812842028456724</v>
      </c>
      <c r="I10" s="3">
        <f t="shared" si="0"/>
        <v>0.67102027053330038</v>
      </c>
      <c r="J10" s="3">
        <f t="shared" si="1"/>
        <v>0.23844759856921879</v>
      </c>
      <c r="K10" s="4"/>
      <c r="L10" s="3">
        <f t="shared" si="4"/>
        <v>4.1793483785482088</v>
      </c>
      <c r="M10" s="3">
        <f t="shared" si="5"/>
        <v>0.95708699962205368</v>
      </c>
      <c r="N10" s="3">
        <f t="shared" si="2"/>
        <v>0.95708699962205368</v>
      </c>
      <c r="O10" s="4"/>
      <c r="P10" s="3">
        <f t="shared" si="6"/>
        <v>0.66875003957765256</v>
      </c>
      <c r="Q10" s="3">
        <f t="shared" si="7"/>
        <v>0.23921854690330396</v>
      </c>
      <c r="R10" s="4"/>
      <c r="S10" s="3">
        <f t="shared" si="8"/>
        <v>3.7552017322822304</v>
      </c>
      <c r="T10" s="3">
        <f t="shared" si="9"/>
        <v>1.0651891123753272</v>
      </c>
      <c r="U10" s="3">
        <f t="shared" si="10"/>
        <v>1.0651891123753272</v>
      </c>
      <c r="V10" s="3">
        <f t="shared" si="11"/>
        <v>6.7038754973935966E-2</v>
      </c>
      <c r="W10" s="4"/>
      <c r="X10" s="3">
        <f t="shared" si="12"/>
        <v>-0.84911533558730912</v>
      </c>
      <c r="Y10" s="14">
        <f t="shared" si="13"/>
        <v>-0.78555759583381846</v>
      </c>
      <c r="Z10" s="15">
        <f t="shared" si="14"/>
        <v>-0.8128781259524569</v>
      </c>
      <c r="AA10" s="15">
        <f t="shared" si="15"/>
        <v>0.67102027053330038</v>
      </c>
      <c r="AB10" s="15">
        <f t="shared" si="16"/>
        <v>0.23844759856921879</v>
      </c>
      <c r="AC10" s="15">
        <f t="shared" si="17"/>
        <v>-0.83088670231726014</v>
      </c>
      <c r="AH10" s="15">
        <f t="shared" si="18"/>
        <v>0.65842835691757151</v>
      </c>
      <c r="AI10" s="15">
        <f t="shared" si="19"/>
        <v>0.22454270508252105</v>
      </c>
      <c r="AJ10" s="18">
        <f t="shared" si="20"/>
        <v>3.3994929876340891</v>
      </c>
      <c r="AK10">
        <f t="shared" si="21"/>
        <v>1</v>
      </c>
      <c r="AL10">
        <f t="shared" si="22"/>
        <v>0.58832302560268546</v>
      </c>
      <c r="AM10">
        <f t="shared" si="23"/>
        <v>1</v>
      </c>
      <c r="AN10">
        <f t="shared" si="24"/>
        <v>0.65842835691757151</v>
      </c>
      <c r="AO10">
        <f t="shared" si="25"/>
        <v>0.22454270508252105</v>
      </c>
    </row>
    <row r="11" spans="1:41" x14ac:dyDescent="0.25">
      <c r="A11" s="7" t="s">
        <v>15</v>
      </c>
      <c r="B11" s="8">
        <f>B9*C10-B10*C9</f>
        <v>2.2203237571770333E-2</v>
      </c>
      <c r="C11" s="9"/>
      <c r="D11" s="5">
        <v>42019</v>
      </c>
      <c r="E11" s="6">
        <v>45.48</v>
      </c>
      <c r="F11" s="6">
        <v>27.41</v>
      </c>
      <c r="G11" s="3">
        <f t="shared" si="3"/>
        <v>-0.43874673629243183</v>
      </c>
      <c r="H11" s="3">
        <f t="shared" si="3"/>
        <v>-0.49721346704871205</v>
      </c>
      <c r="I11" s="3">
        <f t="shared" si="0"/>
        <v>-0.4697405378787492</v>
      </c>
      <c r="J11" s="3">
        <f t="shared" si="1"/>
        <v>-0.52689428876406053</v>
      </c>
      <c r="K11" s="4"/>
      <c r="L11" s="3">
        <f t="shared" si="4"/>
        <v>5.4068767427658306</v>
      </c>
      <c r="M11" s="3">
        <f t="shared" si="5"/>
        <v>0.73979862872809676</v>
      </c>
      <c r="N11" s="3">
        <f t="shared" si="2"/>
        <v>0.73979862872809676</v>
      </c>
      <c r="O11" s="4"/>
      <c r="P11" s="3">
        <f t="shared" si="6"/>
        <v>-0.47201076883439697</v>
      </c>
      <c r="Q11" s="3">
        <f t="shared" si="7"/>
        <v>-0.52612334042997533</v>
      </c>
      <c r="R11" s="4"/>
      <c r="S11" s="3">
        <f t="shared" si="8"/>
        <v>4.5166754662375448</v>
      </c>
      <c r="T11" s="3">
        <f t="shared" si="9"/>
        <v>0.88560713070936159</v>
      </c>
      <c r="U11" s="3">
        <f t="shared" si="10"/>
        <v>0.88560713070936159</v>
      </c>
      <c r="V11" s="3">
        <f t="shared" si="11"/>
        <v>0.25167589673413815</v>
      </c>
      <c r="W11" s="4"/>
      <c r="X11" s="3">
        <f t="shared" si="12"/>
        <v>-1.0569622075809122</v>
      </c>
      <c r="Y11" s="14">
        <f t="shared" si="13"/>
        <v>-1.5300554217432383</v>
      </c>
      <c r="Z11" s="15">
        <f t="shared" si="14"/>
        <v>-1.842943206718292</v>
      </c>
      <c r="AA11" s="15">
        <f t="shared" si="15"/>
        <v>-0.4697405378787492</v>
      </c>
      <c r="AB11" s="15">
        <f t="shared" si="16"/>
        <v>-0.52689428876406053</v>
      </c>
      <c r="AC11" s="15">
        <f t="shared" si="17"/>
        <v>-1.5902039934055949</v>
      </c>
      <c r="AH11" s="15">
        <f t="shared" si="18"/>
        <v>-0.48233245149447801</v>
      </c>
      <c r="AI11" s="15">
        <f t="shared" si="19"/>
        <v>-0.54079918225075829</v>
      </c>
      <c r="AJ11" s="18">
        <f t="shared" si="20"/>
        <v>7.5120900208601</v>
      </c>
      <c r="AK11">
        <f t="shared" si="21"/>
        <v>1</v>
      </c>
      <c r="AL11">
        <f t="shared" si="22"/>
        <v>0.26623749109052997</v>
      </c>
      <c r="AM11">
        <f t="shared" si="23"/>
        <v>1</v>
      </c>
      <c r="AN11">
        <f t="shared" si="24"/>
        <v>-0.48233245149447801</v>
      </c>
      <c r="AO11">
        <f t="shared" si="25"/>
        <v>-0.54079918225075829</v>
      </c>
    </row>
    <row r="12" spans="1:41" ht="18.75" x14ac:dyDescent="0.3">
      <c r="A12" s="13" t="s">
        <v>48</v>
      </c>
      <c r="B12" s="9"/>
      <c r="C12" s="9"/>
      <c r="D12" s="5">
        <v>42018</v>
      </c>
      <c r="E12" s="6">
        <v>45.96</v>
      </c>
      <c r="F12" s="6">
        <v>27.92</v>
      </c>
      <c r="G12" s="3">
        <f t="shared" si="3"/>
        <v>-0.36246764452113761</v>
      </c>
      <c r="H12" s="3">
        <f t="shared" si="3"/>
        <v>-0.17436298932384311</v>
      </c>
      <c r="I12" s="3">
        <f t="shared" si="0"/>
        <v>-0.39346144610745498</v>
      </c>
      <c r="J12" s="3">
        <f t="shared" si="1"/>
        <v>-0.20404381103919156</v>
      </c>
      <c r="K12" s="4"/>
      <c r="L12" s="3">
        <f t="shared" si="4"/>
        <v>3.5104645289167897</v>
      </c>
      <c r="M12" s="3">
        <f t="shared" si="5"/>
        <v>1.1394503397059716</v>
      </c>
      <c r="N12" s="3">
        <f t="shared" si="2"/>
        <v>1.1394503397059716</v>
      </c>
      <c r="O12" s="4"/>
      <c r="P12" s="3">
        <f t="shared" si="6"/>
        <v>-0.39573167706310275</v>
      </c>
      <c r="Q12" s="3">
        <f t="shared" si="7"/>
        <v>-0.20327286270510639</v>
      </c>
      <c r="R12" s="4"/>
      <c r="S12" s="3">
        <f t="shared" si="8"/>
        <v>3.3270290194866439</v>
      </c>
      <c r="T12" s="3">
        <f t="shared" si="9"/>
        <v>1.2022738535106601</v>
      </c>
      <c r="U12" s="3">
        <f t="shared" si="10"/>
        <v>1.2022738535106601</v>
      </c>
      <c r="V12" s="3">
        <f t="shared" si="11"/>
        <v>-5.4023611807396676E-2</v>
      </c>
      <c r="W12" s="4"/>
      <c r="X12" s="3">
        <f t="shared" si="12"/>
        <v>-0.80161641279638118</v>
      </c>
      <c r="Y12" s="14">
        <f t="shared" si="13"/>
        <v>-0.31883149047747045</v>
      </c>
      <c r="Z12" s="15">
        <f t="shared" si="14"/>
        <v>-0.11525024217935409</v>
      </c>
      <c r="AA12" s="15">
        <f t="shared" si="15"/>
        <v>-0.39346144610745498</v>
      </c>
      <c r="AB12" s="15">
        <f t="shared" si="16"/>
        <v>-0.20404381103919156</v>
      </c>
      <c r="AC12" s="15">
        <f t="shared" si="17"/>
        <v>-0.34714748359623215</v>
      </c>
      <c r="AH12" s="15">
        <f t="shared" si="18"/>
        <v>-0.40605335972318379</v>
      </c>
      <c r="AI12" s="15">
        <f t="shared" si="19"/>
        <v>-0.2179487045258893</v>
      </c>
      <c r="AJ12" s="18">
        <f t="shared" si="20"/>
        <v>1.6992795969619396</v>
      </c>
      <c r="AK12">
        <f t="shared" si="21"/>
        <v>1</v>
      </c>
      <c r="AL12">
        <f t="shared" si="22"/>
        <v>1</v>
      </c>
      <c r="AM12">
        <f t="shared" si="23"/>
        <v>0</v>
      </c>
      <c r="AN12">
        <f t="shared" si="24"/>
        <v>0</v>
      </c>
      <c r="AO12">
        <f t="shared" si="25"/>
        <v>0</v>
      </c>
    </row>
    <row r="13" spans="1:41" ht="18.75" x14ac:dyDescent="0.3">
      <c r="A13" s="1" t="s">
        <v>33</v>
      </c>
      <c r="B13" s="11">
        <v>6</v>
      </c>
      <c r="C13" s="12"/>
      <c r="D13" s="5">
        <v>42017</v>
      </c>
      <c r="E13" s="6">
        <v>46.36</v>
      </c>
      <c r="F13" s="6">
        <v>28.1</v>
      </c>
      <c r="G13" s="3">
        <f t="shared" si="3"/>
        <v>-0.216360515021461</v>
      </c>
      <c r="H13" s="3">
        <f t="shared" si="3"/>
        <v>4.8520499108735092E-2</v>
      </c>
      <c r="I13" s="3">
        <f t="shared" si="0"/>
        <v>-0.24735431660777835</v>
      </c>
      <c r="J13" s="3">
        <f t="shared" si="1"/>
        <v>1.8839677393386642E-2</v>
      </c>
      <c r="K13" s="4"/>
      <c r="L13" s="3">
        <f t="shared" si="4"/>
        <v>3.2240343656080435</v>
      </c>
      <c r="M13" s="3">
        <f t="shared" si="5"/>
        <v>1.2406815642753273</v>
      </c>
      <c r="N13" s="3">
        <f t="shared" si="2"/>
        <v>1.2406815642753273</v>
      </c>
      <c r="O13" s="4"/>
      <c r="P13" s="3">
        <f t="shared" si="6"/>
        <v>-0.24962454756342617</v>
      </c>
      <c r="Q13" s="3">
        <f t="shared" si="7"/>
        <v>1.9610625727471822E-2</v>
      </c>
      <c r="R13" s="4"/>
      <c r="S13" s="3">
        <f t="shared" si="8"/>
        <v>3.1480806619526351</v>
      </c>
      <c r="T13" s="3">
        <f t="shared" si="9"/>
        <v>1.2706154732131139</v>
      </c>
      <c r="U13" s="3">
        <f t="shared" si="10"/>
        <v>1.2706154732131139</v>
      </c>
      <c r="V13" s="3">
        <f t="shared" si="11"/>
        <v>-0.10930992625057812</v>
      </c>
      <c r="W13" s="4"/>
      <c r="X13" s="3">
        <f t="shared" si="12"/>
        <v>-0.80627085344973271</v>
      </c>
      <c r="Y13" s="14">
        <f t="shared" si="13"/>
        <v>-0.11160458867634523</v>
      </c>
      <c r="Z13" s="15">
        <f t="shared" si="14"/>
        <v>0.22520931480658291</v>
      </c>
      <c r="AA13" s="15">
        <f t="shared" si="15"/>
        <v>-0.24735431660777835</v>
      </c>
      <c r="AB13" s="15">
        <f t="shared" si="16"/>
        <v>1.8839677393386642E-2</v>
      </c>
      <c r="AC13" s="15">
        <f t="shared" si="17"/>
        <v>-0.12066124391865371</v>
      </c>
      <c r="AH13" s="15">
        <f t="shared" si="18"/>
        <v>-0.25994623022350721</v>
      </c>
      <c r="AI13" s="15">
        <f t="shared" si="19"/>
        <v>4.9347839066889027E-3</v>
      </c>
      <c r="AJ13" s="18">
        <f t="shared" si="20"/>
        <v>0.65706544401529021</v>
      </c>
      <c r="AK13">
        <f t="shared" si="21"/>
        <v>1</v>
      </c>
      <c r="AL13">
        <f t="shared" si="22"/>
        <v>1</v>
      </c>
      <c r="AM13">
        <f t="shared" si="23"/>
        <v>0</v>
      </c>
      <c r="AN13">
        <f t="shared" si="24"/>
        <v>0</v>
      </c>
      <c r="AO13">
        <f t="shared" si="25"/>
        <v>0</v>
      </c>
    </row>
    <row r="14" spans="1:41" ht="18.75" x14ac:dyDescent="0.3">
      <c r="A14" s="1" t="s">
        <v>39</v>
      </c>
      <c r="B14" s="11">
        <v>0.20047112121870772</v>
      </c>
      <c r="C14" s="11">
        <v>4.9904741849661732E-2</v>
      </c>
      <c r="D14" s="5">
        <v>42016</v>
      </c>
      <c r="E14" s="6">
        <v>46.6</v>
      </c>
      <c r="F14" s="6">
        <v>28.05</v>
      </c>
      <c r="G14" s="3">
        <f t="shared" si="3"/>
        <v>-0.52523627887263924</v>
      </c>
      <c r="H14" s="3">
        <f t="shared" si="3"/>
        <v>0.2546671464555611</v>
      </c>
      <c r="I14" s="3">
        <f t="shared" si="0"/>
        <v>-0.55623008045895661</v>
      </c>
      <c r="J14" s="3">
        <f t="shared" si="1"/>
        <v>0.22498632474021266</v>
      </c>
      <c r="K14" s="4"/>
      <c r="L14" s="3">
        <f t="shared" si="4"/>
        <v>5.2308762478375126</v>
      </c>
      <c r="M14" s="3">
        <f t="shared" si="5"/>
        <v>0.76469023744418219</v>
      </c>
      <c r="N14" s="3">
        <f t="shared" si="2"/>
        <v>0.76469023744418219</v>
      </c>
      <c r="O14" s="4"/>
      <c r="P14" s="3">
        <f t="shared" si="6"/>
        <v>-0.55850031141460443</v>
      </c>
      <c r="Q14" s="3">
        <f t="shared" si="7"/>
        <v>0.22575727307429783</v>
      </c>
      <c r="R14" s="4"/>
      <c r="S14" s="3">
        <f t="shared" si="8"/>
        <v>4.4423281332744384</v>
      </c>
      <c r="T14" s="3">
        <f t="shared" si="9"/>
        <v>0.90042875717323512</v>
      </c>
      <c r="U14" s="3">
        <f t="shared" si="10"/>
        <v>0.90042875717323512</v>
      </c>
      <c r="V14" s="3">
        <f t="shared" si="11"/>
        <v>0.2350778792425956</v>
      </c>
      <c r="W14" s="4"/>
      <c r="X14" s="3">
        <f t="shared" si="12"/>
        <v>-1.0322082552084468</v>
      </c>
      <c r="Y14" s="14">
        <f t="shared" si="13"/>
        <v>-1.4615795561701108</v>
      </c>
      <c r="Z14" s="15">
        <f t="shared" si="14"/>
        <v>-1.7105719762150715</v>
      </c>
      <c r="AA14" s="15">
        <f t="shared" si="15"/>
        <v>-0.55623008045895661</v>
      </c>
      <c r="AB14" s="15">
        <f t="shared" si="16"/>
        <v>0.22498632474021266</v>
      </c>
      <c r="AC14" s="15">
        <f t="shared" si="17"/>
        <v>-1.4897941852905041</v>
      </c>
      <c r="AH14" s="15">
        <f t="shared" si="18"/>
        <v>-0.56882199407468548</v>
      </c>
      <c r="AI14" s="15">
        <f t="shared" si="19"/>
        <v>0.21108143125351492</v>
      </c>
      <c r="AJ14" s="18">
        <f t="shared" si="20"/>
        <v>6.3436820945837198</v>
      </c>
      <c r="AK14">
        <f t="shared" si="21"/>
        <v>1</v>
      </c>
      <c r="AL14">
        <f t="shared" si="22"/>
        <v>0.31527431075204954</v>
      </c>
      <c r="AM14">
        <f t="shared" si="23"/>
        <v>1</v>
      </c>
      <c r="AN14">
        <f t="shared" si="24"/>
        <v>-0.56882199407468548</v>
      </c>
      <c r="AO14">
        <f t="shared" si="25"/>
        <v>0.21108143125351492</v>
      </c>
    </row>
    <row r="15" spans="1:41" ht="18.75" x14ac:dyDescent="0.3">
      <c r="A15" s="1"/>
      <c r="B15" s="11">
        <v>4.9904741849661732E-2</v>
      </c>
      <c r="C15" s="11">
        <v>5.7686519302318558E-2</v>
      </c>
      <c r="D15" s="5">
        <v>42013</v>
      </c>
      <c r="E15" s="6">
        <v>47.19</v>
      </c>
      <c r="F15" s="6">
        <v>27.79</v>
      </c>
      <c r="G15" s="3">
        <f t="shared" si="3"/>
        <v>-0.35309939062828827</v>
      </c>
      <c r="H15" s="3">
        <f t="shared" si="3"/>
        <v>0.27704834605597722</v>
      </c>
      <c r="I15" s="3">
        <f t="shared" si="0"/>
        <v>-0.38409319221460564</v>
      </c>
      <c r="J15" s="3">
        <f t="shared" si="1"/>
        <v>0.24736752434062878</v>
      </c>
      <c r="K15" s="4"/>
      <c r="L15" s="3">
        <f t="shared" si="4"/>
        <v>4.667425774425368</v>
      </c>
      <c r="M15" s="3">
        <f t="shared" si="5"/>
        <v>0.85700345186366922</v>
      </c>
      <c r="N15" s="3">
        <f t="shared" si="2"/>
        <v>0.85700345186366922</v>
      </c>
      <c r="O15" s="4"/>
      <c r="P15" s="3">
        <f t="shared" si="6"/>
        <v>-0.38636342317025341</v>
      </c>
      <c r="Q15" s="3">
        <f t="shared" si="7"/>
        <v>0.24813847267471395</v>
      </c>
      <c r="R15" s="4"/>
      <c r="S15" s="3">
        <f t="shared" si="8"/>
        <v>4.0754488658989612</v>
      </c>
      <c r="T15" s="3">
        <f t="shared" si="9"/>
        <v>0.98148698011395152</v>
      </c>
      <c r="U15" s="3">
        <f t="shared" si="10"/>
        <v>0.98148698011395152</v>
      </c>
      <c r="V15" s="3">
        <f t="shared" si="11"/>
        <v>0.14887852284539704</v>
      </c>
      <c r="W15" s="4"/>
      <c r="X15" s="3">
        <f t="shared" si="12"/>
        <v>-0.92240443952717932</v>
      </c>
      <c r="Y15" s="14">
        <f t="shared" si="13"/>
        <v>-1.1108208312771983</v>
      </c>
      <c r="Z15" s="15">
        <f t="shared" si="14"/>
        <v>-1.2546875242793907</v>
      </c>
      <c r="AA15" s="15">
        <f t="shared" si="15"/>
        <v>-0.38409319221460564</v>
      </c>
      <c r="AB15" s="15">
        <f t="shared" si="16"/>
        <v>0.24736752434062878</v>
      </c>
      <c r="AC15" s="15">
        <f t="shared" si="17"/>
        <v>-1.1502610827041602</v>
      </c>
      <c r="AH15" s="15">
        <f t="shared" si="18"/>
        <v>-0.39668510583033445</v>
      </c>
      <c r="AI15" s="15">
        <f t="shared" si="19"/>
        <v>0.23346263085393104</v>
      </c>
      <c r="AJ15" s="18">
        <f t="shared" si="20"/>
        <v>4.670514758078788</v>
      </c>
      <c r="AK15">
        <f t="shared" si="21"/>
        <v>1</v>
      </c>
      <c r="AL15">
        <f t="shared" si="22"/>
        <v>0.42821832358853273</v>
      </c>
      <c r="AM15">
        <f t="shared" si="23"/>
        <v>1</v>
      </c>
      <c r="AN15">
        <f t="shared" si="24"/>
        <v>-0.39668510583033445</v>
      </c>
      <c r="AO15">
        <f t="shared" si="25"/>
        <v>0.23346263085393104</v>
      </c>
    </row>
    <row r="16" spans="1:41" ht="18.75" x14ac:dyDescent="0.3">
      <c r="A16" s="1" t="s">
        <v>34</v>
      </c>
      <c r="B16" s="11">
        <v>3.099380158631735E-2</v>
      </c>
      <c r="C16" s="12"/>
      <c r="D16" s="5">
        <v>42012</v>
      </c>
      <c r="E16" s="6">
        <v>47.59</v>
      </c>
      <c r="F16" s="6">
        <v>27.51</v>
      </c>
      <c r="G16" s="3">
        <f t="shared" si="3"/>
        <v>1.2358555050832851</v>
      </c>
      <c r="H16" s="3">
        <f t="shared" si="3"/>
        <v>0.20938461538461622</v>
      </c>
      <c r="I16" s="3">
        <f t="shared" si="0"/>
        <v>1.2048617034969678</v>
      </c>
      <c r="J16" s="3">
        <f t="shared" si="1"/>
        <v>0.17970379366926778</v>
      </c>
      <c r="K16" s="4"/>
      <c r="L16" s="3">
        <f t="shared" si="4"/>
        <v>6.7803830397834393</v>
      </c>
      <c r="M16" s="3">
        <f t="shared" si="5"/>
        <v>0.58993717265385603</v>
      </c>
      <c r="N16" s="3">
        <f t="shared" si="2"/>
        <v>0.58993717265385603</v>
      </c>
      <c r="O16" s="4"/>
      <c r="P16" s="3">
        <f t="shared" si="6"/>
        <v>1.20259147254132</v>
      </c>
      <c r="Q16" s="3">
        <f t="shared" si="7"/>
        <v>0.18047474200335295</v>
      </c>
      <c r="R16" s="4"/>
      <c r="S16" s="3">
        <f t="shared" si="8"/>
        <v>5.4357293575506027</v>
      </c>
      <c r="T16" s="3">
        <f t="shared" si="9"/>
        <v>0.735871809814027</v>
      </c>
      <c r="U16" s="3">
        <f t="shared" si="10"/>
        <v>0.735871809814027</v>
      </c>
      <c r="V16" s="3">
        <f t="shared" si="11"/>
        <v>0.43689977463179375</v>
      </c>
      <c r="W16" s="4"/>
      <c r="X16" s="3">
        <f t="shared" si="12"/>
        <v>-1.405124512559365</v>
      </c>
      <c r="Y16" s="14">
        <f t="shared" si="13"/>
        <v>-2.3137804521183183</v>
      </c>
      <c r="Z16" s="15">
        <f t="shared" si="14"/>
        <v>-2.7483911332113911</v>
      </c>
      <c r="AA16" s="15">
        <f t="shared" si="15"/>
        <v>1.2048617034969678</v>
      </c>
      <c r="AB16" s="15">
        <f t="shared" si="16"/>
        <v>0.17970379366926778</v>
      </c>
      <c r="AC16" s="15">
        <f t="shared" si="17"/>
        <v>-2.2976338871902446</v>
      </c>
      <c r="AH16" s="15">
        <f t="shared" si="18"/>
        <v>1.1922697898812389</v>
      </c>
      <c r="AI16" s="15">
        <f t="shared" si="19"/>
        <v>0.16579890018257004</v>
      </c>
      <c r="AJ16" s="18">
        <f t="shared" si="20"/>
        <v>11.192763426995018</v>
      </c>
      <c r="AK16">
        <f t="shared" si="21"/>
        <v>0.8967111964904233</v>
      </c>
      <c r="AL16">
        <f t="shared" si="22"/>
        <v>0.17868688220250814</v>
      </c>
      <c r="AM16">
        <f t="shared" si="23"/>
        <v>1</v>
      </c>
      <c r="AN16">
        <f t="shared" si="24"/>
        <v>1.1922697898812389</v>
      </c>
      <c r="AO16">
        <f t="shared" si="25"/>
        <v>0.16579890018257004</v>
      </c>
    </row>
    <row r="17" spans="1:41" ht="18.75" x14ac:dyDescent="0.3">
      <c r="A17" s="1"/>
      <c r="B17" s="11">
        <v>2.968082171534845E-2</v>
      </c>
      <c r="C17" s="12"/>
      <c r="D17" s="5">
        <v>42011</v>
      </c>
      <c r="E17" s="6">
        <v>46.23</v>
      </c>
      <c r="F17" s="6">
        <v>27.3</v>
      </c>
      <c r="G17" s="3">
        <f t="shared" si="3"/>
        <v>0.53375246440306523</v>
      </c>
      <c r="H17" s="3">
        <f t="shared" si="3"/>
        <v>0.25157116451016631</v>
      </c>
      <c r="I17" s="3">
        <f t="shared" si="0"/>
        <v>0.50275866281674786</v>
      </c>
      <c r="J17" s="3">
        <f t="shared" si="1"/>
        <v>0.22189034279481787</v>
      </c>
      <c r="K17" s="4"/>
      <c r="L17" s="3">
        <f t="shared" si="4"/>
        <v>3.7337995611127863</v>
      </c>
      <c r="M17" s="3">
        <f t="shared" si="5"/>
        <v>1.0712947855208055</v>
      </c>
      <c r="N17" s="3">
        <f t="shared" si="2"/>
        <v>1.0712947855208055</v>
      </c>
      <c r="O17" s="4"/>
      <c r="P17" s="3">
        <f t="shared" si="6"/>
        <v>0.50048843186110004</v>
      </c>
      <c r="Q17" s="3">
        <f t="shared" si="7"/>
        <v>0.22266129112890304</v>
      </c>
      <c r="R17" s="4"/>
      <c r="S17" s="3">
        <f t="shared" si="8"/>
        <v>3.4684442790532537</v>
      </c>
      <c r="T17" s="3">
        <f t="shared" si="9"/>
        <v>1.1532547961508091</v>
      </c>
      <c r="U17" s="3">
        <f t="shared" si="10"/>
        <v>1.1532547961508091</v>
      </c>
      <c r="V17" s="3">
        <f t="shared" si="11"/>
        <v>-1.2397310608092127E-2</v>
      </c>
      <c r="W17" s="4"/>
      <c r="X17" s="3">
        <f t="shared" si="12"/>
        <v>-0.80930039110798546</v>
      </c>
      <c r="Y17" s="14">
        <f t="shared" si="13"/>
        <v>-0.47732865778920319</v>
      </c>
      <c r="Z17" s="15">
        <f t="shared" si="14"/>
        <v>-0.36196220671911039</v>
      </c>
      <c r="AA17" s="15">
        <f t="shared" si="15"/>
        <v>0.50275866281674786</v>
      </c>
      <c r="AB17" s="15">
        <f t="shared" si="16"/>
        <v>0.22189034279481787</v>
      </c>
      <c r="AC17" s="15">
        <f t="shared" si="17"/>
        <v>-0.51525409247289466</v>
      </c>
      <c r="AH17" s="15">
        <f t="shared" si="18"/>
        <v>0.49016674920101905</v>
      </c>
      <c r="AI17" s="15">
        <f t="shared" si="19"/>
        <v>0.20798544930812013</v>
      </c>
      <c r="AJ17" s="18">
        <f t="shared" si="20"/>
        <v>2.0638645669959086</v>
      </c>
      <c r="AK17">
        <f t="shared" si="21"/>
        <v>1</v>
      </c>
      <c r="AL17">
        <f t="shared" si="22"/>
        <v>0.96905583437150256</v>
      </c>
      <c r="AM17">
        <f t="shared" si="23"/>
        <v>0</v>
      </c>
      <c r="AN17">
        <f t="shared" si="24"/>
        <v>0</v>
      </c>
      <c r="AO17">
        <f t="shared" si="25"/>
        <v>0</v>
      </c>
    </row>
    <row r="18" spans="1:41" x14ac:dyDescent="0.25">
      <c r="A18" s="7"/>
      <c r="B18" s="9"/>
      <c r="C18" s="9"/>
      <c r="D18" s="5">
        <v>42010</v>
      </c>
      <c r="E18" s="6">
        <v>45.65</v>
      </c>
      <c r="F18" s="6">
        <v>27.05</v>
      </c>
      <c r="G18" s="3">
        <f t="shared" si="3"/>
        <v>-0.61659399956831396</v>
      </c>
      <c r="H18" s="3">
        <f t="shared" si="3"/>
        <v>-1.0059127864003911E-2</v>
      </c>
      <c r="I18" s="3">
        <f t="shared" si="0"/>
        <v>-0.64758780115463133</v>
      </c>
      <c r="J18" s="3">
        <f t="shared" si="1"/>
        <v>-3.9739949579352361E-2</v>
      </c>
      <c r="K18" s="4"/>
      <c r="L18" s="3">
        <f t="shared" si="4"/>
        <v>4.20894794564314</v>
      </c>
      <c r="M18" s="3">
        <f t="shared" si="5"/>
        <v>0.95035625331041906</v>
      </c>
      <c r="N18" s="3">
        <f t="shared" si="2"/>
        <v>0.95035625331041906</v>
      </c>
      <c r="O18" s="4"/>
      <c r="P18" s="3">
        <f t="shared" si="6"/>
        <v>-0.64985803211027915</v>
      </c>
      <c r="Q18" s="3">
        <f t="shared" si="7"/>
        <v>-3.8969001245267185E-2</v>
      </c>
      <c r="R18" s="4"/>
      <c r="S18" s="3">
        <f t="shared" si="8"/>
        <v>3.7896344980714645</v>
      </c>
      <c r="T18" s="3">
        <f t="shared" si="9"/>
        <v>1.0555107628547264</v>
      </c>
      <c r="U18" s="3">
        <f t="shared" si="10"/>
        <v>1.0555107628547264</v>
      </c>
      <c r="V18" s="3">
        <f t="shared" si="11"/>
        <v>7.6166388853771139E-2</v>
      </c>
      <c r="W18" s="4"/>
      <c r="X18" s="3">
        <f t="shared" si="12"/>
        <v>-0.85571447161164471</v>
      </c>
      <c r="Y18" s="14">
        <f t="shared" si="13"/>
        <v>-0.82145146422977233</v>
      </c>
      <c r="Z18" s="15">
        <f t="shared" si="14"/>
        <v>-0.84110763888839668</v>
      </c>
      <c r="AA18" s="15">
        <f t="shared" si="15"/>
        <v>-0.64758780115463133</v>
      </c>
      <c r="AB18" s="15">
        <f t="shared" si="16"/>
        <v>-3.9739949579352361E-2</v>
      </c>
      <c r="AC18" s="15">
        <f t="shared" si="17"/>
        <v>-0.85099881202906069</v>
      </c>
      <c r="AH18" s="15">
        <f t="shared" si="18"/>
        <v>-0.66017971477036019</v>
      </c>
      <c r="AI18" s="15">
        <f t="shared" si="19"/>
        <v>-5.36448430660501E-2</v>
      </c>
      <c r="AJ18" s="18">
        <f t="shared" si="20"/>
        <v>3.645643068718273</v>
      </c>
      <c r="AK18">
        <f t="shared" si="21"/>
        <v>1</v>
      </c>
      <c r="AL18">
        <f t="shared" si="22"/>
        <v>0.5486000582890731</v>
      </c>
      <c r="AM18">
        <f t="shared" si="23"/>
        <v>1</v>
      </c>
      <c r="AN18">
        <f t="shared" si="24"/>
        <v>-0.66017971477036019</v>
      </c>
      <c r="AO18">
        <f t="shared" si="25"/>
        <v>-5.36448430660501E-2</v>
      </c>
    </row>
    <row r="19" spans="1:41" x14ac:dyDescent="0.25">
      <c r="A19" s="7" t="s">
        <v>6</v>
      </c>
      <c r="B19" s="8">
        <f t="array" ref="B19:C20">MINVERSE(B14:C15)</f>
        <v>6.3573432189581691</v>
      </c>
      <c r="C19" s="8">
        <v>-5.4997523863266515</v>
      </c>
      <c r="D19" s="5">
        <v>42009</v>
      </c>
      <c r="E19" s="6">
        <v>46.33</v>
      </c>
      <c r="F19" s="6">
        <v>27.06</v>
      </c>
      <c r="G19" s="3">
        <f t="shared" si="3"/>
        <v>-0.38631950384944375</v>
      </c>
      <c r="H19" s="3">
        <f t="shared" si="3"/>
        <v>-0.54223107569721185</v>
      </c>
      <c r="I19" s="3">
        <f t="shared" si="0"/>
        <v>-0.41731330543576112</v>
      </c>
      <c r="J19" s="3">
        <f t="shared" si="1"/>
        <v>-0.57191189741256032</v>
      </c>
      <c r="K19" s="4"/>
      <c r="L19" s="3">
        <f t="shared" si="4"/>
        <v>5.8540724481456854</v>
      </c>
      <c r="M19" s="3">
        <f t="shared" si="5"/>
        <v>0.68328501832378674</v>
      </c>
      <c r="N19" s="3">
        <f t="shared" si="2"/>
        <v>0.68328501832378674</v>
      </c>
      <c r="O19" s="4"/>
      <c r="P19" s="3">
        <f t="shared" si="6"/>
        <v>-0.41958353639140888</v>
      </c>
      <c r="Q19" s="3">
        <f t="shared" si="7"/>
        <v>-0.57114094907847512</v>
      </c>
      <c r="R19" s="4"/>
      <c r="S19" s="3">
        <f t="shared" si="8"/>
        <v>4.796457779296734</v>
      </c>
      <c r="T19" s="3">
        <f t="shared" si="9"/>
        <v>0.83394875636463706</v>
      </c>
      <c r="U19" s="3">
        <f t="shared" si="10"/>
        <v>0.83394875636463706</v>
      </c>
      <c r="V19" s="3">
        <f t="shared" si="11"/>
        <v>0.31177906589574533</v>
      </c>
      <c r="W19" s="4"/>
      <c r="X19" s="3">
        <f t="shared" si="12"/>
        <v>-1.1558379192382013</v>
      </c>
      <c r="Y19" s="14">
        <f t="shared" si="13"/>
        <v>-1.7804782110767547</v>
      </c>
      <c r="Z19" s="15">
        <f t="shared" si="14"/>
        <v>-2.1608070057299527</v>
      </c>
      <c r="AA19" s="15">
        <f t="shared" si="15"/>
        <v>-0.41731330543576112</v>
      </c>
      <c r="AB19" s="15">
        <f t="shared" si="16"/>
        <v>-0.57191189741256032</v>
      </c>
      <c r="AC19" s="15">
        <f t="shared" si="17"/>
        <v>-1.8345406196795331</v>
      </c>
      <c r="AH19" s="15">
        <f t="shared" si="18"/>
        <v>-0.42990521905148993</v>
      </c>
      <c r="AI19" s="15">
        <f t="shared" si="19"/>
        <v>-0.58581679089925809</v>
      </c>
      <c r="AJ19" s="18">
        <f t="shared" si="20"/>
        <v>8.8281915067698922</v>
      </c>
      <c r="AK19">
        <f t="shared" si="21"/>
        <v>1</v>
      </c>
      <c r="AL19">
        <f t="shared" si="22"/>
        <v>0.22654696587248946</v>
      </c>
      <c r="AM19">
        <f t="shared" si="23"/>
        <v>1</v>
      </c>
      <c r="AN19">
        <f t="shared" si="24"/>
        <v>-0.42990521905148993</v>
      </c>
      <c r="AO19">
        <f t="shared" si="25"/>
        <v>-0.58581679089925809</v>
      </c>
    </row>
    <row r="20" spans="1:41" x14ac:dyDescent="0.25">
      <c r="A20" s="7"/>
      <c r="B20" s="8">
        <v>-5.4997523863266515</v>
      </c>
      <c r="C20" s="8">
        <v>22.092921162353246</v>
      </c>
      <c r="D20" s="5">
        <v>42006</v>
      </c>
      <c r="E20" s="6">
        <v>46.76</v>
      </c>
      <c r="F20" s="6">
        <v>27.61</v>
      </c>
      <c r="G20" s="3">
        <f t="shared" si="3"/>
        <v>0.28036813778255748</v>
      </c>
      <c r="H20" s="3">
        <f t="shared" si="3"/>
        <v>-1.9703221136445473E-2</v>
      </c>
      <c r="I20" s="3">
        <f t="shared" si="0"/>
        <v>0.24937433619624014</v>
      </c>
      <c r="J20" s="3">
        <f t="shared" si="1"/>
        <v>-4.9384042851793923E-2</v>
      </c>
      <c r="K20" s="4"/>
      <c r="L20" s="3">
        <f t="shared" si="4"/>
        <v>3.2923438294810525</v>
      </c>
      <c r="M20" s="3">
        <f t="shared" si="5"/>
        <v>1.2149399355505619</v>
      </c>
      <c r="N20" s="3">
        <f t="shared" si="2"/>
        <v>1.2149399355505619</v>
      </c>
      <c r="O20" s="4"/>
      <c r="P20" s="3">
        <f t="shared" si="6"/>
        <v>0.24710410524059231</v>
      </c>
      <c r="Q20" s="3">
        <f t="shared" si="7"/>
        <v>-4.8613094517708746E-2</v>
      </c>
      <c r="R20" s="4"/>
      <c r="S20" s="3">
        <f t="shared" si="8"/>
        <v>3.1844407753418356</v>
      </c>
      <c r="T20" s="3">
        <f t="shared" si="9"/>
        <v>1.2561075184607939</v>
      </c>
      <c r="U20" s="3">
        <f t="shared" si="10"/>
        <v>1.2561075184607939</v>
      </c>
      <c r="V20" s="3">
        <f t="shared" si="11"/>
        <v>-9.7826305781589795E-2</v>
      </c>
      <c r="W20" s="4"/>
      <c r="X20" s="3">
        <f t="shared" si="12"/>
        <v>-0.8038688636624256</v>
      </c>
      <c r="Y20" s="14">
        <f t="shared" si="13"/>
        <v>-0.15433684933229214</v>
      </c>
      <c r="Z20" s="15">
        <f t="shared" si="14"/>
        <v>0.14134436514681115</v>
      </c>
      <c r="AA20" s="15">
        <f t="shared" si="15"/>
        <v>0.24937433619624014</v>
      </c>
      <c r="AB20" s="15">
        <f t="shared" si="16"/>
        <v>-4.9384042851793923E-2</v>
      </c>
      <c r="AC20" s="15">
        <f t="shared" si="17"/>
        <v>-0.17585089659457862</v>
      </c>
      <c r="AH20" s="15">
        <f t="shared" si="18"/>
        <v>0.2367824225805113</v>
      </c>
      <c r="AI20" s="15">
        <f t="shared" si="19"/>
        <v>-6.3288936338491669E-2</v>
      </c>
      <c r="AJ20" s="18">
        <f t="shared" si="20"/>
        <v>0.88955638683854898</v>
      </c>
      <c r="AK20">
        <f t="shared" si="21"/>
        <v>1</v>
      </c>
      <c r="AL20">
        <f t="shared" si="22"/>
        <v>1</v>
      </c>
      <c r="AM20">
        <f t="shared" si="23"/>
        <v>0</v>
      </c>
      <c r="AN20">
        <f t="shared" si="24"/>
        <v>0</v>
      </c>
      <c r="AO20">
        <f t="shared" si="25"/>
        <v>0</v>
      </c>
    </row>
    <row r="21" spans="1:41" ht="18.75" x14ac:dyDescent="0.3">
      <c r="A21" s="1" t="s">
        <v>57</v>
      </c>
      <c r="B21" s="10">
        <f>SUM(Z2:Z253)</f>
        <v>-190.77598747417912</v>
      </c>
      <c r="C21" s="8"/>
      <c r="D21" s="5">
        <v>42004</v>
      </c>
      <c r="E21" s="6">
        <v>46.45</v>
      </c>
      <c r="F21" s="6">
        <v>27.63</v>
      </c>
      <c r="G21" s="3">
        <f t="shared" si="3"/>
        <v>-0.50926626967248001</v>
      </c>
      <c r="H21" s="3">
        <f t="shared" si="3"/>
        <v>-0.52178913738019428</v>
      </c>
      <c r="I21" s="3">
        <f t="shared" si="0"/>
        <v>-0.54026007125879738</v>
      </c>
      <c r="J21" s="3">
        <f t="shared" si="1"/>
        <v>-0.55146995909554275</v>
      </c>
      <c r="K21" s="4"/>
      <c r="L21" s="3">
        <f t="shared" si="4"/>
        <v>5.6486526730716733</v>
      </c>
      <c r="M21" s="3">
        <f t="shared" si="5"/>
        <v>0.70813346677675004</v>
      </c>
      <c r="N21" s="3">
        <f t="shared" si="2"/>
        <v>0.70813346677675004</v>
      </c>
      <c r="O21" s="4"/>
      <c r="P21" s="3">
        <f t="shared" si="6"/>
        <v>-0.5425303022144452</v>
      </c>
      <c r="Q21" s="3">
        <f t="shared" si="7"/>
        <v>-0.55069901076145755</v>
      </c>
      <c r="R21" s="4"/>
      <c r="S21" s="3">
        <f t="shared" si="8"/>
        <v>4.6708278464304787</v>
      </c>
      <c r="T21" s="3">
        <f t="shared" si="9"/>
        <v>0.85637923972232544</v>
      </c>
      <c r="U21" s="3">
        <f t="shared" si="10"/>
        <v>0.85637923972232544</v>
      </c>
      <c r="V21" s="3">
        <f t="shared" si="11"/>
        <v>0.28523691578907773</v>
      </c>
      <c r="W21" s="4"/>
      <c r="X21" s="3">
        <f t="shared" si="12"/>
        <v>-1.110417894984234</v>
      </c>
      <c r="Y21" s="14">
        <f t="shared" si="13"/>
        <v>-1.6694167068211532</v>
      </c>
      <c r="Z21" s="15">
        <f t="shared" si="14"/>
        <v>-2.0179249567242961</v>
      </c>
      <c r="AA21" s="15">
        <f t="shared" si="15"/>
        <v>-0.54026007125879738</v>
      </c>
      <c r="AB21" s="15">
        <f t="shared" si="16"/>
        <v>-0.55146995909554275</v>
      </c>
      <c r="AC21" s="15">
        <f t="shared" si="17"/>
        <v>-1.7241543139722439</v>
      </c>
      <c r="AH21" s="15">
        <f t="shared" si="18"/>
        <v>-0.55285198487452625</v>
      </c>
      <c r="AI21" s="15">
        <f t="shared" si="19"/>
        <v>-0.56537485258224052</v>
      </c>
      <c r="AJ21" s="18">
        <f t="shared" si="20"/>
        <v>8.2667003045456653</v>
      </c>
      <c r="AK21">
        <f t="shared" si="21"/>
        <v>1</v>
      </c>
      <c r="AL21">
        <f t="shared" si="22"/>
        <v>0.24193449941571568</v>
      </c>
      <c r="AM21">
        <f t="shared" si="23"/>
        <v>1</v>
      </c>
      <c r="AN21">
        <f t="shared" si="24"/>
        <v>-0.55285198487452625</v>
      </c>
      <c r="AO21">
        <f t="shared" si="25"/>
        <v>-0.56537485258224052</v>
      </c>
    </row>
    <row r="22" spans="1:41" ht="18.75" x14ac:dyDescent="0.3">
      <c r="A22" s="13" t="s">
        <v>46</v>
      </c>
      <c r="B22" s="8"/>
      <c r="C22" s="8"/>
      <c r="D22" s="5">
        <v>42003</v>
      </c>
      <c r="E22" s="6">
        <v>47.02</v>
      </c>
      <c r="F22" s="6">
        <v>28.17</v>
      </c>
      <c r="G22" s="3">
        <f t="shared" si="3"/>
        <v>-0.3807017913593253</v>
      </c>
      <c r="H22" s="3">
        <f t="shared" si="3"/>
        <v>-9.6285815351961151E-2</v>
      </c>
      <c r="I22" s="3">
        <f t="shared" si="0"/>
        <v>-0.41169559294564267</v>
      </c>
      <c r="J22" s="3">
        <f t="shared" si="1"/>
        <v>-0.12596663706730959</v>
      </c>
      <c r="K22" s="4"/>
      <c r="L22" s="3">
        <f t="shared" si="4"/>
        <v>3.4288275052129862</v>
      </c>
      <c r="M22" s="3">
        <f t="shared" si="5"/>
        <v>1.166579535983842</v>
      </c>
      <c r="N22" s="3">
        <f t="shared" si="2"/>
        <v>1.166579535983842</v>
      </c>
      <c r="O22" s="4"/>
      <c r="P22" s="3">
        <f t="shared" si="6"/>
        <v>-0.41396582390129044</v>
      </c>
      <c r="Q22" s="3">
        <f t="shared" si="7"/>
        <v>-0.12519568873322443</v>
      </c>
      <c r="R22" s="4"/>
      <c r="S22" s="3">
        <f t="shared" si="8"/>
        <v>3.2790875378531759</v>
      </c>
      <c r="T22" s="3">
        <f t="shared" si="9"/>
        <v>1.2198515452316367</v>
      </c>
      <c r="U22" s="3">
        <f t="shared" si="10"/>
        <v>1.2198515452316367</v>
      </c>
      <c r="V22" s="3">
        <f t="shared" si="11"/>
        <v>-6.8538048262345441E-2</v>
      </c>
      <c r="W22" s="4"/>
      <c r="X22" s="3">
        <f t="shared" si="12"/>
        <v>-0.80116628430303516</v>
      </c>
      <c r="Y22" s="14">
        <f t="shared" si="13"/>
        <v>-0.26406284261501539</v>
      </c>
      <c r="Z22" s="15">
        <f t="shared" si="14"/>
        <v>-2.1130219708308196E-2</v>
      </c>
      <c r="AA22" s="15">
        <f t="shared" si="15"/>
        <v>-0.41169559294564267</v>
      </c>
      <c r="AB22" s="15">
        <f t="shared" si="16"/>
        <v>-0.12596663706730959</v>
      </c>
      <c r="AC22" s="15">
        <f t="shared" si="17"/>
        <v>-0.28389137401583103</v>
      </c>
      <c r="AH22" s="15">
        <f t="shared" si="18"/>
        <v>-0.42428750656137149</v>
      </c>
      <c r="AI22" s="15">
        <f t="shared" si="19"/>
        <v>-0.13987153055400733</v>
      </c>
      <c r="AJ22" s="18">
        <f t="shared" si="20"/>
        <v>1.3994407136193714</v>
      </c>
      <c r="AK22">
        <f t="shared" si="21"/>
        <v>1</v>
      </c>
      <c r="AL22">
        <f t="shared" si="22"/>
        <v>1</v>
      </c>
      <c r="AM22">
        <f t="shared" si="23"/>
        <v>0</v>
      </c>
      <c r="AN22">
        <f t="shared" si="24"/>
        <v>0</v>
      </c>
      <c r="AO22">
        <f t="shared" si="25"/>
        <v>0</v>
      </c>
    </row>
    <row r="23" spans="1:41" x14ac:dyDescent="0.25">
      <c r="C23" s="9"/>
      <c r="D23" s="5">
        <v>42002</v>
      </c>
      <c r="E23" s="6">
        <v>47.45</v>
      </c>
      <c r="F23" s="6">
        <v>28.27</v>
      </c>
      <c r="G23" s="3">
        <f t="shared" si="3"/>
        <v>-0.37728279030910583</v>
      </c>
      <c r="H23" s="3">
        <f t="shared" si="3"/>
        <v>0.10632812499999944</v>
      </c>
      <c r="I23" s="3">
        <f t="shared" si="0"/>
        <v>-0.4082765918954232</v>
      </c>
      <c r="J23" s="3">
        <f t="shared" si="1"/>
        <v>7.6647303284650997E-2</v>
      </c>
      <c r="K23" s="4"/>
      <c r="L23" s="3">
        <f t="shared" si="4"/>
        <v>3.7668533041414838</v>
      </c>
      <c r="M23" s="3">
        <f t="shared" si="5"/>
        <v>1.0618942860350262</v>
      </c>
      <c r="N23" s="3">
        <f t="shared" si="2"/>
        <v>1.0618942860350262</v>
      </c>
      <c r="O23" s="4"/>
      <c r="P23" s="3">
        <f t="shared" si="6"/>
        <v>-0.41054682285107102</v>
      </c>
      <c r="Q23" s="3">
        <f t="shared" si="7"/>
        <v>7.7418251618736167E-2</v>
      </c>
      <c r="R23" s="4"/>
      <c r="S23" s="3">
        <f t="shared" si="8"/>
        <v>3.5005698389920328</v>
      </c>
      <c r="T23" s="3">
        <f t="shared" si="9"/>
        <v>1.1426711032715104</v>
      </c>
      <c r="U23" s="3">
        <f t="shared" si="10"/>
        <v>1.1426711032715104</v>
      </c>
      <c r="V23" s="3">
        <f t="shared" si="11"/>
        <v>-3.1777102638130827E-3</v>
      </c>
      <c r="W23" s="4"/>
      <c r="X23" s="3">
        <f t="shared" si="12"/>
        <v>-0.8122570404950249</v>
      </c>
      <c r="Y23" s="14">
        <f t="shared" si="13"/>
        <v>-0.51271697294718865</v>
      </c>
      <c r="Z23" s="15">
        <f t="shared" si="14"/>
        <v>-0.39721669199115106</v>
      </c>
      <c r="AA23" s="15">
        <f t="shared" si="15"/>
        <v>-0.4082765918954232</v>
      </c>
      <c r="AB23" s="15">
        <f t="shared" si="16"/>
        <v>7.6647303284650997E-2</v>
      </c>
      <c r="AC23" s="15">
        <f t="shared" si="17"/>
        <v>-0.53954452532775588</v>
      </c>
      <c r="AH23" s="15">
        <f t="shared" si="18"/>
        <v>-0.42086850551115201</v>
      </c>
      <c r="AI23" s="15">
        <f t="shared" si="19"/>
        <v>6.2742409797953258E-2</v>
      </c>
      <c r="AJ23" s="18">
        <f t="shared" si="20"/>
        <v>2.2050821579209785</v>
      </c>
      <c r="AK23">
        <f t="shared" si="21"/>
        <v>1</v>
      </c>
      <c r="AL23">
        <f t="shared" si="22"/>
        <v>0.90699568395477093</v>
      </c>
      <c r="AM23">
        <f t="shared" si="23"/>
        <v>0</v>
      </c>
      <c r="AN23">
        <f t="shared" si="24"/>
        <v>0</v>
      </c>
      <c r="AO23">
        <f t="shared" si="25"/>
        <v>0</v>
      </c>
    </row>
    <row r="24" spans="1:41" x14ac:dyDescent="0.25">
      <c r="A24" s="7" t="s">
        <v>7</v>
      </c>
      <c r="B24" s="8">
        <f>1+0.5*B13</f>
        <v>4</v>
      </c>
      <c r="C24" s="9"/>
      <c r="D24" s="5">
        <v>41999</v>
      </c>
      <c r="E24" s="6">
        <v>47.88</v>
      </c>
      <c r="F24" s="6">
        <v>28.16</v>
      </c>
      <c r="G24" s="3">
        <f t="shared" si="3"/>
        <v>-0.22689239717490475</v>
      </c>
      <c r="H24" s="3">
        <f t="shared" si="3"/>
        <v>4.841693347563214E-2</v>
      </c>
      <c r="I24" s="3">
        <f t="shared" si="0"/>
        <v>-0.2578861987612221</v>
      </c>
      <c r="J24" s="3">
        <f t="shared" si="1"/>
        <v>1.873611176028369E-2</v>
      </c>
      <c r="K24" s="4"/>
      <c r="L24" s="3">
        <f t="shared" si="4"/>
        <v>3.2418498714524442</v>
      </c>
      <c r="M24" s="3">
        <f t="shared" si="5"/>
        <v>1.2338634294030038</v>
      </c>
      <c r="N24" s="3">
        <f t="shared" si="2"/>
        <v>1.2338634294030038</v>
      </c>
      <c r="O24" s="4"/>
      <c r="P24" s="3">
        <f t="shared" si="6"/>
        <v>-0.26015642971686992</v>
      </c>
      <c r="Q24" s="3">
        <f t="shared" si="7"/>
        <v>1.950706009436887E-2</v>
      </c>
      <c r="R24" s="4"/>
      <c r="S24" s="3">
        <f t="shared" si="8"/>
        <v>3.1597253362377309</v>
      </c>
      <c r="T24" s="3">
        <f t="shared" si="9"/>
        <v>1.2659328183134992</v>
      </c>
      <c r="U24" s="3">
        <f t="shared" si="10"/>
        <v>1.2659328183134992</v>
      </c>
      <c r="V24" s="3">
        <f t="shared" si="11"/>
        <v>-0.10561781448203966</v>
      </c>
      <c r="W24" s="4"/>
      <c r="X24" s="3">
        <f t="shared" si="12"/>
        <v>-0.80541508969538977</v>
      </c>
      <c r="Y24" s="14">
        <f t="shared" si="13"/>
        <v>-0.12532558455831994</v>
      </c>
      <c r="Z24" s="15">
        <f t="shared" si="14"/>
        <v>0.20316679096928181</v>
      </c>
      <c r="AA24" s="15">
        <f t="shared" si="15"/>
        <v>-0.2578861987612221</v>
      </c>
      <c r="AB24" s="15">
        <f t="shared" si="16"/>
        <v>1.873611176028369E-2</v>
      </c>
      <c r="AC24" s="15">
        <f t="shared" si="17"/>
        <v>-0.13512858879645254</v>
      </c>
      <c r="AH24" s="15">
        <f t="shared" si="18"/>
        <v>-0.27047811237695096</v>
      </c>
      <c r="AI24" s="15">
        <f t="shared" si="19"/>
        <v>4.8312182735859507E-3</v>
      </c>
      <c r="AJ24" s="18">
        <f t="shared" si="20"/>
        <v>0.71001279817625051</v>
      </c>
      <c r="AK24">
        <f t="shared" si="21"/>
        <v>1</v>
      </c>
      <c r="AL24">
        <f t="shared" si="22"/>
        <v>1</v>
      </c>
      <c r="AM24">
        <f t="shared" si="23"/>
        <v>0</v>
      </c>
      <c r="AN24">
        <f t="shared" si="24"/>
        <v>0</v>
      </c>
      <c r="AO24">
        <f t="shared" si="25"/>
        <v>0</v>
      </c>
    </row>
    <row r="25" spans="1:41" x14ac:dyDescent="0.25">
      <c r="A25" s="7"/>
      <c r="B25" s="9"/>
      <c r="C25" s="9"/>
      <c r="D25" s="5">
        <v>41997</v>
      </c>
      <c r="E25" s="6">
        <v>48.14</v>
      </c>
      <c r="F25" s="6">
        <v>28.11</v>
      </c>
      <c r="G25" s="3">
        <f t="shared" si="3"/>
        <v>-0.26879463364293282</v>
      </c>
      <c r="H25" s="3">
        <f t="shared" si="3"/>
        <v>4.8503207412687793E-2</v>
      </c>
      <c r="I25" s="3">
        <f t="shared" si="0"/>
        <v>-0.29978843522925019</v>
      </c>
      <c r="J25" s="3">
        <f t="shared" si="1"/>
        <v>1.8822385697339343E-2</v>
      </c>
      <c r="K25" s="4"/>
      <c r="L25" s="3">
        <f t="shared" si="4"/>
        <v>3.3206242919021394</v>
      </c>
      <c r="M25" s="3">
        <f t="shared" si="5"/>
        <v>1.2045927658105207</v>
      </c>
      <c r="N25" s="3">
        <f t="shared" si="2"/>
        <v>1.2045927658105207</v>
      </c>
      <c r="O25" s="4"/>
      <c r="P25" s="3">
        <f t="shared" si="6"/>
        <v>-0.30205866618489796</v>
      </c>
      <c r="Q25" s="3">
        <f t="shared" si="7"/>
        <v>1.9593334031424523E-2</v>
      </c>
      <c r="R25" s="4"/>
      <c r="S25" s="3">
        <f t="shared" si="8"/>
        <v>3.2111635369833462</v>
      </c>
      <c r="T25" s="3">
        <f t="shared" si="9"/>
        <v>1.2456544034371131</v>
      </c>
      <c r="U25" s="3">
        <f t="shared" si="10"/>
        <v>1.2456544034371131</v>
      </c>
      <c r="V25" s="3">
        <f t="shared" si="11"/>
        <v>-8.9469732864611018E-2</v>
      </c>
      <c r="W25" s="4"/>
      <c r="X25" s="3">
        <f t="shared" si="12"/>
        <v>-0.80259959371539669</v>
      </c>
      <c r="Y25" s="14">
        <f t="shared" si="13"/>
        <v>-0.18553588899895612</v>
      </c>
      <c r="Z25" s="15">
        <f t="shared" si="14"/>
        <v>0.10713203046488118</v>
      </c>
      <c r="AA25" s="15">
        <f t="shared" si="15"/>
        <v>-0.29978843522925019</v>
      </c>
      <c r="AB25" s="15">
        <f t="shared" si="16"/>
        <v>1.8822385697339343E-2</v>
      </c>
      <c r="AC25" s="15">
        <f t="shared" si="17"/>
        <v>-0.19847866352831423</v>
      </c>
      <c r="AH25" s="15">
        <f t="shared" si="18"/>
        <v>-0.31238034884497901</v>
      </c>
      <c r="AI25" s="15">
        <f t="shared" si="19"/>
        <v>4.9174922106416039E-3</v>
      </c>
      <c r="AJ25" s="18">
        <f t="shared" si="20"/>
        <v>0.9436013943774032</v>
      </c>
      <c r="AK25">
        <f t="shared" si="21"/>
        <v>1</v>
      </c>
      <c r="AL25">
        <f t="shared" si="22"/>
        <v>1</v>
      </c>
      <c r="AM25">
        <f t="shared" si="23"/>
        <v>0</v>
      </c>
      <c r="AN25">
        <f t="shared" si="24"/>
        <v>0</v>
      </c>
      <c r="AO25">
        <f t="shared" si="25"/>
        <v>0</v>
      </c>
    </row>
    <row r="26" spans="1:41" x14ac:dyDescent="0.25">
      <c r="A26" s="7" t="s">
        <v>8</v>
      </c>
      <c r="B26" s="8">
        <f>AVERAGE(M2:M253)</f>
        <v>1.0185755640682519</v>
      </c>
      <c r="C26" s="9"/>
      <c r="D26" s="5">
        <v>41996</v>
      </c>
      <c r="E26" s="6">
        <v>48.45</v>
      </c>
      <c r="F26" s="6">
        <v>28.06</v>
      </c>
      <c r="G26" s="3">
        <f t="shared" si="3"/>
        <v>0.41151938307628705</v>
      </c>
      <c r="H26" s="3">
        <f t="shared" si="3"/>
        <v>2.9133071708880989E-2</v>
      </c>
      <c r="I26" s="3">
        <f t="shared" si="0"/>
        <v>0.38052558148996968</v>
      </c>
      <c r="J26" s="3">
        <f t="shared" si="1"/>
        <v>-5.4775000646746161E-4</v>
      </c>
      <c r="K26" s="4"/>
      <c r="L26" s="3">
        <f t="shared" si="4"/>
        <v>3.4614203967550581</v>
      </c>
      <c r="M26" s="3">
        <f t="shared" si="5"/>
        <v>1.1555949701312902</v>
      </c>
      <c r="N26" s="3">
        <f t="shared" si="2"/>
        <v>1.1555949701312902</v>
      </c>
      <c r="O26" s="4"/>
      <c r="P26" s="3">
        <f t="shared" si="6"/>
        <v>0.37825535053432191</v>
      </c>
      <c r="Q26" s="3">
        <f t="shared" si="7"/>
        <v>2.2319832761771852E-4</v>
      </c>
      <c r="R26" s="4"/>
      <c r="S26" s="3">
        <f t="shared" si="8"/>
        <v>3.2938933026260351</v>
      </c>
      <c r="T26" s="3">
        <f t="shared" si="9"/>
        <v>1.214368418312465</v>
      </c>
      <c r="U26" s="3">
        <f t="shared" si="10"/>
        <v>1.214368418312465</v>
      </c>
      <c r="V26" s="3">
        <f t="shared" si="11"/>
        <v>-6.403303234092661E-2</v>
      </c>
      <c r="W26" s="4"/>
      <c r="X26" s="3">
        <f t="shared" si="12"/>
        <v>-0.80118050429060284</v>
      </c>
      <c r="Y26" s="14">
        <f t="shared" si="13"/>
        <v>-0.28103436871031023</v>
      </c>
      <c r="Z26" s="15">
        <f t="shared" si="14"/>
        <v>-5.8972846104350607E-2</v>
      </c>
      <c r="AA26" s="15">
        <f t="shared" si="15"/>
        <v>0.38052558148996968</v>
      </c>
      <c r="AB26" s="15">
        <f t="shared" si="16"/>
        <v>-5.4775000646746161E-4</v>
      </c>
      <c r="AC26" s="15">
        <f t="shared" si="17"/>
        <v>-0.30926593122534718</v>
      </c>
      <c r="AH26" s="15">
        <f t="shared" si="18"/>
        <v>0.36793366787424087</v>
      </c>
      <c r="AI26" s="15">
        <f t="shared" si="19"/>
        <v>-1.4452643493165201E-2</v>
      </c>
      <c r="AJ26" s="18">
        <f t="shared" si="20"/>
        <v>1.3642566896067205</v>
      </c>
      <c r="AK26">
        <f t="shared" si="21"/>
        <v>1</v>
      </c>
      <c r="AL26">
        <f t="shared" si="22"/>
        <v>1</v>
      </c>
      <c r="AM26">
        <f t="shared" si="23"/>
        <v>0</v>
      </c>
      <c r="AN26">
        <f t="shared" si="24"/>
        <v>0</v>
      </c>
      <c r="AO26">
        <f t="shared" si="25"/>
        <v>0</v>
      </c>
    </row>
    <row r="27" spans="1:41" x14ac:dyDescent="0.25">
      <c r="A27" s="7" t="s">
        <v>9</v>
      </c>
      <c r="B27" s="8">
        <f>AVERAGE(N2:N253)</f>
        <v>1.0185755640682519</v>
      </c>
      <c r="C27" s="9"/>
      <c r="D27" s="5">
        <v>41995</v>
      </c>
      <c r="E27" s="6">
        <v>47.98</v>
      </c>
      <c r="F27" s="6">
        <v>28.03</v>
      </c>
      <c r="G27" s="3">
        <f t="shared" si="3"/>
        <v>0.28206462442299651</v>
      </c>
      <c r="H27" s="3">
        <f t="shared" si="3"/>
        <v>0.44412617839014057</v>
      </c>
      <c r="I27" s="3">
        <f t="shared" si="0"/>
        <v>0.25107082283667914</v>
      </c>
      <c r="J27" s="3">
        <f t="shared" si="1"/>
        <v>0.4144453566747921</v>
      </c>
      <c r="K27" s="4"/>
      <c r="L27" s="3">
        <f t="shared" si="4"/>
        <v>4.5254898209714582</v>
      </c>
      <c r="M27" s="3">
        <f t="shared" si="5"/>
        <v>0.88388222230966051</v>
      </c>
      <c r="N27" s="3">
        <f t="shared" si="2"/>
        <v>0.88388222230966051</v>
      </c>
      <c r="O27" s="4"/>
      <c r="P27" s="3">
        <f t="shared" si="6"/>
        <v>0.24880059188103135</v>
      </c>
      <c r="Q27" s="3">
        <f t="shared" si="7"/>
        <v>0.4152163050088773</v>
      </c>
      <c r="R27" s="4"/>
      <c r="S27" s="3">
        <f t="shared" si="8"/>
        <v>3.967791456476645</v>
      </c>
      <c r="T27" s="3">
        <f t="shared" si="9"/>
        <v>1.0081174990864958</v>
      </c>
      <c r="U27" s="3">
        <f t="shared" si="10"/>
        <v>1.0081174990864958</v>
      </c>
      <c r="V27" s="3">
        <f t="shared" si="11"/>
        <v>0.12210690005787228</v>
      </c>
      <c r="W27" s="4"/>
      <c r="X27" s="3">
        <f t="shared" si="12"/>
        <v>-0.89498496752824463</v>
      </c>
      <c r="Y27" s="14">
        <f t="shared" si="13"/>
        <v>-1.0035748151747694</v>
      </c>
      <c r="Z27" s="15">
        <f t="shared" si="14"/>
        <v>-1.1311600257004104</v>
      </c>
      <c r="AA27" s="15">
        <f t="shared" si="15"/>
        <v>0.25107082283667914</v>
      </c>
      <c r="AB27" s="15">
        <f t="shared" si="16"/>
        <v>0.4144453566747921</v>
      </c>
      <c r="AC27" s="15">
        <f t="shared" si="17"/>
        <v>-1.0599849549665725</v>
      </c>
      <c r="AH27" s="15">
        <f t="shared" si="18"/>
        <v>0.23847890922095033</v>
      </c>
      <c r="AI27" s="15">
        <f t="shared" si="19"/>
        <v>0.40054046318809439</v>
      </c>
      <c r="AJ27" s="18">
        <f t="shared" si="20"/>
        <v>4.1945711810615185</v>
      </c>
      <c r="AK27">
        <f t="shared" si="21"/>
        <v>1</v>
      </c>
      <c r="AL27">
        <f t="shared" si="22"/>
        <v>0.4768067851679324</v>
      </c>
      <c r="AM27">
        <f t="shared" si="23"/>
        <v>1</v>
      </c>
      <c r="AN27">
        <f t="shared" si="24"/>
        <v>0.23847890922095033</v>
      </c>
      <c r="AO27">
        <f t="shared" si="25"/>
        <v>0.40054046318809439</v>
      </c>
    </row>
    <row r="28" spans="1:41" ht="18.75" x14ac:dyDescent="0.3">
      <c r="A28" s="13" t="s">
        <v>45</v>
      </c>
      <c r="B28" s="9"/>
      <c r="C28" s="9"/>
      <c r="D28" s="5">
        <v>41992</v>
      </c>
      <c r="E28" s="6">
        <v>47.66</v>
      </c>
      <c r="F28" s="6">
        <v>27.58</v>
      </c>
      <c r="G28" s="3">
        <f t="shared" si="3"/>
        <v>0.12376683501682922</v>
      </c>
      <c r="H28" s="3">
        <f t="shared" si="3"/>
        <v>0.11895120174799455</v>
      </c>
      <c r="I28" s="3">
        <f t="shared" si="0"/>
        <v>9.2773033430511881E-2</v>
      </c>
      <c r="J28" s="3">
        <f t="shared" si="1"/>
        <v>8.9270380032646091E-2</v>
      </c>
      <c r="K28" s="4"/>
      <c r="L28" s="3">
        <f t="shared" si="4"/>
        <v>3.0698414553262832</v>
      </c>
      <c r="M28" s="3">
        <f t="shared" si="5"/>
        <v>1.3029988871444351</v>
      </c>
      <c r="N28" s="3">
        <f t="shared" si="2"/>
        <v>1.3029988871444351</v>
      </c>
      <c r="O28" s="4"/>
      <c r="P28" s="3">
        <f t="shared" si="6"/>
        <v>9.0502802474864058E-2</v>
      </c>
      <c r="Q28" s="3">
        <f t="shared" si="7"/>
        <v>9.0041328366731274E-2</v>
      </c>
      <c r="R28" s="4"/>
      <c r="S28" s="3">
        <f t="shared" si="8"/>
        <v>3.0447584201617439</v>
      </c>
      <c r="T28" s="3">
        <f t="shared" si="9"/>
        <v>1.3137331269084762</v>
      </c>
      <c r="U28" s="3">
        <f t="shared" si="10"/>
        <v>1.3137331269084762</v>
      </c>
      <c r="V28" s="3">
        <f t="shared" si="11"/>
        <v>-0.14268089780000714</v>
      </c>
      <c r="W28" s="4"/>
      <c r="X28" s="3">
        <f t="shared" si="12"/>
        <v>-0.81764977291477914</v>
      </c>
      <c r="Y28" s="14">
        <f t="shared" si="13"/>
        <v>1.1638523180172243E-2</v>
      </c>
      <c r="Z28" s="15">
        <f t="shared" si="14"/>
        <v>0.42123958219027535</v>
      </c>
      <c r="AA28" s="15">
        <f t="shared" si="15"/>
        <v>9.2773033430511881E-2</v>
      </c>
      <c r="AB28" s="15">
        <f t="shared" si="16"/>
        <v>8.9270380032646091E-2</v>
      </c>
      <c r="AC28" s="15">
        <f t="shared" si="17"/>
        <v>6.7891580455585049E-3</v>
      </c>
      <c r="AH28" s="15">
        <f t="shared" si="18"/>
        <v>8.0181119814783042E-2</v>
      </c>
      <c r="AI28" s="15">
        <f t="shared" si="19"/>
        <v>7.5365486545948351E-2</v>
      </c>
      <c r="AJ28" s="18">
        <f t="shared" si="20"/>
        <v>0.14868801410915564</v>
      </c>
      <c r="AK28">
        <f t="shared" si="21"/>
        <v>1</v>
      </c>
      <c r="AL28">
        <f t="shared" si="22"/>
        <v>1</v>
      </c>
      <c r="AM28">
        <f t="shared" si="23"/>
        <v>0</v>
      </c>
      <c r="AN28">
        <f t="shared" si="24"/>
        <v>0</v>
      </c>
      <c r="AO28">
        <f t="shared" si="25"/>
        <v>0</v>
      </c>
    </row>
    <row r="29" spans="1:41" ht="18.75" x14ac:dyDescent="0.3">
      <c r="A29" s="1" t="s">
        <v>14</v>
      </c>
      <c r="B29" s="11">
        <f>SUMPRODUCT(G2:G253,M2:M253)/SUM(M2:M253)</f>
        <v>3.3264032541965166E-2</v>
      </c>
      <c r="C29" s="8"/>
      <c r="D29" s="5">
        <v>41991</v>
      </c>
      <c r="E29" s="6">
        <v>47.52</v>
      </c>
      <c r="F29" s="6">
        <v>27.46</v>
      </c>
      <c r="G29" s="3">
        <f t="shared" si="3"/>
        <v>1.6348447748141679</v>
      </c>
      <c r="H29" s="3">
        <f t="shared" si="3"/>
        <v>0.84838903492302109</v>
      </c>
      <c r="I29" s="3">
        <f t="shared" si="0"/>
        <v>1.6038509732278505</v>
      </c>
      <c r="J29" s="3">
        <f t="shared" si="1"/>
        <v>0.81870821320767262</v>
      </c>
      <c r="K29" s="4"/>
      <c r="L29" s="3">
        <f t="shared" si="4"/>
        <v>11.359226192934598</v>
      </c>
      <c r="M29" s="3">
        <f t="shared" si="5"/>
        <v>0.35213666248568826</v>
      </c>
      <c r="N29" s="3">
        <f t="shared" si="2"/>
        <v>0.35213666248568826</v>
      </c>
      <c r="O29" s="4"/>
      <c r="P29" s="3">
        <f t="shared" si="6"/>
        <v>1.6015807422722028</v>
      </c>
      <c r="Q29" s="3">
        <f t="shared" si="7"/>
        <v>0.81947916154175782</v>
      </c>
      <c r="R29" s="4"/>
      <c r="S29" s="3">
        <f t="shared" si="8"/>
        <v>8.3379016018162186</v>
      </c>
      <c r="T29" s="3">
        <f t="shared" si="9"/>
        <v>0.47973701190341378</v>
      </c>
      <c r="U29" s="3">
        <f t="shared" si="10"/>
        <v>0.47973701190341378</v>
      </c>
      <c r="V29" s="3">
        <f t="shared" si="11"/>
        <v>0.86474548814718943</v>
      </c>
      <c r="W29" s="4"/>
      <c r="X29" s="3">
        <f t="shared" si="12"/>
        <v>-2.6213456593000948</v>
      </c>
      <c r="Y29" s="14">
        <f t="shared" si="13"/>
        <v>-4.2467818580223522</v>
      </c>
      <c r="Z29" s="15">
        <f t="shared" si="14"/>
        <v>-4.812377926227553</v>
      </c>
      <c r="AA29" s="15">
        <f t="shared" si="15"/>
        <v>1.6038509732278505</v>
      </c>
      <c r="AB29" s="15">
        <f t="shared" si="16"/>
        <v>0.81870821320767262</v>
      </c>
      <c r="AC29" s="15">
        <f t="shared" si="17"/>
        <v>-4.0257860071764426</v>
      </c>
      <c r="AH29" s="15">
        <f t="shared" si="18"/>
        <v>1.5912590596121217</v>
      </c>
      <c r="AI29" s="15">
        <f t="shared" si="19"/>
        <v>0.80480331972097485</v>
      </c>
      <c r="AJ29" s="18">
        <f t="shared" si="20"/>
        <v>24.69392699454994</v>
      </c>
      <c r="AK29">
        <f t="shared" si="21"/>
        <v>0.60370694891644949</v>
      </c>
      <c r="AL29">
        <f t="shared" si="22"/>
        <v>8.0991573371113026E-2</v>
      </c>
      <c r="AM29">
        <f t="shared" si="23"/>
        <v>1</v>
      </c>
      <c r="AN29">
        <f t="shared" si="24"/>
        <v>1.5912590596121217</v>
      </c>
      <c r="AO29">
        <f t="shared" si="25"/>
        <v>0.80480331972097485</v>
      </c>
    </row>
    <row r="30" spans="1:41" ht="18.75" x14ac:dyDescent="0.3">
      <c r="A30" s="1"/>
      <c r="B30" s="11">
        <f>SUMPRODUCT(H2:H253,M2:M253)/SUM(M2:M253)</f>
        <v>2.890987338126327E-2</v>
      </c>
      <c r="C30" s="8"/>
      <c r="D30" s="5">
        <v>41990</v>
      </c>
      <c r="E30" s="6">
        <v>45.74</v>
      </c>
      <c r="F30" s="6">
        <v>26.63</v>
      </c>
      <c r="G30" s="3">
        <f t="shared" si="3"/>
        <v>0.5395438441098368</v>
      </c>
      <c r="H30" s="3">
        <f t="shared" si="3"/>
        <v>0.22674744414994205</v>
      </c>
      <c r="I30" s="3">
        <f t="shared" si="0"/>
        <v>0.50855004252351943</v>
      </c>
      <c r="J30" s="3">
        <f t="shared" si="1"/>
        <v>0.19706662243459361</v>
      </c>
      <c r="K30" s="4"/>
      <c r="L30" s="3">
        <f t="shared" si="4"/>
        <v>3.6998946495648291</v>
      </c>
      <c r="M30" s="3">
        <f t="shared" si="5"/>
        <v>1.08111186367711</v>
      </c>
      <c r="N30" s="3">
        <f t="shared" si="2"/>
        <v>1.08111186367711</v>
      </c>
      <c r="O30" s="4"/>
      <c r="P30" s="3">
        <f t="shared" si="6"/>
        <v>0.50627981156787161</v>
      </c>
      <c r="Q30" s="3">
        <f t="shared" si="7"/>
        <v>0.19783757076867878</v>
      </c>
      <c r="R30" s="4"/>
      <c r="S30" s="3">
        <f t="shared" si="8"/>
        <v>3.4472639138179062</v>
      </c>
      <c r="T30" s="3">
        <f t="shared" si="9"/>
        <v>1.1603405193221568</v>
      </c>
      <c r="U30" s="3">
        <f t="shared" si="10"/>
        <v>1.1603405193221568</v>
      </c>
      <c r="V30" s="3">
        <f t="shared" si="11"/>
        <v>-1.8522612057481069E-2</v>
      </c>
      <c r="W30" s="4"/>
      <c r="X30" s="3">
        <f t="shared" si="12"/>
        <v>-0.80758466891255032</v>
      </c>
      <c r="Y30" s="14">
        <f t="shared" si="13"/>
        <v>-0.45387404353651384</v>
      </c>
      <c r="Z30" s="15">
        <f t="shared" si="14"/>
        <v>-0.32547413422920912</v>
      </c>
      <c r="AA30" s="15">
        <f t="shared" si="15"/>
        <v>0.50855004252351943</v>
      </c>
      <c r="AB30" s="15">
        <f t="shared" si="16"/>
        <v>0.19706662243459361</v>
      </c>
      <c r="AC30" s="15">
        <f t="shared" si="17"/>
        <v>-0.49018394965823131</v>
      </c>
      <c r="AH30" s="15">
        <f t="shared" si="18"/>
        <v>0.49595812890779062</v>
      </c>
      <c r="AI30" s="15">
        <f t="shared" si="19"/>
        <v>0.18316172894789587</v>
      </c>
      <c r="AJ30" s="18">
        <f t="shared" si="20"/>
        <v>1.979048037542082</v>
      </c>
      <c r="AK30">
        <f t="shared" si="21"/>
        <v>1</v>
      </c>
      <c r="AL30">
        <f t="shared" si="22"/>
        <v>1</v>
      </c>
      <c r="AM30">
        <f t="shared" si="23"/>
        <v>0</v>
      </c>
      <c r="AN30">
        <f t="shared" si="24"/>
        <v>0</v>
      </c>
      <c r="AO30">
        <f t="shared" si="25"/>
        <v>0</v>
      </c>
    </row>
    <row r="31" spans="1:41" x14ac:dyDescent="0.25">
      <c r="A31" s="7"/>
      <c r="B31" s="8"/>
      <c r="C31" s="8"/>
      <c r="D31" s="5">
        <v>41989</v>
      </c>
      <c r="E31" s="6">
        <v>45.16</v>
      </c>
      <c r="F31" s="6">
        <v>26.41</v>
      </c>
      <c r="G31" s="3">
        <f t="shared" si="3"/>
        <v>-1.3592264838225885</v>
      </c>
      <c r="H31" s="3">
        <f t="shared" si="3"/>
        <v>-9.2445283018867772E-2</v>
      </c>
      <c r="I31" s="3">
        <f t="shared" si="0"/>
        <v>-1.3902202854089059</v>
      </c>
      <c r="J31" s="3">
        <f t="shared" si="1"/>
        <v>-0.12212610473421623</v>
      </c>
      <c r="K31" s="4"/>
      <c r="L31" s="3">
        <f t="shared" si="4"/>
        <v>8.374453763590644</v>
      </c>
      <c r="M31" s="3">
        <f t="shared" si="5"/>
        <v>0.47764309325948845</v>
      </c>
      <c r="N31" s="3">
        <f t="shared" si="2"/>
        <v>0.47764309325948845</v>
      </c>
      <c r="O31" s="4"/>
      <c r="P31" s="3">
        <f t="shared" si="6"/>
        <v>-1.3924905163645536</v>
      </c>
      <c r="Q31" s="3">
        <f t="shared" si="7"/>
        <v>-0.12135515640013105</v>
      </c>
      <c r="R31" s="4"/>
      <c r="S31" s="3">
        <f t="shared" si="8"/>
        <v>6.4938067224827583</v>
      </c>
      <c r="T31" s="3">
        <f t="shared" si="9"/>
        <v>0.61597152039515757</v>
      </c>
      <c r="U31" s="3">
        <f t="shared" si="10"/>
        <v>0.61597152039515757</v>
      </c>
      <c r="V31" s="3">
        <f t="shared" si="11"/>
        <v>0.61476432959395311</v>
      </c>
      <c r="W31" s="4"/>
      <c r="X31" s="3">
        <f t="shared" si="12"/>
        <v>-1.8491200982619294</v>
      </c>
      <c r="Y31" s="14">
        <f t="shared" si="13"/>
        <v>-3.0980140058824022</v>
      </c>
      <c r="Z31" s="15">
        <f t="shared" si="14"/>
        <v>-3.5930001629172361</v>
      </c>
      <c r="AA31" s="15">
        <f t="shared" si="15"/>
        <v>-1.3902202854089059</v>
      </c>
      <c r="AB31" s="15">
        <f t="shared" si="16"/>
        <v>-0.12212610473421623</v>
      </c>
      <c r="AC31" s="15">
        <f t="shared" si="17"/>
        <v>-2.9871623442652364</v>
      </c>
      <c r="AH31" s="15">
        <f t="shared" si="18"/>
        <v>-1.4028121990246347</v>
      </c>
      <c r="AI31" s="15">
        <f t="shared" si="19"/>
        <v>-0.13603099822091397</v>
      </c>
      <c r="AJ31" s="18">
        <f t="shared" si="20"/>
        <v>16.15643892559817</v>
      </c>
      <c r="AK31">
        <f t="shared" si="21"/>
        <v>0.74636013245951349</v>
      </c>
      <c r="AL31">
        <f t="shared" si="22"/>
        <v>0.12378965496110726</v>
      </c>
      <c r="AM31">
        <f t="shared" si="23"/>
        <v>1</v>
      </c>
      <c r="AN31">
        <f t="shared" si="24"/>
        <v>-1.4028121990246347</v>
      </c>
      <c r="AO31">
        <f t="shared" si="25"/>
        <v>-0.13603099822091397</v>
      </c>
    </row>
    <row r="32" spans="1:41" x14ac:dyDescent="0.25">
      <c r="A32" s="7" t="s">
        <v>12</v>
      </c>
      <c r="B32" s="8">
        <f>SUMPRODUCT(P2:P253,P2:P253,M2:M253)/SUM(M2:M253)</f>
        <v>0.18390845283687915</v>
      </c>
      <c r="C32" s="8">
        <f>SUMPRODUCT(P2:P253,Q2:Q253,M2:M253)/SUM(M2:M253)</f>
        <v>4.6411523309740917E-2</v>
      </c>
      <c r="D32" s="5">
        <v>41988</v>
      </c>
      <c r="E32" s="6">
        <v>46.67</v>
      </c>
      <c r="F32" s="6">
        <v>26.5</v>
      </c>
      <c r="G32" s="3">
        <f t="shared" si="3"/>
        <v>-0.25053887113951112</v>
      </c>
      <c r="H32" s="3">
        <f t="shared" si="3"/>
        <v>-0.18364317841079431</v>
      </c>
      <c r="I32" s="3">
        <f t="shared" si="0"/>
        <v>-0.28153267272582849</v>
      </c>
      <c r="J32" s="3">
        <f t="shared" si="1"/>
        <v>-0.21332400012614275</v>
      </c>
      <c r="K32" s="4"/>
      <c r="L32" s="3">
        <f t="shared" si="4"/>
        <v>3.4243339251677791</v>
      </c>
      <c r="M32" s="3">
        <f t="shared" si="5"/>
        <v>1.1681103792481382</v>
      </c>
      <c r="N32" s="3">
        <f t="shared" si="2"/>
        <v>1.1681103792481382</v>
      </c>
      <c r="O32" s="4"/>
      <c r="P32" s="3">
        <f t="shared" si="6"/>
        <v>-0.28380290368147632</v>
      </c>
      <c r="Q32" s="3">
        <f t="shared" si="7"/>
        <v>-0.21255305179205758</v>
      </c>
      <c r="R32" s="4"/>
      <c r="S32" s="3">
        <f t="shared" si="8"/>
        <v>3.2685745635481704</v>
      </c>
      <c r="T32" s="3">
        <f t="shared" si="9"/>
        <v>1.2237750500199198</v>
      </c>
      <c r="U32" s="3">
        <f t="shared" si="10"/>
        <v>1.2237750500199198</v>
      </c>
      <c r="V32" s="3">
        <f t="shared" si="11"/>
        <v>-7.1749243170105004E-2</v>
      </c>
      <c r="W32" s="4"/>
      <c r="X32" s="3">
        <f t="shared" si="12"/>
        <v>-0.80122551404283238</v>
      </c>
      <c r="Y32" s="14">
        <f t="shared" si="13"/>
        <v>-0.2519806964902998</v>
      </c>
      <c r="Z32" s="15">
        <f t="shared" si="14"/>
        <v>-1.5884663204392968E-2</v>
      </c>
      <c r="AA32" s="15">
        <f t="shared" si="15"/>
        <v>-0.28153267272582849</v>
      </c>
      <c r="AB32" s="15">
        <f t="shared" si="16"/>
        <v>-0.21332400012614275</v>
      </c>
      <c r="AC32" s="15">
        <f t="shared" si="17"/>
        <v>-0.28038032506045085</v>
      </c>
      <c r="AH32" s="15">
        <f t="shared" si="18"/>
        <v>-0.2941245863415573</v>
      </c>
      <c r="AI32" s="15">
        <f t="shared" si="19"/>
        <v>-0.22722889361284049</v>
      </c>
      <c r="AJ32" s="18">
        <f t="shared" si="20"/>
        <v>1.4307931279493362</v>
      </c>
      <c r="AK32">
        <f t="shared" si="21"/>
        <v>1</v>
      </c>
      <c r="AL32">
        <f t="shared" si="22"/>
        <v>1</v>
      </c>
      <c r="AM32">
        <f t="shared" si="23"/>
        <v>0</v>
      </c>
      <c r="AN32">
        <f t="shared" si="24"/>
        <v>0</v>
      </c>
      <c r="AO32">
        <f t="shared" si="25"/>
        <v>0</v>
      </c>
    </row>
    <row r="33" spans="1:41" x14ac:dyDescent="0.25">
      <c r="A33" s="7"/>
      <c r="B33" s="8">
        <f>C32</f>
        <v>4.6411523309740917E-2</v>
      </c>
      <c r="C33" s="8">
        <f>SUMPRODUCT(Q2:Q253,Q2:Q253,M2:M253)/SUM(M2:M253)</f>
        <v>5.4106698635992254E-2</v>
      </c>
      <c r="D33" s="5">
        <v>41985</v>
      </c>
      <c r="E33" s="6">
        <v>46.95</v>
      </c>
      <c r="F33" s="6">
        <v>26.68</v>
      </c>
      <c r="G33" s="3">
        <f t="shared" si="3"/>
        <v>-0.19593385626457394</v>
      </c>
      <c r="H33" s="3">
        <f t="shared" si="3"/>
        <v>-0.13198806415516498</v>
      </c>
      <c r="I33" s="3">
        <f t="shared" si="0"/>
        <v>-0.22692765785089128</v>
      </c>
      <c r="J33" s="3">
        <f t="shared" si="1"/>
        <v>-0.16166888587051342</v>
      </c>
      <c r="K33" s="4"/>
      <c r="L33" s="3">
        <f t="shared" si="4"/>
        <v>3.2506386406547945</v>
      </c>
      <c r="M33" s="3">
        <f t="shared" si="5"/>
        <v>1.2305274262027037</v>
      </c>
      <c r="N33" s="3">
        <f t="shared" si="2"/>
        <v>1.2305274262027037</v>
      </c>
      <c r="O33" s="4"/>
      <c r="P33" s="3">
        <f t="shared" si="6"/>
        <v>-0.2291978888065391</v>
      </c>
      <c r="Q33" s="3">
        <f t="shared" si="7"/>
        <v>-0.16089793753642825</v>
      </c>
      <c r="R33" s="4"/>
      <c r="S33" s="3">
        <f t="shared" si="8"/>
        <v>3.1588597125724718</v>
      </c>
      <c r="T33" s="3">
        <f t="shared" si="9"/>
        <v>1.2662797224200031</v>
      </c>
      <c r="U33" s="3">
        <f t="shared" si="10"/>
        <v>1.2662797224200031</v>
      </c>
      <c r="V33" s="3">
        <f t="shared" si="11"/>
        <v>-0.10589180446829438</v>
      </c>
      <c r="W33" s="4"/>
      <c r="X33" s="3">
        <f t="shared" si="12"/>
        <v>-0.80547586992998665</v>
      </c>
      <c r="Y33" s="14">
        <f t="shared" si="13"/>
        <v>-0.12430677219222233</v>
      </c>
      <c r="Z33" s="15">
        <f t="shared" si="14"/>
        <v>0.19233732297184003</v>
      </c>
      <c r="AA33" s="15">
        <f t="shared" si="15"/>
        <v>-0.22692765785089128</v>
      </c>
      <c r="AB33" s="15">
        <f t="shared" si="16"/>
        <v>-0.16166888587051342</v>
      </c>
      <c r="AC33" s="15">
        <f t="shared" si="17"/>
        <v>-0.14224641084100573</v>
      </c>
      <c r="AH33" s="15">
        <f t="shared" si="18"/>
        <v>-0.23951957146662012</v>
      </c>
      <c r="AI33" s="15">
        <f t="shared" si="19"/>
        <v>-0.17557377935721116</v>
      </c>
      <c r="AJ33" s="18">
        <f t="shared" si="20"/>
        <v>0.87461916987688348</v>
      </c>
      <c r="AK33">
        <f t="shared" si="21"/>
        <v>1</v>
      </c>
      <c r="AL33">
        <f t="shared" si="22"/>
        <v>1</v>
      </c>
      <c r="AM33">
        <f t="shared" si="23"/>
        <v>0</v>
      </c>
      <c r="AN33">
        <f t="shared" si="24"/>
        <v>0</v>
      </c>
      <c r="AO33">
        <f t="shared" si="25"/>
        <v>0</v>
      </c>
    </row>
    <row r="34" spans="1:41" x14ac:dyDescent="0.25">
      <c r="A34" s="7" t="s">
        <v>16</v>
      </c>
      <c r="B34" s="8">
        <f>B32*C33-B33*C32</f>
        <v>7.7966497383259899E-3</v>
      </c>
      <c r="C34" s="8"/>
      <c r="D34" s="5">
        <v>41984</v>
      </c>
      <c r="E34" s="6">
        <v>47.17</v>
      </c>
      <c r="F34" s="6">
        <v>26.81</v>
      </c>
      <c r="G34" s="3">
        <f t="shared" si="3"/>
        <v>0.24184861407249744</v>
      </c>
      <c r="H34" s="3">
        <f t="shared" si="3"/>
        <v>0.12238291494941664</v>
      </c>
      <c r="I34" s="3">
        <f t="shared" si="0"/>
        <v>0.2108548124861801</v>
      </c>
      <c r="J34" s="3">
        <f t="shared" si="1"/>
        <v>9.2702093234068195E-2</v>
      </c>
      <c r="K34" s="4"/>
      <c r="L34" s="3">
        <f t="shared" si="4"/>
        <v>3.1287507639048524</v>
      </c>
      <c r="M34" s="3">
        <f t="shared" si="5"/>
        <v>1.2784655288450593</v>
      </c>
      <c r="N34" s="3">
        <f t="shared" si="2"/>
        <v>1.2784655288450593</v>
      </c>
      <c r="O34" s="4"/>
      <c r="P34" s="3">
        <f t="shared" si="6"/>
        <v>0.20858458153053228</v>
      </c>
      <c r="Q34" s="3">
        <f t="shared" si="7"/>
        <v>9.3473041568153364E-2</v>
      </c>
      <c r="R34" s="4"/>
      <c r="S34" s="3">
        <f t="shared" si="8"/>
        <v>3.0817471669841541</v>
      </c>
      <c r="T34" s="3">
        <f t="shared" si="9"/>
        <v>1.2979650124622204</v>
      </c>
      <c r="U34" s="3">
        <f t="shared" si="10"/>
        <v>1.2979650124622204</v>
      </c>
      <c r="V34" s="3">
        <f t="shared" si="11"/>
        <v>-0.13060592608860055</v>
      </c>
      <c r="W34" s="4"/>
      <c r="X34" s="3">
        <f t="shared" si="12"/>
        <v>-0.81276843760694417</v>
      </c>
      <c r="Y34" s="14">
        <f t="shared" si="13"/>
        <v>-3.2794597771023365E-2</v>
      </c>
      <c r="Z34" s="15">
        <f t="shared" si="14"/>
        <v>0.34520801870616624</v>
      </c>
      <c r="AA34" s="15">
        <f t="shared" si="15"/>
        <v>0.2108548124861801</v>
      </c>
      <c r="AB34" s="15">
        <f t="shared" si="16"/>
        <v>9.2702093234068195E-2</v>
      </c>
      <c r="AC34" s="15">
        <f t="shared" si="17"/>
        <v>-4.2383739682978469E-2</v>
      </c>
      <c r="AH34" s="15">
        <f t="shared" si="18"/>
        <v>0.19826289887045126</v>
      </c>
      <c r="AI34" s="15">
        <f t="shared" si="19"/>
        <v>7.8797199747370456E-2</v>
      </c>
      <c r="AJ34" s="18">
        <f t="shared" si="20"/>
        <v>0.32625082945619227</v>
      </c>
      <c r="AK34">
        <f t="shared" si="21"/>
        <v>1</v>
      </c>
      <c r="AL34">
        <f t="shared" si="22"/>
        <v>1</v>
      </c>
      <c r="AM34">
        <f t="shared" si="23"/>
        <v>0</v>
      </c>
      <c r="AN34">
        <f t="shared" si="24"/>
        <v>0</v>
      </c>
      <c r="AO34">
        <f t="shared" si="25"/>
        <v>0</v>
      </c>
    </row>
    <row r="35" spans="1:41" ht="18.75" x14ac:dyDescent="0.3">
      <c r="A35" s="1" t="s">
        <v>13</v>
      </c>
      <c r="B35" s="11">
        <f>B32*SQRT($B$11/$B$34)</f>
        <v>0.31035291701278644</v>
      </c>
      <c r="C35" s="11">
        <f>C32*SQRT($B$11/$B$34)</f>
        <v>7.8321313784097069E-2</v>
      </c>
      <c r="D35" s="5">
        <v>41983</v>
      </c>
      <c r="E35" s="6">
        <v>46.9</v>
      </c>
      <c r="F35" s="6">
        <v>26.69</v>
      </c>
      <c r="G35" s="3">
        <f t="shared" si="3"/>
        <v>-0.60909644883379277</v>
      </c>
      <c r="H35" s="3">
        <f t="shared" si="3"/>
        <v>-0.53980168931325656</v>
      </c>
      <c r="I35" s="3">
        <f t="shared" si="0"/>
        <v>-0.64009025042011014</v>
      </c>
      <c r="J35" s="3">
        <f t="shared" si="1"/>
        <v>-0.56948251102860503</v>
      </c>
      <c r="K35" s="4"/>
      <c r="L35" s="3">
        <f t="shared" si="4"/>
        <v>5.8800615426278817</v>
      </c>
      <c r="M35" s="3">
        <f t="shared" si="5"/>
        <v>0.68026498889539577</v>
      </c>
      <c r="N35" s="3">
        <f t="shared" si="2"/>
        <v>0.68026498889539577</v>
      </c>
      <c r="O35" s="4"/>
      <c r="P35" s="3">
        <f t="shared" si="6"/>
        <v>-0.64236048137575796</v>
      </c>
      <c r="Q35" s="3">
        <f t="shared" si="7"/>
        <v>-0.56871156269451983</v>
      </c>
      <c r="R35" s="4"/>
      <c r="S35" s="3">
        <f t="shared" si="8"/>
        <v>4.8202257298644593</v>
      </c>
      <c r="T35" s="3">
        <f t="shared" si="9"/>
        <v>0.82983665582658861</v>
      </c>
      <c r="U35" s="3">
        <f t="shared" si="10"/>
        <v>0.82983665582658861</v>
      </c>
      <c r="V35" s="3">
        <f t="shared" si="11"/>
        <v>0.31672229727996992</v>
      </c>
      <c r="W35" s="4"/>
      <c r="X35" s="3">
        <f t="shared" si="12"/>
        <v>-1.1645971173512339</v>
      </c>
      <c r="Y35" s="14">
        <f t="shared" si="13"/>
        <v>-1.8012440420776019</v>
      </c>
      <c r="Z35" s="15">
        <f t="shared" si="14"/>
        <v>-2.1785256627686094</v>
      </c>
      <c r="AA35" s="15">
        <f t="shared" si="15"/>
        <v>-0.64009025042011014</v>
      </c>
      <c r="AB35" s="15">
        <f t="shared" si="16"/>
        <v>-0.56948251102860503</v>
      </c>
      <c r="AC35" s="15">
        <f t="shared" si="17"/>
        <v>-1.8482917576329405</v>
      </c>
      <c r="AH35" s="15">
        <f t="shared" si="18"/>
        <v>-0.65268216403583901</v>
      </c>
      <c r="AI35" s="15">
        <f t="shared" si="19"/>
        <v>-0.5833874045153028</v>
      </c>
      <c r="AJ35" s="18">
        <f t="shared" si="20"/>
        <v>9.0026815051403304</v>
      </c>
      <c r="AK35">
        <f t="shared" si="21"/>
        <v>0.99985106077315289</v>
      </c>
      <c r="AL35">
        <f t="shared" si="22"/>
        <v>0.222156031939822</v>
      </c>
      <c r="AM35">
        <f t="shared" si="23"/>
        <v>1</v>
      </c>
      <c r="AN35">
        <f t="shared" si="24"/>
        <v>-0.65268216403583901</v>
      </c>
      <c r="AO35">
        <f t="shared" si="25"/>
        <v>-0.5833874045153028</v>
      </c>
    </row>
    <row r="36" spans="1:41" ht="18.75" x14ac:dyDescent="0.3">
      <c r="A36" s="1"/>
      <c r="B36" s="11">
        <f>B33*SQRT($B$11/$B$34)</f>
        <v>7.8321313784097069E-2</v>
      </c>
      <c r="C36" s="11">
        <f>C33*SQRT($B$11/$B$34)</f>
        <v>9.130723190035242E-2</v>
      </c>
      <c r="D36" s="5">
        <v>41982</v>
      </c>
      <c r="E36" s="6">
        <v>47.59</v>
      </c>
      <c r="F36" s="6">
        <v>27.23</v>
      </c>
      <c r="G36" s="3">
        <f t="shared" si="3"/>
        <v>-9.6878406708594877E-2</v>
      </c>
      <c r="H36" s="3">
        <f t="shared" si="3"/>
        <v>0.19126479289940956</v>
      </c>
      <c r="I36" s="3">
        <f t="shared" si="0"/>
        <v>-0.12787220829491222</v>
      </c>
      <c r="J36" s="3">
        <f t="shared" si="1"/>
        <v>0.16158397118406112</v>
      </c>
      <c r="K36" s="4"/>
      <c r="L36" s="3">
        <f t="shared" si="4"/>
        <v>3.4540280819767983</v>
      </c>
      <c r="M36" s="3">
        <f t="shared" si="5"/>
        <v>1.1580681757835427</v>
      </c>
      <c r="N36" s="3">
        <f t="shared" si="2"/>
        <v>1.1580681757835427</v>
      </c>
      <c r="O36" s="4"/>
      <c r="P36" s="3">
        <f t="shared" si="6"/>
        <v>-0.13014243925056004</v>
      </c>
      <c r="Q36" s="3">
        <f t="shared" si="7"/>
        <v>0.16235491951814629</v>
      </c>
      <c r="R36" s="4"/>
      <c r="S36" s="3">
        <f t="shared" si="8"/>
        <v>3.293579909145306</v>
      </c>
      <c r="T36" s="3">
        <f t="shared" si="9"/>
        <v>1.2144839689157603</v>
      </c>
      <c r="U36" s="3">
        <f t="shared" si="10"/>
        <v>1.2144839689157603</v>
      </c>
      <c r="V36" s="3">
        <f t="shared" si="11"/>
        <v>-6.4128180041755911E-2</v>
      </c>
      <c r="W36" s="4"/>
      <c r="X36" s="3">
        <f t="shared" si="12"/>
        <v>-0.80117903232968768</v>
      </c>
      <c r="Y36" s="14">
        <f t="shared" si="13"/>
        <v>-0.28067566572677827</v>
      </c>
      <c r="Z36" s="15">
        <f t="shared" si="14"/>
        <v>-5.0421189486098306E-2</v>
      </c>
      <c r="AA36" s="15">
        <f t="shared" si="15"/>
        <v>-0.12787220829491222</v>
      </c>
      <c r="AB36" s="15">
        <f t="shared" si="16"/>
        <v>0.16158397118406112</v>
      </c>
      <c r="AC36" s="15">
        <f t="shared" si="17"/>
        <v>-0.30352488712710102</v>
      </c>
      <c r="AH36" s="15">
        <f t="shared" si="18"/>
        <v>-0.14046412191064106</v>
      </c>
      <c r="AI36" s="15">
        <f t="shared" si="19"/>
        <v>0.14767907769736338</v>
      </c>
      <c r="AJ36" s="18">
        <f t="shared" si="20"/>
        <v>1.2079067558568459</v>
      </c>
      <c r="AK36">
        <f t="shared" si="21"/>
        <v>1</v>
      </c>
      <c r="AL36">
        <f t="shared" si="22"/>
        <v>1</v>
      </c>
      <c r="AM36">
        <f t="shared" si="23"/>
        <v>0</v>
      </c>
      <c r="AN36">
        <f t="shared" si="24"/>
        <v>0</v>
      </c>
      <c r="AO36">
        <f t="shared" si="25"/>
        <v>0</v>
      </c>
    </row>
    <row r="37" spans="1:41" x14ac:dyDescent="0.25">
      <c r="A37" s="7" t="s">
        <v>31</v>
      </c>
      <c r="B37" s="8">
        <f t="array" ref="B37:C38">MINVERSE(B35:C36)</f>
        <v>4.1123386445426497</v>
      </c>
      <c r="C37" s="8">
        <v>-3.5274726728896724</v>
      </c>
      <c r="D37" s="5">
        <v>41981</v>
      </c>
      <c r="E37" s="6">
        <v>47.7</v>
      </c>
      <c r="F37" s="6">
        <v>27.04</v>
      </c>
      <c r="G37" s="3">
        <f t="shared" si="3"/>
        <v>-0.62468401486988745</v>
      </c>
      <c r="H37" s="3">
        <f t="shared" si="3"/>
        <v>-0.26911021603808088</v>
      </c>
      <c r="I37" s="3">
        <f t="shared" si="0"/>
        <v>-0.65567781645620482</v>
      </c>
      <c r="J37" s="3">
        <f t="shared" si="1"/>
        <v>-0.29879103775342936</v>
      </c>
      <c r="K37" s="4"/>
      <c r="L37" s="3">
        <f t="shared" si="4"/>
        <v>4.2752781678288212</v>
      </c>
      <c r="M37" s="3">
        <f t="shared" si="5"/>
        <v>0.93561163577605999</v>
      </c>
      <c r="N37" s="3">
        <f t="shared" si="2"/>
        <v>0.93561163577605999</v>
      </c>
      <c r="O37" s="4"/>
      <c r="P37" s="3">
        <f t="shared" si="6"/>
        <v>-0.65794804741185264</v>
      </c>
      <c r="Q37" s="3">
        <f t="shared" si="7"/>
        <v>-0.29802008941934416</v>
      </c>
      <c r="R37" s="4"/>
      <c r="S37" s="3">
        <f t="shared" si="8"/>
        <v>3.8191607197631545</v>
      </c>
      <c r="T37" s="3">
        <f t="shared" si="9"/>
        <v>1.0473505289528795</v>
      </c>
      <c r="U37" s="3">
        <f t="shared" si="10"/>
        <v>1.0473505289528795</v>
      </c>
      <c r="V37" s="3">
        <f t="shared" si="11"/>
        <v>8.3927566647545859E-2</v>
      </c>
      <c r="W37" s="4"/>
      <c r="X37" s="3">
        <f t="shared" si="12"/>
        <v>-0.86164346517313306</v>
      </c>
      <c r="Y37" s="14">
        <f t="shared" si="13"/>
        <v>-0.8520481345490093</v>
      </c>
      <c r="Z37" s="15">
        <f t="shared" si="14"/>
        <v>-0.90365342469162813</v>
      </c>
      <c r="AA37" s="15">
        <f t="shared" si="15"/>
        <v>-0.65567781645620482</v>
      </c>
      <c r="AB37" s="15">
        <f t="shared" si="16"/>
        <v>-0.29879103775342936</v>
      </c>
      <c r="AC37" s="15">
        <f t="shared" si="17"/>
        <v>-0.89570453942645478</v>
      </c>
      <c r="AH37" s="15">
        <f t="shared" si="18"/>
        <v>-0.66826973007193369</v>
      </c>
      <c r="AI37" s="15">
        <f t="shared" si="19"/>
        <v>-0.31269593124012707</v>
      </c>
      <c r="AJ37" s="18">
        <f t="shared" si="20"/>
        <v>4.0904106023125903</v>
      </c>
      <c r="AK37">
        <f t="shared" si="21"/>
        <v>1</v>
      </c>
      <c r="AL37">
        <f t="shared" si="22"/>
        <v>0.48894846861321511</v>
      </c>
      <c r="AM37">
        <f t="shared" si="23"/>
        <v>1</v>
      </c>
      <c r="AN37">
        <f t="shared" si="24"/>
        <v>-0.66826973007193369</v>
      </c>
      <c r="AO37">
        <f t="shared" si="25"/>
        <v>-0.31269593124012707</v>
      </c>
    </row>
    <row r="38" spans="1:41" x14ac:dyDescent="0.25">
      <c r="A38" s="7"/>
      <c r="B38" s="8">
        <v>-3.5274726728896724</v>
      </c>
      <c r="C38" s="8">
        <v>13.977822649043571</v>
      </c>
      <c r="D38" s="5">
        <v>41978</v>
      </c>
      <c r="E38" s="6">
        <v>48.42</v>
      </c>
      <c r="F38" s="6">
        <v>27.31</v>
      </c>
      <c r="G38" s="3">
        <f t="shared" si="3"/>
        <v>-0.36126535626535772</v>
      </c>
      <c r="H38" s="3">
        <f t="shared" si="3"/>
        <v>-0.26647570703408224</v>
      </c>
      <c r="I38" s="3">
        <f t="shared" si="0"/>
        <v>-0.39225915785167509</v>
      </c>
      <c r="J38" s="3">
        <f t="shared" si="1"/>
        <v>-0.29615652874943071</v>
      </c>
      <c r="K38" s="4"/>
      <c r="L38" s="3">
        <f t="shared" si="4"/>
        <v>3.8190571880583888</v>
      </c>
      <c r="M38" s="3">
        <f t="shared" si="5"/>
        <v>1.0473789218206504</v>
      </c>
      <c r="N38" s="3">
        <f t="shared" si="2"/>
        <v>1.0473789218206504</v>
      </c>
      <c r="O38" s="4"/>
      <c r="P38" s="3">
        <f t="shared" si="6"/>
        <v>-0.39452938880732291</v>
      </c>
      <c r="Q38" s="3">
        <f t="shared" si="7"/>
        <v>-0.29538558041534552</v>
      </c>
      <c r="R38" s="4"/>
      <c r="S38" s="3">
        <f t="shared" si="8"/>
        <v>3.5187651548695191</v>
      </c>
      <c r="T38" s="3">
        <f t="shared" si="9"/>
        <v>1.1367624220287942</v>
      </c>
      <c r="U38" s="3">
        <f t="shared" si="10"/>
        <v>1.1367624220287942</v>
      </c>
      <c r="V38" s="3">
        <f t="shared" si="11"/>
        <v>2.0066428341181108E-3</v>
      </c>
      <c r="W38" s="4"/>
      <c r="X38" s="3">
        <f t="shared" si="12"/>
        <v>-0.81411578955123942</v>
      </c>
      <c r="Y38" s="14">
        <f t="shared" si="13"/>
        <v>-0.53266134363777129</v>
      </c>
      <c r="Z38" s="15">
        <f t="shared" si="14"/>
        <v>-0.452271080601228</v>
      </c>
      <c r="AA38" s="15">
        <f t="shared" si="15"/>
        <v>-0.39225915785167509</v>
      </c>
      <c r="AB38" s="15">
        <f t="shared" si="16"/>
        <v>-0.29615652874943071</v>
      </c>
      <c r="AC38" s="15">
        <f t="shared" si="17"/>
        <v>-0.57761000857632461</v>
      </c>
      <c r="AH38" s="15">
        <f t="shared" si="18"/>
        <v>-0.4048510714674039</v>
      </c>
      <c r="AI38" s="15">
        <f t="shared" si="19"/>
        <v>-0.31006142223612843</v>
      </c>
      <c r="AJ38" s="18">
        <f t="shared" si="20"/>
        <v>2.6737797496293823</v>
      </c>
      <c r="AK38">
        <f t="shared" si="21"/>
        <v>1</v>
      </c>
      <c r="AL38">
        <f t="shared" si="22"/>
        <v>0.74800476751206746</v>
      </c>
      <c r="AM38">
        <f t="shared" si="23"/>
        <v>0</v>
      </c>
      <c r="AN38">
        <f t="shared" si="24"/>
        <v>0</v>
      </c>
      <c r="AO38">
        <f t="shared" si="25"/>
        <v>0</v>
      </c>
    </row>
    <row r="39" spans="1:41" x14ac:dyDescent="0.25">
      <c r="A39" s="7" t="s">
        <v>28</v>
      </c>
      <c r="B39" s="9">
        <v>1E-4</v>
      </c>
      <c r="C39" s="9"/>
      <c r="D39" s="5">
        <v>41977</v>
      </c>
      <c r="E39" s="6">
        <v>48.84</v>
      </c>
      <c r="F39" s="6">
        <v>27.58</v>
      </c>
      <c r="G39" s="3">
        <f t="shared" si="3"/>
        <v>0.66405158069883974</v>
      </c>
      <c r="H39" s="3">
        <f t="shared" si="3"/>
        <v>-0.17649855907781298</v>
      </c>
      <c r="I39" s="3">
        <f t="shared" si="0"/>
        <v>0.63305777911252237</v>
      </c>
      <c r="J39" s="3">
        <f t="shared" si="1"/>
        <v>-0.20617938079316142</v>
      </c>
      <c r="K39" s="4"/>
      <c r="L39" s="3">
        <f t="shared" si="4"/>
        <v>5.461322333411629</v>
      </c>
      <c r="M39" s="3">
        <f t="shared" si="5"/>
        <v>0.73242335020742921</v>
      </c>
      <c r="N39" s="3">
        <f t="shared" si="2"/>
        <v>0.73242335020742921</v>
      </c>
      <c r="O39" s="4"/>
      <c r="P39" s="3">
        <f t="shared" si="6"/>
        <v>0.63078754815687454</v>
      </c>
      <c r="Q39" s="3">
        <f t="shared" si="7"/>
        <v>-0.20540843245907625</v>
      </c>
      <c r="R39" s="4"/>
      <c r="S39" s="3">
        <f t="shared" si="8"/>
        <v>4.5700671408236255</v>
      </c>
      <c r="T39" s="3">
        <f t="shared" si="9"/>
        <v>0.87526066395582824</v>
      </c>
      <c r="U39" s="3">
        <f t="shared" si="10"/>
        <v>0.87526066395582824</v>
      </c>
      <c r="V39" s="3">
        <f t="shared" si="11"/>
        <v>0.26342788894240243</v>
      </c>
      <c r="W39" s="4"/>
      <c r="X39" s="3">
        <f t="shared" si="12"/>
        <v>-1.0751673814950686</v>
      </c>
      <c r="Y39" s="14">
        <f t="shared" si="13"/>
        <v>-1.5787182946407734</v>
      </c>
      <c r="Z39" s="15">
        <f t="shared" si="14"/>
        <v>-1.8830205337768626</v>
      </c>
      <c r="AA39" s="15">
        <f t="shared" si="15"/>
        <v>0.63305777911252237</v>
      </c>
      <c r="AB39" s="15">
        <f t="shared" si="16"/>
        <v>-0.20617938079316142</v>
      </c>
      <c r="AC39" s="15">
        <f t="shared" si="17"/>
        <v>-1.6207620324466105</v>
      </c>
      <c r="AH39" s="15">
        <f t="shared" si="18"/>
        <v>0.6204658654967935</v>
      </c>
      <c r="AI39" s="15">
        <f t="shared" si="19"/>
        <v>-0.22008427427985916</v>
      </c>
      <c r="AJ39" s="18">
        <f t="shared" si="20"/>
        <v>7.3030388308591663</v>
      </c>
      <c r="AK39">
        <f t="shared" si="21"/>
        <v>1</v>
      </c>
      <c r="AL39">
        <f t="shared" si="22"/>
        <v>0.27385860137412277</v>
      </c>
      <c r="AM39">
        <f t="shared" si="23"/>
        <v>1</v>
      </c>
      <c r="AN39">
        <f t="shared" si="24"/>
        <v>0.6204658654967935</v>
      </c>
      <c r="AO39">
        <f t="shared" si="25"/>
        <v>-0.22008427427985916</v>
      </c>
    </row>
    <row r="40" spans="1:41" ht="18.75" x14ac:dyDescent="0.3">
      <c r="A40" s="13" t="s">
        <v>44</v>
      </c>
      <c r="B40" s="9"/>
      <c r="C40" s="9"/>
      <c r="D40" s="5">
        <v>41976</v>
      </c>
      <c r="E40" s="6">
        <v>48.08</v>
      </c>
      <c r="F40" s="6">
        <v>27.76</v>
      </c>
      <c r="G40" s="3">
        <f t="shared" si="3"/>
        <v>-0.32942220387949045</v>
      </c>
      <c r="H40" s="3">
        <f t="shared" si="3"/>
        <v>0.12807093738690084</v>
      </c>
      <c r="I40" s="3">
        <f t="shared" si="0"/>
        <v>-0.36041600546580782</v>
      </c>
      <c r="J40" s="3">
        <f t="shared" si="1"/>
        <v>9.8390115671552397E-2</v>
      </c>
      <c r="K40" s="4"/>
      <c r="L40" s="3">
        <f t="shared" si="4"/>
        <v>3.7148737772454306</v>
      </c>
      <c r="M40" s="3">
        <f t="shared" si="5"/>
        <v>1.0767526004520105</v>
      </c>
      <c r="N40" s="3">
        <f t="shared" si="2"/>
        <v>1.0767526004520105</v>
      </c>
      <c r="O40" s="4"/>
      <c r="P40" s="3">
        <f t="shared" si="6"/>
        <v>-0.36268623642145559</v>
      </c>
      <c r="Q40" s="3">
        <f t="shared" si="7"/>
        <v>9.9161064005637567E-2</v>
      </c>
      <c r="R40" s="4"/>
      <c r="S40" s="3">
        <f t="shared" si="8"/>
        <v>3.4660558532462606</v>
      </c>
      <c r="T40" s="3">
        <f t="shared" si="9"/>
        <v>1.1540494929571474</v>
      </c>
      <c r="U40" s="3">
        <f t="shared" si="10"/>
        <v>1.1540494929571474</v>
      </c>
      <c r="V40" s="3">
        <f t="shared" si="11"/>
        <v>-1.3086162812259161E-2</v>
      </c>
      <c r="W40" s="4"/>
      <c r="X40" s="3">
        <f t="shared" si="12"/>
        <v>-0.80909750267494829</v>
      </c>
      <c r="Y40" s="14">
        <f t="shared" si="13"/>
        <v>-0.474688690486886</v>
      </c>
      <c r="Z40" s="15">
        <f t="shared" si="14"/>
        <v>-0.3416355539208884</v>
      </c>
      <c r="AA40" s="15">
        <f t="shared" si="15"/>
        <v>-0.36041600546580782</v>
      </c>
      <c r="AB40" s="15">
        <f t="shared" si="16"/>
        <v>9.8390115671552397E-2</v>
      </c>
      <c r="AC40" s="15">
        <f t="shared" si="17"/>
        <v>-0.50127927228223745</v>
      </c>
      <c r="AH40" s="15">
        <f t="shared" si="18"/>
        <v>-0.37300791908153663</v>
      </c>
      <c r="AI40" s="15">
        <f t="shared" si="19"/>
        <v>8.4485222184854658E-2</v>
      </c>
      <c r="AJ40" s="18">
        <f t="shared" si="20"/>
        <v>2.0293901400495153</v>
      </c>
      <c r="AK40">
        <f t="shared" si="21"/>
        <v>1</v>
      </c>
      <c r="AL40">
        <f t="shared" si="22"/>
        <v>0.98551774768709666</v>
      </c>
      <c r="AM40">
        <f t="shared" si="23"/>
        <v>0</v>
      </c>
      <c r="AN40">
        <f t="shared" si="24"/>
        <v>0</v>
      </c>
      <c r="AO40">
        <f t="shared" si="25"/>
        <v>0</v>
      </c>
    </row>
    <row r="41" spans="1:41" ht="18.75" x14ac:dyDescent="0.3">
      <c r="A41" s="13" t="s">
        <v>47</v>
      </c>
      <c r="D41" s="5">
        <v>41975</v>
      </c>
      <c r="E41" s="6">
        <v>48.46</v>
      </c>
      <c r="F41" s="6">
        <v>27.63</v>
      </c>
      <c r="G41" s="3">
        <f t="shared" si="3"/>
        <v>-0.13824763471821999</v>
      </c>
      <c r="H41" s="3">
        <f t="shared" si="3"/>
        <v>0.22848905109489093</v>
      </c>
      <c r="I41" s="3">
        <f t="shared" si="0"/>
        <v>-0.16924143630453733</v>
      </c>
      <c r="J41" s="3">
        <f t="shared" si="1"/>
        <v>0.19880822937954248</v>
      </c>
      <c r="K41" s="4"/>
      <c r="L41" s="3">
        <f t="shared" si="4"/>
        <v>3.71270171120999</v>
      </c>
      <c r="M41" s="3">
        <f t="shared" si="5"/>
        <v>1.0773825400307686</v>
      </c>
      <c r="N41" s="3">
        <f t="shared" si="2"/>
        <v>1.0773825400307686</v>
      </c>
      <c r="O41" s="4"/>
      <c r="P41" s="3">
        <f t="shared" si="6"/>
        <v>-0.17151166726018516</v>
      </c>
      <c r="Q41" s="3">
        <f t="shared" si="7"/>
        <v>0.19957917771362765</v>
      </c>
      <c r="R41" s="4"/>
      <c r="S41" s="3">
        <f t="shared" si="8"/>
        <v>3.4596119949922959</v>
      </c>
      <c r="T41" s="3">
        <f t="shared" si="9"/>
        <v>1.1561990205230825</v>
      </c>
      <c r="U41" s="3">
        <f t="shared" si="10"/>
        <v>1.1561990205230825</v>
      </c>
      <c r="V41" s="3">
        <f t="shared" si="11"/>
        <v>-1.4947023375677659E-2</v>
      </c>
      <c r="W41" s="4"/>
      <c r="X41" s="3">
        <f t="shared" si="12"/>
        <v>-0.80856199741794854</v>
      </c>
      <c r="Y41" s="14">
        <f t="shared" si="13"/>
        <v>-0.46755996108614906</v>
      </c>
      <c r="Z41" s="15">
        <f t="shared" si="14"/>
        <v>-0.33929609216706857</v>
      </c>
      <c r="AA41" s="15">
        <f t="shared" si="15"/>
        <v>-0.16924143630453733</v>
      </c>
      <c r="AB41" s="15">
        <f t="shared" si="16"/>
        <v>0.19880822937954248</v>
      </c>
      <c r="AC41" s="15">
        <f t="shared" si="17"/>
        <v>-0.49967228854567547</v>
      </c>
      <c r="AH41" s="15">
        <f t="shared" si="18"/>
        <v>-0.18183334992026617</v>
      </c>
      <c r="AI41" s="15">
        <f t="shared" si="19"/>
        <v>0.18490333589284474</v>
      </c>
      <c r="AJ41" s="18">
        <f t="shared" si="20"/>
        <v>1.9308281697727261</v>
      </c>
      <c r="AK41">
        <f t="shared" si="21"/>
        <v>1</v>
      </c>
      <c r="AL41">
        <f t="shared" si="22"/>
        <v>1</v>
      </c>
      <c r="AM41">
        <f t="shared" si="23"/>
        <v>0</v>
      </c>
      <c r="AN41">
        <f t="shared" si="24"/>
        <v>0</v>
      </c>
      <c r="AO41">
        <f t="shared" si="25"/>
        <v>0</v>
      </c>
    </row>
    <row r="42" spans="1:41" ht="18.75" x14ac:dyDescent="0.3">
      <c r="A42" s="13" t="s">
        <v>49</v>
      </c>
      <c r="D42" s="5">
        <v>41974</v>
      </c>
      <c r="E42" s="6">
        <v>48.62</v>
      </c>
      <c r="F42" s="6">
        <v>27.4</v>
      </c>
      <c r="G42" s="3">
        <f t="shared" si="3"/>
        <v>0.71173603848566813</v>
      </c>
      <c r="H42" s="3">
        <f t="shared" si="3"/>
        <v>-4.9581056466303071E-2</v>
      </c>
      <c r="I42" s="3">
        <f t="shared" si="0"/>
        <v>0.68074223689935076</v>
      </c>
      <c r="J42" s="3">
        <f t="shared" si="1"/>
        <v>-7.9261878181651521E-2</v>
      </c>
      <c r="K42" s="4"/>
      <c r="L42" s="3">
        <f t="shared" si="4"/>
        <v>4.8391766082648875</v>
      </c>
      <c r="M42" s="3">
        <f t="shared" si="5"/>
        <v>0.82658690182299865</v>
      </c>
      <c r="N42" s="3">
        <f t="shared" si="2"/>
        <v>0.82658690182299865</v>
      </c>
      <c r="O42" s="4"/>
      <c r="P42" s="3">
        <f t="shared" si="6"/>
        <v>0.67847200594370294</v>
      </c>
      <c r="Q42" s="3">
        <f t="shared" si="7"/>
        <v>-7.8490929847566338E-2</v>
      </c>
      <c r="R42" s="4"/>
      <c r="S42" s="3">
        <f t="shared" si="8"/>
        <v>4.1774137667594049</v>
      </c>
      <c r="T42" s="3">
        <f t="shared" si="9"/>
        <v>0.95753023840465001</v>
      </c>
      <c r="U42" s="3">
        <f t="shared" si="10"/>
        <v>0.95753023840465001</v>
      </c>
      <c r="V42" s="3">
        <f t="shared" si="11"/>
        <v>0.17359036847963694</v>
      </c>
      <c r="W42" s="4"/>
      <c r="X42" s="3">
        <f t="shared" si="12"/>
        <v>-0.95058318988239554</v>
      </c>
      <c r="Y42" s="14">
        <f t="shared" si="13"/>
        <v>-1.2105337098069837</v>
      </c>
      <c r="Z42" s="15">
        <f t="shared" si="14"/>
        <v>-1.3992350855994526</v>
      </c>
      <c r="AA42" s="15">
        <f t="shared" si="15"/>
        <v>0.68074223689935076</v>
      </c>
      <c r="AB42" s="15">
        <f t="shared" si="16"/>
        <v>-7.9261878181651521E-2</v>
      </c>
      <c r="AC42" s="15">
        <f t="shared" si="17"/>
        <v>-1.2568443084673695</v>
      </c>
      <c r="AH42" s="15">
        <f t="shared" si="18"/>
        <v>0.66815032328362189</v>
      </c>
      <c r="AI42" s="15">
        <f t="shared" si="19"/>
        <v>-9.316677166834926E-2</v>
      </c>
      <c r="AJ42" s="18">
        <f t="shared" si="20"/>
        <v>5.4507585537493979</v>
      </c>
      <c r="AK42">
        <f t="shared" si="21"/>
        <v>1</v>
      </c>
      <c r="AL42">
        <f t="shared" si="22"/>
        <v>0.36692140741113283</v>
      </c>
      <c r="AM42">
        <f t="shared" si="23"/>
        <v>1</v>
      </c>
      <c r="AN42">
        <f t="shared" si="24"/>
        <v>0.66815032328362189</v>
      </c>
      <c r="AO42">
        <f t="shared" si="25"/>
        <v>-9.316677166834926E-2</v>
      </c>
    </row>
    <row r="43" spans="1:41" ht="18.75" x14ac:dyDescent="0.3">
      <c r="A43" s="1" t="s">
        <v>32</v>
      </c>
      <c r="B43" s="11">
        <v>9.1825895919149829</v>
      </c>
      <c r="C43" s="9"/>
      <c r="D43" s="5">
        <v>41971</v>
      </c>
      <c r="E43" s="6">
        <v>47.81</v>
      </c>
      <c r="F43" s="6">
        <v>27.45</v>
      </c>
      <c r="G43" s="3">
        <f t="shared" si="3"/>
        <v>5.2787434554975816E-2</v>
      </c>
      <c r="H43" s="3">
        <f t="shared" si="3"/>
        <v>0.20984581497797444</v>
      </c>
      <c r="I43" s="3">
        <f t="shared" si="0"/>
        <v>2.1793632968658466E-2</v>
      </c>
      <c r="J43" s="3">
        <f t="shared" si="1"/>
        <v>0.180164993262626</v>
      </c>
      <c r="K43" s="4"/>
      <c r="L43" s="3">
        <f t="shared" si="4"/>
        <v>3.3384770048177645</v>
      </c>
      <c r="M43" s="3">
        <f t="shared" si="5"/>
        <v>1.1981511312576334</v>
      </c>
      <c r="N43" s="3">
        <f t="shared" si="2"/>
        <v>1.1981511312576334</v>
      </c>
      <c r="O43" s="4"/>
      <c r="P43" s="3">
        <f t="shared" si="6"/>
        <v>1.952340201301065E-2</v>
      </c>
      <c r="Q43" s="3">
        <f t="shared" si="7"/>
        <v>0.18093594159671117</v>
      </c>
      <c r="R43" s="4"/>
      <c r="S43" s="3">
        <f t="shared" si="8"/>
        <v>3.2171246771061086</v>
      </c>
      <c r="T43" s="3">
        <f t="shared" si="9"/>
        <v>1.2433462801317694</v>
      </c>
      <c r="U43" s="3">
        <f t="shared" si="10"/>
        <v>1.2433462801317694</v>
      </c>
      <c r="V43" s="3">
        <f t="shared" si="11"/>
        <v>-8.7615090116344163E-2</v>
      </c>
      <c r="W43" s="4"/>
      <c r="X43" s="3">
        <f t="shared" si="12"/>
        <v>-0.80237217354188894</v>
      </c>
      <c r="Y43" s="14">
        <f t="shared" si="13"/>
        <v>-0.19247188312838659</v>
      </c>
      <c r="Z43" s="15">
        <f t="shared" si="14"/>
        <v>8.5684384733270724E-2</v>
      </c>
      <c r="AA43" s="15">
        <f t="shared" si="15"/>
        <v>2.1793632968658466E-2</v>
      </c>
      <c r="AB43" s="15">
        <f t="shared" si="16"/>
        <v>0.180164993262626</v>
      </c>
      <c r="AC43" s="15">
        <f t="shared" si="17"/>
        <v>-0.21269735025328917</v>
      </c>
      <c r="AH43" s="15">
        <f t="shared" si="18"/>
        <v>9.2017193529296271E-3</v>
      </c>
      <c r="AI43" s="15">
        <f t="shared" si="19"/>
        <v>0.16626009977592826</v>
      </c>
      <c r="AJ43" s="18">
        <f t="shared" si="20"/>
        <v>0.86347401814938229</v>
      </c>
      <c r="AK43">
        <f t="shared" si="21"/>
        <v>1</v>
      </c>
      <c r="AL43">
        <f t="shared" si="22"/>
        <v>1</v>
      </c>
      <c r="AM43">
        <f t="shared" si="23"/>
        <v>0</v>
      </c>
      <c r="AN43">
        <f t="shared" si="24"/>
        <v>0</v>
      </c>
      <c r="AO43">
        <f t="shared" si="25"/>
        <v>0</v>
      </c>
    </row>
    <row r="44" spans="1:41" ht="18.75" x14ac:dyDescent="0.3">
      <c r="A44" s="1" t="s">
        <v>30</v>
      </c>
      <c r="B44" s="10">
        <f>SUM(X2:X253)</f>
        <v>-252.41587626919053</v>
      </c>
      <c r="C44" s="9"/>
      <c r="D44" s="5">
        <v>41969</v>
      </c>
      <c r="E44" s="6">
        <v>47.75</v>
      </c>
      <c r="F44" s="6">
        <v>27.24</v>
      </c>
      <c r="G44" s="3">
        <f t="shared" si="3"/>
        <v>0.24779439646092369</v>
      </c>
      <c r="H44" s="3">
        <f t="shared" si="3"/>
        <v>0.15071982281284463</v>
      </c>
      <c r="I44" s="3">
        <f t="shared" si="0"/>
        <v>0.21680059487460634</v>
      </c>
      <c r="J44" s="3">
        <f t="shared" si="1"/>
        <v>0.12103900109749618</v>
      </c>
      <c r="K44" s="4"/>
      <c r="L44" s="3">
        <f t="shared" si="4"/>
        <v>3.1669202081566969</v>
      </c>
      <c r="M44" s="3">
        <f t="shared" si="5"/>
        <v>1.2630567671700816</v>
      </c>
      <c r="N44" s="3">
        <f t="shared" si="2"/>
        <v>1.2630567671700816</v>
      </c>
      <c r="O44" s="4"/>
      <c r="P44" s="3">
        <f t="shared" si="6"/>
        <v>0.21453036391895852</v>
      </c>
      <c r="Q44" s="3">
        <f t="shared" si="7"/>
        <v>0.12180994943158135</v>
      </c>
      <c r="R44" s="4"/>
      <c r="S44" s="3">
        <f t="shared" si="8"/>
        <v>3.1061510880187488</v>
      </c>
      <c r="T44" s="3">
        <f t="shared" si="9"/>
        <v>1.2877673643851595</v>
      </c>
      <c r="U44" s="3">
        <f t="shared" si="10"/>
        <v>1.2877673643851595</v>
      </c>
      <c r="V44" s="3">
        <f t="shared" si="11"/>
        <v>-0.12271835669208642</v>
      </c>
      <c r="W44" s="4"/>
      <c r="X44" s="3">
        <f t="shared" si="12"/>
        <v>-0.81004975477921226</v>
      </c>
      <c r="Y44" s="14">
        <f t="shared" si="13"/>
        <v>-6.1917910752214506E-2</v>
      </c>
      <c r="Z44" s="15">
        <f t="shared" si="14"/>
        <v>0.29670496051973616</v>
      </c>
      <c r="AA44" s="15">
        <f t="shared" si="15"/>
        <v>0.21680059487460634</v>
      </c>
      <c r="AB44" s="15">
        <f t="shared" si="16"/>
        <v>0.12103900109749618</v>
      </c>
      <c r="AC44" s="15">
        <f t="shared" si="17"/>
        <v>-7.3924896230737475E-2</v>
      </c>
      <c r="AH44" s="15">
        <f t="shared" si="18"/>
        <v>0.20420868125887751</v>
      </c>
      <c r="AI44" s="15">
        <f t="shared" si="19"/>
        <v>0.10713410761079845</v>
      </c>
      <c r="AJ44" s="18">
        <f t="shared" si="20"/>
        <v>0.42044133078287282</v>
      </c>
      <c r="AK44">
        <f t="shared" si="21"/>
        <v>1</v>
      </c>
      <c r="AL44">
        <f t="shared" si="22"/>
        <v>1</v>
      </c>
      <c r="AM44">
        <f t="shared" si="23"/>
        <v>0</v>
      </c>
      <c r="AN44">
        <f t="shared" si="24"/>
        <v>0</v>
      </c>
      <c r="AO44">
        <f t="shared" si="25"/>
        <v>0</v>
      </c>
    </row>
    <row r="45" spans="1:41" x14ac:dyDescent="0.25">
      <c r="A45" s="7"/>
      <c r="B45" s="9"/>
      <c r="C45" s="9"/>
      <c r="D45" s="5">
        <v>41968</v>
      </c>
      <c r="E45" s="6">
        <v>47.47</v>
      </c>
      <c r="F45" s="6">
        <v>27.09</v>
      </c>
      <c r="G45" s="3">
        <f t="shared" si="3"/>
        <v>-0.10592981718848898</v>
      </c>
      <c r="H45" s="3">
        <f t="shared" si="3"/>
        <v>0.24330726256983082</v>
      </c>
      <c r="I45" s="3">
        <f t="shared" si="0"/>
        <v>-0.13692361877480633</v>
      </c>
      <c r="J45" s="3">
        <f t="shared" si="1"/>
        <v>0.21362644085448237</v>
      </c>
      <c r="K45" s="4"/>
      <c r="L45" s="3">
        <f t="shared" si="4"/>
        <v>3.7245836234236638</v>
      </c>
      <c r="M45" s="3">
        <f t="shared" si="5"/>
        <v>1.0739455478578224</v>
      </c>
      <c r="N45" s="3">
        <f t="shared" si="2"/>
        <v>1.0739455478578224</v>
      </c>
      <c r="O45" s="4"/>
      <c r="P45" s="3">
        <f t="shared" si="6"/>
        <v>-0.13919384973045415</v>
      </c>
      <c r="Q45" s="3">
        <f t="shared" si="7"/>
        <v>0.21439738918856754</v>
      </c>
      <c r="R45" s="4"/>
      <c r="S45" s="3">
        <f t="shared" si="8"/>
        <v>3.4663617652151051</v>
      </c>
      <c r="T45" s="3">
        <f t="shared" si="9"/>
        <v>1.1539476462439517</v>
      </c>
      <c r="U45" s="3">
        <f t="shared" si="10"/>
        <v>1.1539476462439517</v>
      </c>
      <c r="V45" s="3">
        <f t="shared" si="11"/>
        <v>-1.2997907435918776E-2</v>
      </c>
      <c r="W45" s="4"/>
      <c r="X45" s="3">
        <f t="shared" si="12"/>
        <v>-0.80912335621711429</v>
      </c>
      <c r="Y45" s="14">
        <f t="shared" si="13"/>
        <v>-0.47502688975147789</v>
      </c>
      <c r="Z45" s="15">
        <f t="shared" si="14"/>
        <v>-0.35207701616079945</v>
      </c>
      <c r="AA45" s="15">
        <f t="shared" si="15"/>
        <v>-0.13692361877480633</v>
      </c>
      <c r="AB45" s="15">
        <f t="shared" si="16"/>
        <v>0.21362644085448237</v>
      </c>
      <c r="AC45" s="15">
        <f t="shared" si="17"/>
        <v>-0.50845513231329365</v>
      </c>
      <c r="AH45" s="15">
        <f t="shared" si="18"/>
        <v>-0.14951553239053517</v>
      </c>
      <c r="AI45" s="15">
        <f t="shared" si="19"/>
        <v>0.19972154736778464</v>
      </c>
      <c r="AJ45" s="18">
        <f t="shared" si="20"/>
        <v>1.9542692890370259</v>
      </c>
      <c r="AK45">
        <f t="shared" si="21"/>
        <v>1</v>
      </c>
      <c r="AL45">
        <f t="shared" si="22"/>
        <v>1</v>
      </c>
      <c r="AM45">
        <f t="shared" si="23"/>
        <v>0</v>
      </c>
      <c r="AN45">
        <f t="shared" si="24"/>
        <v>0</v>
      </c>
      <c r="AO45">
        <f t="shared" si="25"/>
        <v>0</v>
      </c>
    </row>
    <row r="46" spans="1:41" x14ac:dyDescent="0.25">
      <c r="A46" s="7" t="s">
        <v>40</v>
      </c>
      <c r="B46" s="8">
        <f>B35-B14</f>
        <v>0.10988179579407872</v>
      </c>
      <c r="C46" s="8">
        <f>C35-C14</f>
        <v>2.8416571934435336E-2</v>
      </c>
      <c r="D46" s="5">
        <v>41967</v>
      </c>
      <c r="E46" s="6">
        <v>47.59</v>
      </c>
      <c r="F46" s="6">
        <v>26.85</v>
      </c>
      <c r="G46" s="3">
        <f t="shared" si="3"/>
        <v>-0.34147353063775998</v>
      </c>
      <c r="H46" s="3">
        <f t="shared" si="3"/>
        <v>0.15292134831460891</v>
      </c>
      <c r="I46" s="3">
        <f t="shared" si="0"/>
        <v>-0.37246733222407735</v>
      </c>
      <c r="J46" s="3">
        <f t="shared" si="1"/>
        <v>0.12324052659926046</v>
      </c>
      <c r="K46" s="4"/>
      <c r="L46" s="3">
        <f t="shared" si="4"/>
        <v>3.861214869915663</v>
      </c>
      <c r="M46" s="3">
        <f t="shared" si="5"/>
        <v>1.0359433843388697</v>
      </c>
      <c r="N46" s="3">
        <f t="shared" si="2"/>
        <v>1.0359433843388697</v>
      </c>
      <c r="O46" s="4"/>
      <c r="P46" s="3">
        <f t="shared" si="6"/>
        <v>-0.37473756317972517</v>
      </c>
      <c r="Q46" s="3">
        <f t="shared" si="7"/>
        <v>0.12401147493334563</v>
      </c>
      <c r="R46" s="4"/>
      <c r="S46" s="3">
        <f t="shared" si="8"/>
        <v>3.5601534881633721</v>
      </c>
      <c r="T46" s="3">
        <f t="shared" si="9"/>
        <v>1.1235470642765848</v>
      </c>
      <c r="U46" s="3">
        <f t="shared" si="10"/>
        <v>1.1235470642765848</v>
      </c>
      <c r="V46" s="3">
        <f t="shared" si="11"/>
        <v>1.3700190819587732E-2</v>
      </c>
      <c r="W46" s="4"/>
      <c r="X46" s="3">
        <f t="shared" si="12"/>
        <v>-0.81882226027423921</v>
      </c>
      <c r="Y46" s="14">
        <f t="shared" si="13"/>
        <v>-0.57776497210135624</v>
      </c>
      <c r="Z46" s="15">
        <f t="shared" si="14"/>
        <v>-0.4961842180020164</v>
      </c>
      <c r="AA46" s="15">
        <f t="shared" si="15"/>
        <v>-0.37246733222407735</v>
      </c>
      <c r="AB46" s="15">
        <f t="shared" si="16"/>
        <v>0.12324052659926046</v>
      </c>
      <c r="AC46" s="15">
        <f t="shared" si="17"/>
        <v>-0.60808789468076652</v>
      </c>
      <c r="AH46" s="15">
        <f t="shared" si="18"/>
        <v>-0.38505924583980616</v>
      </c>
      <c r="AI46" s="15">
        <f t="shared" si="19"/>
        <v>0.10933563311256272</v>
      </c>
      <c r="AJ46" s="18">
        <f t="shared" si="20"/>
        <v>2.4345838160169926</v>
      </c>
      <c r="AK46">
        <f t="shared" si="21"/>
        <v>1</v>
      </c>
      <c r="AL46">
        <f t="shared" si="22"/>
        <v>0.82149564407769016</v>
      </c>
      <c r="AM46">
        <f t="shared" si="23"/>
        <v>0</v>
      </c>
      <c r="AN46">
        <f t="shared" si="24"/>
        <v>0</v>
      </c>
      <c r="AO46">
        <f t="shared" si="25"/>
        <v>0</v>
      </c>
    </row>
    <row r="47" spans="1:41" x14ac:dyDescent="0.25">
      <c r="A47" s="7"/>
      <c r="B47" s="8">
        <f>B36-B15</f>
        <v>2.8416571934435336E-2</v>
      </c>
      <c r="C47" s="8">
        <f>C36-C15</f>
        <v>3.3620712598033863E-2</v>
      </c>
      <c r="D47" s="5">
        <v>41964</v>
      </c>
      <c r="E47" s="6">
        <v>47.98</v>
      </c>
      <c r="F47" s="6">
        <v>26.7</v>
      </c>
      <c r="G47" s="3">
        <f t="shared" si="3"/>
        <v>-0.62109240246407083</v>
      </c>
      <c r="H47" s="3">
        <f t="shared" si="3"/>
        <v>7.155088246338745E-2</v>
      </c>
      <c r="I47" s="3">
        <f t="shared" si="0"/>
        <v>-0.6520862040503882</v>
      </c>
      <c r="J47" s="3">
        <f t="shared" si="1"/>
        <v>4.1870060748038999E-2</v>
      </c>
      <c r="K47" s="4"/>
      <c r="L47" s="3">
        <f t="shared" si="4"/>
        <v>4.521148055029534</v>
      </c>
      <c r="M47" s="3">
        <f t="shared" si="5"/>
        <v>0.88473103541703646</v>
      </c>
      <c r="N47" s="3">
        <f t="shared" si="2"/>
        <v>0.88473103541703646</v>
      </c>
      <c r="O47" s="4"/>
      <c r="P47" s="3">
        <f t="shared" si="6"/>
        <v>-0.65435643500603602</v>
      </c>
      <c r="Q47" s="3">
        <f t="shared" si="7"/>
        <v>4.2641009082124176E-2</v>
      </c>
      <c r="R47" s="4"/>
      <c r="S47" s="3">
        <f t="shared" si="8"/>
        <v>3.9915480471120182</v>
      </c>
      <c r="T47" s="3">
        <f t="shared" si="9"/>
        <v>1.0021174623950968</v>
      </c>
      <c r="U47" s="3">
        <f t="shared" si="10"/>
        <v>1.0021174623950968</v>
      </c>
      <c r="V47" s="3">
        <f t="shared" si="11"/>
        <v>0.12807648040791264</v>
      </c>
      <c r="W47" s="4"/>
      <c r="X47" s="3">
        <f t="shared" si="12"/>
        <v>-0.90081471383670153</v>
      </c>
      <c r="Y47" s="14">
        <f t="shared" si="13"/>
        <v>-1.0274181374112468</v>
      </c>
      <c r="Z47" s="15">
        <f t="shared" si="14"/>
        <v>-1.1273205738865644</v>
      </c>
      <c r="AA47" s="15">
        <f t="shared" si="15"/>
        <v>-0.6520862040503882</v>
      </c>
      <c r="AB47" s="15">
        <f t="shared" si="16"/>
        <v>4.1870060748038999E-2</v>
      </c>
      <c r="AC47" s="15">
        <f t="shared" si="17"/>
        <v>-1.0571910695358804</v>
      </c>
      <c r="AH47" s="15">
        <f t="shared" si="18"/>
        <v>-0.66467811766611706</v>
      </c>
      <c r="AI47" s="15">
        <f t="shared" si="19"/>
        <v>2.796516726134126E-2</v>
      </c>
      <c r="AJ47" s="18">
        <f t="shared" si="20"/>
        <v>4.4746652992717051</v>
      </c>
      <c r="AK47">
        <f t="shared" si="21"/>
        <v>1</v>
      </c>
      <c r="AL47">
        <f t="shared" si="22"/>
        <v>0.44696080404617511</v>
      </c>
      <c r="AM47">
        <f t="shared" si="23"/>
        <v>1</v>
      </c>
      <c r="AN47">
        <f t="shared" si="24"/>
        <v>-0.66467811766611706</v>
      </c>
      <c r="AO47">
        <f t="shared" si="25"/>
        <v>2.796516726134126E-2</v>
      </c>
    </row>
    <row r="48" spans="1:41" x14ac:dyDescent="0.25">
      <c r="A48" s="7" t="s">
        <v>41</v>
      </c>
      <c r="B48" s="8">
        <f>B29-B16</f>
        <v>2.2702309556478159E-3</v>
      </c>
      <c r="C48" s="9"/>
      <c r="D48" s="5">
        <v>41963</v>
      </c>
      <c r="E48" s="6">
        <v>48.7</v>
      </c>
      <c r="F48" s="6">
        <v>26.63</v>
      </c>
      <c r="G48" s="3">
        <f t="shared" si="3"/>
        <v>0.41818332642057582</v>
      </c>
      <c r="H48" s="3">
        <f t="shared" si="3"/>
        <v>0.22674744414994205</v>
      </c>
      <c r="I48" s="3">
        <f t="shared" si="0"/>
        <v>0.38718952483425845</v>
      </c>
      <c r="J48" s="3">
        <f t="shared" si="1"/>
        <v>0.19706662243459361</v>
      </c>
      <c r="K48" s="4"/>
      <c r="L48" s="3">
        <f t="shared" si="4"/>
        <v>3.4858821357638425</v>
      </c>
      <c r="M48" s="3">
        <f t="shared" si="5"/>
        <v>1.1474857279199147</v>
      </c>
      <c r="N48" s="3">
        <f t="shared" si="2"/>
        <v>1.1474857279199147</v>
      </c>
      <c r="O48" s="4"/>
      <c r="P48" s="3">
        <f t="shared" si="6"/>
        <v>0.38491929387861068</v>
      </c>
      <c r="Q48" s="3">
        <f t="shared" si="7"/>
        <v>0.19783757076867878</v>
      </c>
      <c r="R48" s="4"/>
      <c r="S48" s="3">
        <f t="shared" si="8"/>
        <v>3.309569528216266</v>
      </c>
      <c r="T48" s="3">
        <f t="shared" si="9"/>
        <v>1.2086163973584354</v>
      </c>
      <c r="U48" s="3">
        <f t="shared" si="10"/>
        <v>1.2086163973584354</v>
      </c>
      <c r="V48" s="3">
        <f t="shared" si="11"/>
        <v>-5.9285172381295936E-2</v>
      </c>
      <c r="W48" s="4"/>
      <c r="X48" s="3">
        <f t="shared" si="12"/>
        <v>-0.80131796510234543</v>
      </c>
      <c r="Y48" s="14">
        <f t="shared" si="13"/>
        <v>-0.29894771512391777</v>
      </c>
      <c r="Z48" s="15">
        <f t="shared" si="14"/>
        <v>-8.7141292761235389E-2</v>
      </c>
      <c r="AA48" s="15">
        <f t="shared" si="15"/>
        <v>0.38718952483425845</v>
      </c>
      <c r="AB48" s="15">
        <f t="shared" si="16"/>
        <v>0.19706662243459361</v>
      </c>
      <c r="AC48" s="15">
        <f t="shared" si="17"/>
        <v>-0.32820495498134361</v>
      </c>
      <c r="AH48" s="15">
        <f t="shared" si="18"/>
        <v>0.37459761121852964</v>
      </c>
      <c r="AI48" s="15">
        <f t="shared" si="19"/>
        <v>0.18316172894789587</v>
      </c>
      <c r="AJ48" s="18">
        <f t="shared" si="20"/>
        <v>1.3299301397872996</v>
      </c>
      <c r="AK48">
        <f t="shared" si="21"/>
        <v>1</v>
      </c>
      <c r="AL48">
        <f t="shared" si="22"/>
        <v>1</v>
      </c>
      <c r="AM48">
        <f t="shared" si="23"/>
        <v>0</v>
      </c>
      <c r="AN48">
        <f t="shared" si="24"/>
        <v>0</v>
      </c>
      <c r="AO48">
        <f t="shared" si="25"/>
        <v>0</v>
      </c>
    </row>
    <row r="49" spans="1:41" x14ac:dyDescent="0.25">
      <c r="A49" s="7"/>
      <c r="B49" s="8">
        <f>B30-B17</f>
        <v>-7.7094833408518013E-4</v>
      </c>
      <c r="C49" s="9"/>
      <c r="D49" s="5">
        <v>41962</v>
      </c>
      <c r="E49" s="6">
        <v>48.22</v>
      </c>
      <c r="F49" s="6">
        <v>26.41</v>
      </c>
      <c r="G49" s="3">
        <f t="shared" si="3"/>
        <v>-0.44819860484202156</v>
      </c>
      <c r="H49" s="3">
        <f t="shared" si="3"/>
        <v>-1.0302800908404335E-2</v>
      </c>
      <c r="I49" s="3">
        <f t="shared" si="0"/>
        <v>-0.47919240642833894</v>
      </c>
      <c r="J49" s="3">
        <f t="shared" si="1"/>
        <v>-3.9983622623752782E-2</v>
      </c>
      <c r="K49" s="4"/>
      <c r="L49" s="3">
        <f t="shared" si="4"/>
        <v>3.6421890654936391</v>
      </c>
      <c r="M49" s="3">
        <f t="shared" si="5"/>
        <v>1.0982406261927167</v>
      </c>
      <c r="N49" s="3">
        <f t="shared" si="2"/>
        <v>1.0982406261927167</v>
      </c>
      <c r="O49" s="4"/>
      <c r="P49" s="3">
        <f t="shared" si="6"/>
        <v>-0.48146263738398676</v>
      </c>
      <c r="Q49" s="3">
        <f t="shared" si="7"/>
        <v>-3.9212674289667605E-2</v>
      </c>
      <c r="R49" s="4"/>
      <c r="S49" s="3">
        <f t="shared" si="8"/>
        <v>3.4207826298456157</v>
      </c>
      <c r="T49" s="3">
        <f t="shared" si="9"/>
        <v>1.1693230563967536</v>
      </c>
      <c r="U49" s="3">
        <f t="shared" si="10"/>
        <v>1.1693230563967536</v>
      </c>
      <c r="V49" s="3">
        <f t="shared" si="11"/>
        <v>-2.623407870938621E-2</v>
      </c>
      <c r="W49" s="4"/>
      <c r="X49" s="3">
        <f t="shared" si="12"/>
        <v>-0.80570906127764497</v>
      </c>
      <c r="Y49" s="14">
        <f t="shared" si="13"/>
        <v>-0.42441023529685734</v>
      </c>
      <c r="Z49" s="15">
        <f t="shared" si="14"/>
        <v>-0.2625963196295481</v>
      </c>
      <c r="AA49" s="15">
        <f t="shared" si="15"/>
        <v>-0.47919240642833894</v>
      </c>
      <c r="AB49" s="15">
        <f t="shared" si="16"/>
        <v>-3.9983622623752782E-2</v>
      </c>
      <c r="AC49" s="15">
        <f t="shared" si="17"/>
        <v>-0.44715033909985102</v>
      </c>
      <c r="AH49" s="15">
        <f t="shared" si="18"/>
        <v>-0.49178432004406775</v>
      </c>
      <c r="AI49" s="15">
        <f t="shared" si="19"/>
        <v>-5.3888516110450521E-2</v>
      </c>
      <c r="AJ49" s="18">
        <f t="shared" si="20"/>
        <v>1.9583820200878606</v>
      </c>
      <c r="AK49">
        <f t="shared" si="21"/>
        <v>1</v>
      </c>
      <c r="AL49">
        <f t="shared" si="22"/>
        <v>1</v>
      </c>
      <c r="AM49">
        <f t="shared" si="23"/>
        <v>0</v>
      </c>
      <c r="AN49">
        <f t="shared" si="24"/>
        <v>0</v>
      </c>
      <c r="AO49">
        <f t="shared" si="25"/>
        <v>0</v>
      </c>
    </row>
    <row r="50" spans="1:41" x14ac:dyDescent="0.25">
      <c r="A50" s="7" t="s">
        <v>42</v>
      </c>
      <c r="B50" s="8">
        <f>B43-B13</f>
        <v>3.1825895919149829</v>
      </c>
      <c r="C50" s="9"/>
      <c r="D50" s="5">
        <v>41961</v>
      </c>
      <c r="E50" s="6">
        <v>48.74</v>
      </c>
      <c r="F50" s="6">
        <v>26.42</v>
      </c>
      <c r="G50" s="3">
        <f t="shared" si="3"/>
        <v>-0.35043947100711814</v>
      </c>
      <c r="H50" s="3">
        <f t="shared" si="3"/>
        <v>0.1345987067326006</v>
      </c>
      <c r="I50" s="3">
        <f t="shared" si="0"/>
        <v>-0.38143327259343551</v>
      </c>
      <c r="J50" s="3">
        <f t="shared" si="1"/>
        <v>0.10491788501725216</v>
      </c>
      <c r="K50" s="4"/>
      <c r="L50" s="3">
        <f t="shared" si="4"/>
        <v>3.8041615500758992</v>
      </c>
      <c r="M50" s="3">
        <f t="shared" si="5"/>
        <v>1.0514800560770594</v>
      </c>
      <c r="N50" s="3">
        <f t="shared" si="2"/>
        <v>1.0514800560770594</v>
      </c>
      <c r="O50" s="4"/>
      <c r="P50" s="3">
        <f t="shared" si="6"/>
        <v>-0.38370350354908334</v>
      </c>
      <c r="Q50" s="3">
        <f t="shared" si="7"/>
        <v>0.10568883335133733</v>
      </c>
      <c r="R50" s="4"/>
      <c r="S50" s="3">
        <f t="shared" si="8"/>
        <v>3.5238437389232171</v>
      </c>
      <c r="T50" s="3">
        <f t="shared" si="9"/>
        <v>1.1351241134268577</v>
      </c>
      <c r="U50" s="3">
        <f t="shared" si="10"/>
        <v>1.1351241134268577</v>
      </c>
      <c r="V50" s="3">
        <f t="shared" si="11"/>
        <v>3.4488885725103557E-3</v>
      </c>
      <c r="W50" s="4"/>
      <c r="X50" s="3">
        <f t="shared" si="12"/>
        <v>-0.81465785288455983</v>
      </c>
      <c r="Y50" s="14">
        <f t="shared" si="13"/>
        <v>-0.53821543883991396</v>
      </c>
      <c r="Z50" s="15">
        <f t="shared" si="14"/>
        <v>-0.43663919863468514</v>
      </c>
      <c r="AA50" s="15">
        <f t="shared" si="15"/>
        <v>-0.38143327259343551</v>
      </c>
      <c r="AB50" s="15">
        <f t="shared" si="16"/>
        <v>0.10491788501725216</v>
      </c>
      <c r="AC50" s="15">
        <f t="shared" si="17"/>
        <v>-0.56678544676570775</v>
      </c>
      <c r="AH50" s="15">
        <f t="shared" si="18"/>
        <v>-0.39402518620916432</v>
      </c>
      <c r="AI50" s="15">
        <f t="shared" si="19"/>
        <v>9.1012991530554421E-2</v>
      </c>
      <c r="AJ50" s="18">
        <f t="shared" si="20"/>
        <v>2.2855773511188291</v>
      </c>
      <c r="AK50">
        <f t="shared" si="21"/>
        <v>1</v>
      </c>
      <c r="AL50">
        <f t="shared" si="22"/>
        <v>0.87505242341545164</v>
      </c>
      <c r="AM50">
        <f t="shared" si="23"/>
        <v>0</v>
      </c>
      <c r="AN50">
        <f t="shared" si="24"/>
        <v>0</v>
      </c>
      <c r="AO50">
        <f t="shared" si="25"/>
        <v>0</v>
      </c>
    </row>
    <row r="51" spans="1:41" x14ac:dyDescent="0.25">
      <c r="D51" s="5">
        <v>41960</v>
      </c>
      <c r="E51" s="6">
        <v>49.15</v>
      </c>
      <c r="F51" s="6">
        <v>26.29</v>
      </c>
      <c r="G51" s="3">
        <f t="shared" si="3"/>
        <v>-0.10231784047087865</v>
      </c>
      <c r="H51" s="3">
        <f t="shared" si="3"/>
        <v>0.15619739862279883</v>
      </c>
      <c r="I51" s="3">
        <f t="shared" si="0"/>
        <v>-0.13331164205719601</v>
      </c>
      <c r="J51" s="3">
        <f t="shared" si="1"/>
        <v>0.12651657690745038</v>
      </c>
      <c r="K51" s="4"/>
      <c r="L51" s="3">
        <f t="shared" si="4"/>
        <v>3.3260654408343053</v>
      </c>
      <c r="M51" s="3">
        <f t="shared" si="5"/>
        <v>1.20262215856963</v>
      </c>
      <c r="N51" s="3">
        <f t="shared" si="2"/>
        <v>1.20262215856963</v>
      </c>
      <c r="O51" s="4"/>
      <c r="P51" s="3">
        <f t="shared" si="6"/>
        <v>-0.1355818730128438</v>
      </c>
      <c r="Q51" s="3">
        <f t="shared" si="7"/>
        <v>0.12728752524153555</v>
      </c>
      <c r="R51" s="4"/>
      <c r="S51" s="3">
        <f t="shared" si="8"/>
        <v>3.2119092605202004</v>
      </c>
      <c r="T51" s="3">
        <f t="shared" si="9"/>
        <v>1.2453651942060655</v>
      </c>
      <c r="U51" s="3">
        <f t="shared" si="10"/>
        <v>1.2453651942060655</v>
      </c>
      <c r="V51" s="3">
        <f t="shared" si="11"/>
        <v>-8.9237533448249806E-2</v>
      </c>
      <c r="W51" s="4"/>
      <c r="X51" s="3">
        <f t="shared" si="12"/>
        <v>-0.80257004426626999</v>
      </c>
      <c r="Y51" s="14">
        <f t="shared" si="13"/>
        <v>-0.18640403530062305</v>
      </c>
      <c r="Z51" s="15">
        <f t="shared" si="14"/>
        <v>0.10058302593310675</v>
      </c>
      <c r="AA51" s="15">
        <f t="shared" si="15"/>
        <v>-0.13331164205719601</v>
      </c>
      <c r="AB51" s="15">
        <f t="shared" si="16"/>
        <v>0.12651657690745038</v>
      </c>
      <c r="AC51" s="15">
        <f t="shared" si="17"/>
        <v>-0.20281759135019012</v>
      </c>
      <c r="AH51" s="15">
        <f t="shared" si="18"/>
        <v>-0.14590355567292485</v>
      </c>
      <c r="AI51" s="15">
        <f t="shared" si="19"/>
        <v>0.11261168342075265</v>
      </c>
      <c r="AJ51" s="18">
        <f t="shared" si="20"/>
        <v>0.86275632407651071</v>
      </c>
      <c r="AK51">
        <f t="shared" si="21"/>
        <v>1</v>
      </c>
      <c r="AL51">
        <f t="shared" si="22"/>
        <v>1</v>
      </c>
      <c r="AM51">
        <f t="shared" si="23"/>
        <v>0</v>
      </c>
      <c r="AN51">
        <f t="shared" si="24"/>
        <v>0</v>
      </c>
      <c r="AO51">
        <f t="shared" si="25"/>
        <v>0</v>
      </c>
    </row>
    <row r="52" spans="1:41" ht="18.75" x14ac:dyDescent="0.3">
      <c r="A52" s="1" t="s">
        <v>57</v>
      </c>
      <c r="B52" s="10">
        <f>SUM(Y2:Y253)</f>
        <v>-209.15020083949261</v>
      </c>
      <c r="D52" s="5">
        <v>41957</v>
      </c>
      <c r="E52" s="6">
        <v>49.27</v>
      </c>
      <c r="F52" s="6">
        <v>26.14</v>
      </c>
      <c r="G52" s="3">
        <f t="shared" si="3"/>
        <v>-2.5563894523321487E-2</v>
      </c>
      <c r="H52" s="3">
        <f t="shared" si="3"/>
        <v>0.68316862745098095</v>
      </c>
      <c r="I52" s="3">
        <f t="shared" si="0"/>
        <v>-5.6557696109638837E-2</v>
      </c>
      <c r="J52" s="3">
        <f t="shared" si="1"/>
        <v>0.65348780573563248</v>
      </c>
      <c r="K52" s="4"/>
      <c r="L52" s="3">
        <f t="shared" si="4"/>
        <v>7.9307876577008862</v>
      </c>
      <c r="M52" s="3">
        <f t="shared" si="5"/>
        <v>0.50436352259613881</v>
      </c>
      <c r="N52" s="3">
        <f t="shared" si="2"/>
        <v>0.50436352259613881</v>
      </c>
      <c r="O52" s="4"/>
      <c r="P52" s="3">
        <f t="shared" si="6"/>
        <v>-5.8827927065286653E-2</v>
      </c>
      <c r="Q52" s="3">
        <f t="shared" si="7"/>
        <v>0.65425875406971767</v>
      </c>
      <c r="R52" s="4"/>
      <c r="S52" s="3">
        <f t="shared" si="8"/>
        <v>6.1345186889121006</v>
      </c>
      <c r="T52" s="3">
        <f t="shared" si="9"/>
        <v>0.65204789533526752</v>
      </c>
      <c r="U52" s="3">
        <f t="shared" si="10"/>
        <v>0.65204789533526752</v>
      </c>
      <c r="V52" s="3">
        <f t="shared" si="11"/>
        <v>0.55784370351918966</v>
      </c>
      <c r="W52" s="4"/>
      <c r="X52" s="3">
        <f t="shared" si="12"/>
        <v>-1.6964973704270001</v>
      </c>
      <c r="Y52" s="14">
        <f t="shared" si="13"/>
        <v>-2.8438565199306058</v>
      </c>
      <c r="Z52" s="15">
        <f t="shared" si="14"/>
        <v>-3.3752661777407722</v>
      </c>
      <c r="AA52" s="15">
        <f t="shared" si="15"/>
        <v>-5.6557696109638837E-2</v>
      </c>
      <c r="AB52" s="15">
        <f t="shared" si="16"/>
        <v>0.65348780573563248</v>
      </c>
      <c r="AC52" s="15">
        <f t="shared" si="17"/>
        <v>-2.8068786636822827</v>
      </c>
      <c r="AH52" s="15">
        <f t="shared" si="18"/>
        <v>-6.9149609725367683E-2</v>
      </c>
      <c r="AI52" s="15">
        <f t="shared" si="19"/>
        <v>0.63958291224893471</v>
      </c>
      <c r="AJ52" s="18">
        <f t="shared" si="20"/>
        <v>13.851572294266253</v>
      </c>
      <c r="AK52">
        <f t="shared" si="21"/>
        <v>0.80606806999554059</v>
      </c>
      <c r="AL52">
        <f t="shared" si="22"/>
        <v>0.14438794077029682</v>
      </c>
      <c r="AM52">
        <f t="shared" si="23"/>
        <v>1</v>
      </c>
      <c r="AN52">
        <f t="shared" si="24"/>
        <v>-6.9149609725367683E-2</v>
      </c>
      <c r="AO52">
        <f t="shared" si="25"/>
        <v>0.63958291224893471</v>
      </c>
    </row>
    <row r="53" spans="1:41" ht="18.75" x14ac:dyDescent="0.3">
      <c r="A53" s="13" t="s">
        <v>50</v>
      </c>
      <c r="D53" s="5">
        <v>41956</v>
      </c>
      <c r="E53" s="6">
        <v>49.3</v>
      </c>
      <c r="F53" s="6">
        <v>25.5</v>
      </c>
      <c r="G53" s="3">
        <f t="shared" si="3"/>
        <v>0.71937899731792709</v>
      </c>
      <c r="H53" s="3">
        <f t="shared" si="3"/>
        <v>0.61119486768243636</v>
      </c>
      <c r="I53" s="3">
        <f t="shared" si="0"/>
        <v>0.68838519573160972</v>
      </c>
      <c r="J53" s="3">
        <f t="shared" si="1"/>
        <v>0.58151404596708789</v>
      </c>
      <c r="K53" s="4"/>
      <c r="L53" s="3">
        <f t="shared" si="4"/>
        <v>6.0401638709841246</v>
      </c>
      <c r="M53" s="3">
        <f t="shared" si="5"/>
        <v>0.66223368859498832</v>
      </c>
      <c r="N53" s="3">
        <f t="shared" si="2"/>
        <v>0.66223368859498832</v>
      </c>
      <c r="O53" s="4"/>
      <c r="P53" s="3">
        <f t="shared" si="6"/>
        <v>0.6861149647759619</v>
      </c>
      <c r="Q53" s="3">
        <f t="shared" si="7"/>
        <v>0.58228499430117309</v>
      </c>
      <c r="R53" s="4"/>
      <c r="S53" s="3">
        <f t="shared" si="8"/>
        <v>4.928304131812256</v>
      </c>
      <c r="T53" s="3">
        <f t="shared" si="9"/>
        <v>0.81163822138734443</v>
      </c>
      <c r="U53" s="3">
        <f t="shared" si="10"/>
        <v>0.81163822138734443</v>
      </c>
      <c r="V53" s="3">
        <f t="shared" si="11"/>
        <v>0.33889720467028539</v>
      </c>
      <c r="W53" s="4"/>
      <c r="X53" s="3">
        <f t="shared" si="12"/>
        <v>-1.2050291843080689</v>
      </c>
      <c r="Y53" s="14">
        <f t="shared" si="13"/>
        <v>-1.8947103936135896</v>
      </c>
      <c r="Z53" s="15">
        <f t="shared" si="14"/>
        <v>-2.2859813197575951</v>
      </c>
      <c r="AA53" s="15">
        <f t="shared" si="15"/>
        <v>0.68838519573160972</v>
      </c>
      <c r="AB53" s="15">
        <f t="shared" si="16"/>
        <v>0.58151404596708789</v>
      </c>
      <c r="AC53" s="15">
        <f t="shared" si="17"/>
        <v>-1.931976817655638</v>
      </c>
      <c r="AH53" s="15">
        <f t="shared" si="18"/>
        <v>0.67579328211588086</v>
      </c>
      <c r="AI53" s="15">
        <f t="shared" si="19"/>
        <v>0.56760915248039012</v>
      </c>
      <c r="AJ53" s="18">
        <f t="shared" si="20"/>
        <v>8.6655369124209667</v>
      </c>
      <c r="AK53">
        <f t="shared" si="21"/>
        <v>1</v>
      </c>
      <c r="AL53">
        <f t="shared" si="22"/>
        <v>0.23079931690478975</v>
      </c>
      <c r="AM53">
        <f t="shared" si="23"/>
        <v>1</v>
      </c>
      <c r="AN53">
        <f t="shared" si="24"/>
        <v>0.67579328211588086</v>
      </c>
      <c r="AO53">
        <f t="shared" si="25"/>
        <v>0.56760915248039012</v>
      </c>
    </row>
    <row r="54" spans="1:41" ht="18.75" x14ac:dyDescent="0.3">
      <c r="A54" s="13" t="s">
        <v>51</v>
      </c>
      <c r="D54" s="5">
        <v>41955</v>
      </c>
      <c r="E54" s="6">
        <v>48.47</v>
      </c>
      <c r="F54" s="6">
        <v>24.94</v>
      </c>
      <c r="G54" s="3">
        <f t="shared" si="3"/>
        <v>-7.786037891268828E-2</v>
      </c>
      <c r="H54" s="3">
        <f t="shared" si="3"/>
        <v>-4.3586869495595544E-2</v>
      </c>
      <c r="I54" s="3">
        <f t="shared" si="0"/>
        <v>-0.10885418049900564</v>
      </c>
      <c r="J54" s="3">
        <f t="shared" si="1"/>
        <v>-7.3267691210943994E-2</v>
      </c>
      <c r="K54" s="4"/>
      <c r="L54" s="3">
        <f t="shared" si="4"/>
        <v>3.0531006823893185</v>
      </c>
      <c r="M54" s="3">
        <f t="shared" si="5"/>
        <v>1.3101434954544799</v>
      </c>
      <c r="N54" s="3">
        <f t="shared" si="2"/>
        <v>1.3101434954544799</v>
      </c>
      <c r="O54" s="4"/>
      <c r="P54" s="3">
        <f t="shared" si="6"/>
        <v>-0.11112441145465345</v>
      </c>
      <c r="Q54" s="3">
        <f t="shared" si="7"/>
        <v>-7.2496742876858811E-2</v>
      </c>
      <c r="R54" s="4"/>
      <c r="S54" s="3">
        <f t="shared" si="8"/>
        <v>3.0337051717855248</v>
      </c>
      <c r="T54" s="3">
        <f t="shared" si="9"/>
        <v>1.3185196891251467</v>
      </c>
      <c r="U54" s="3">
        <f t="shared" si="10"/>
        <v>1.3185196891251467</v>
      </c>
      <c r="V54" s="3">
        <f t="shared" si="11"/>
        <v>-0.14631770524964338</v>
      </c>
      <c r="W54" s="4"/>
      <c r="X54" s="3">
        <f t="shared" si="12"/>
        <v>-0.81929182854365523</v>
      </c>
      <c r="Y54" s="14">
        <f t="shared" si="13"/>
        <v>2.498516923496643E-2</v>
      </c>
      <c r="Z54" s="15">
        <f t="shared" si="14"/>
        <v>0.44311248482423299</v>
      </c>
      <c r="AA54" s="15">
        <f t="shared" si="15"/>
        <v>-0.10885418049900564</v>
      </c>
      <c r="AB54" s="15">
        <f t="shared" si="16"/>
        <v>-7.3267691210943994E-2</v>
      </c>
      <c r="AC54" s="15">
        <f t="shared" si="17"/>
        <v>2.0874064174530367E-2</v>
      </c>
      <c r="AH54" s="15">
        <f t="shared" si="18"/>
        <v>-0.12144609411473448</v>
      </c>
      <c r="AI54" s="15">
        <f t="shared" si="19"/>
        <v>-8.7172584697641733E-2</v>
      </c>
      <c r="AJ54" s="18">
        <f t="shared" si="20"/>
        <v>0.21789603930362267</v>
      </c>
      <c r="AK54">
        <f t="shared" si="21"/>
        <v>1</v>
      </c>
      <c r="AL54">
        <f t="shared" si="22"/>
        <v>1</v>
      </c>
      <c r="AM54">
        <f t="shared" si="23"/>
        <v>0</v>
      </c>
      <c r="AN54">
        <f t="shared" si="24"/>
        <v>0</v>
      </c>
      <c r="AO54">
        <f t="shared" si="25"/>
        <v>0</v>
      </c>
    </row>
    <row r="55" spans="1:41" ht="18.75" x14ac:dyDescent="0.3">
      <c r="A55" s="13" t="s">
        <v>52</v>
      </c>
      <c r="D55" s="5">
        <v>41954</v>
      </c>
      <c r="E55" s="6">
        <v>48.56</v>
      </c>
      <c r="F55" s="6">
        <v>24.98</v>
      </c>
      <c r="G55" s="3">
        <f t="shared" si="3"/>
        <v>-1.7295183202960741E-2</v>
      </c>
      <c r="H55" s="3">
        <f t="shared" si="3"/>
        <v>0</v>
      </c>
      <c r="I55" s="3">
        <f t="shared" si="0"/>
        <v>-4.8288984789278094E-2</v>
      </c>
      <c r="J55" s="3">
        <f t="shared" si="1"/>
        <v>-2.968082171534845E-2</v>
      </c>
      <c r="K55" s="4"/>
      <c r="L55" s="3">
        <f t="shared" si="4"/>
        <v>3.009260944506122</v>
      </c>
      <c r="M55" s="3">
        <f t="shared" si="5"/>
        <v>1.3292300248347115</v>
      </c>
      <c r="N55" s="3">
        <f t="shared" si="2"/>
        <v>1.3292300248347115</v>
      </c>
      <c r="O55" s="4"/>
      <c r="P55" s="3">
        <f t="shared" si="6"/>
        <v>-5.0559215744925903E-2</v>
      </c>
      <c r="Q55" s="3">
        <f t="shared" si="7"/>
        <v>-2.890987338126327E-2</v>
      </c>
      <c r="R55" s="4"/>
      <c r="S55" s="3">
        <f t="shared" si="8"/>
        <v>3.0059412807315775</v>
      </c>
      <c r="T55" s="3">
        <f t="shared" si="9"/>
        <v>1.3306979832375472</v>
      </c>
      <c r="U55" s="3">
        <f t="shared" si="10"/>
        <v>1.3306979832375472</v>
      </c>
      <c r="V55" s="3">
        <f t="shared" si="11"/>
        <v>-0.15551151082870973</v>
      </c>
      <c r="W55" s="4"/>
      <c r="X55" s="3">
        <f t="shared" si="12"/>
        <v>-0.82380068963628017</v>
      </c>
      <c r="Y55" s="14">
        <f t="shared" si="13"/>
        <v>5.8650880632043489E-2</v>
      </c>
      <c r="Z55" s="15">
        <f t="shared" si="14"/>
        <v>0.50096518948426627</v>
      </c>
      <c r="AA55" s="15">
        <f t="shared" si="15"/>
        <v>-4.8288984789278094E-2</v>
      </c>
      <c r="AB55" s="15">
        <f t="shared" si="16"/>
        <v>-2.968082171534845E-2</v>
      </c>
      <c r="AC55" s="15">
        <f t="shared" si="17"/>
        <v>5.7995511051806226E-2</v>
      </c>
      <c r="AH55" s="15">
        <f t="shared" si="18"/>
        <v>-6.0880898405006934E-2</v>
      </c>
      <c r="AI55" s="15">
        <f t="shared" si="19"/>
        <v>-4.3585715202046189E-2</v>
      </c>
      <c r="AJ55" s="18">
        <f t="shared" si="20"/>
        <v>5.4546674127286345E-2</v>
      </c>
      <c r="AK55">
        <f t="shared" si="21"/>
        <v>1</v>
      </c>
      <c r="AL55">
        <f t="shared" si="22"/>
        <v>1</v>
      </c>
      <c r="AM55">
        <f t="shared" si="23"/>
        <v>0</v>
      </c>
      <c r="AN55">
        <f t="shared" si="24"/>
        <v>0</v>
      </c>
      <c r="AO55">
        <f t="shared" si="25"/>
        <v>0</v>
      </c>
    </row>
    <row r="56" spans="1:41" ht="18.75" x14ac:dyDescent="0.3">
      <c r="A56" s="13" t="s">
        <v>53</v>
      </c>
      <c r="D56" s="5">
        <v>41953</v>
      </c>
      <c r="E56" s="6">
        <v>48.58</v>
      </c>
      <c r="F56" s="6">
        <v>24.98</v>
      </c>
      <c r="G56" s="3">
        <f t="shared" si="3"/>
        <v>0.18238784370477643</v>
      </c>
      <c r="H56" s="3">
        <f t="shared" si="3"/>
        <v>-0.19473767885532561</v>
      </c>
      <c r="I56" s="3">
        <f t="shared" si="0"/>
        <v>0.15139404211845908</v>
      </c>
      <c r="J56" s="3">
        <f t="shared" si="1"/>
        <v>-0.22441850057067406</v>
      </c>
      <c r="K56" s="4"/>
      <c r="L56" s="3">
        <f t="shared" si="4"/>
        <v>3.8160533903534408</v>
      </c>
      <c r="M56" s="3">
        <f t="shared" si="5"/>
        <v>1.0482033637452652</v>
      </c>
      <c r="N56" s="3">
        <f t="shared" si="2"/>
        <v>1.0482033637452652</v>
      </c>
      <c r="O56" s="4"/>
      <c r="P56" s="3">
        <f t="shared" si="6"/>
        <v>0.14912381116281126</v>
      </c>
      <c r="Q56" s="3">
        <f t="shared" si="7"/>
        <v>-0.22364755223658889</v>
      </c>
      <c r="R56" s="4"/>
      <c r="S56" s="3">
        <f t="shared" si="8"/>
        <v>3.5129432276044352</v>
      </c>
      <c r="T56" s="3">
        <f t="shared" si="9"/>
        <v>1.1386463545918735</v>
      </c>
      <c r="U56" s="3">
        <f t="shared" si="10"/>
        <v>1.1386463545918735</v>
      </c>
      <c r="V56" s="3">
        <f t="shared" si="11"/>
        <v>3.5073534743190748E-4</v>
      </c>
      <c r="W56" s="4"/>
      <c r="X56" s="3">
        <f t="shared" si="12"/>
        <v>-0.81350681241114442</v>
      </c>
      <c r="Y56" s="14">
        <f t="shared" si="13"/>
        <v>-0.52628751056055889</v>
      </c>
      <c r="Z56" s="15">
        <f t="shared" si="14"/>
        <v>-0.44912372829603397</v>
      </c>
      <c r="AA56" s="15">
        <f t="shared" si="15"/>
        <v>0.15139404211845908</v>
      </c>
      <c r="AB56" s="15">
        <f t="shared" si="16"/>
        <v>-0.22441850057067406</v>
      </c>
      <c r="AC56" s="15">
        <f t="shared" si="17"/>
        <v>-0.57542952527710478</v>
      </c>
      <c r="AH56" s="15">
        <f t="shared" si="18"/>
        <v>0.13880212850273024</v>
      </c>
      <c r="AI56" s="15">
        <f t="shared" si="19"/>
        <v>-0.2383233940573718</v>
      </c>
      <c r="AJ56" s="18">
        <f t="shared" si="20"/>
        <v>2.517520549397307</v>
      </c>
      <c r="AK56">
        <f t="shared" si="21"/>
        <v>1</v>
      </c>
      <c r="AL56">
        <f t="shared" si="22"/>
        <v>0.79443244285684134</v>
      </c>
      <c r="AM56">
        <f t="shared" si="23"/>
        <v>0</v>
      </c>
      <c r="AN56">
        <f t="shared" si="24"/>
        <v>0</v>
      </c>
      <c r="AO56">
        <f t="shared" si="25"/>
        <v>0</v>
      </c>
    </row>
    <row r="57" spans="1:41" ht="18.75" x14ac:dyDescent="0.3">
      <c r="A57" s="13" t="s">
        <v>54</v>
      </c>
      <c r="D57" s="5">
        <v>41950</v>
      </c>
      <c r="E57" s="6">
        <v>48.37</v>
      </c>
      <c r="F57" s="6">
        <v>25.16</v>
      </c>
      <c r="G57" s="3">
        <f t="shared" si="3"/>
        <v>-1.7363091547843174E-2</v>
      </c>
      <c r="H57" s="3">
        <f t="shared" si="3"/>
        <v>7.5942606616182046E-2</v>
      </c>
      <c r="I57" s="3">
        <f t="shared" si="0"/>
        <v>-4.8356893134160528E-2</v>
      </c>
      <c r="J57" s="3">
        <f t="shared" si="1"/>
        <v>4.6261784900833595E-2</v>
      </c>
      <c r="K57" s="4"/>
      <c r="L57" s="3">
        <f t="shared" si="4"/>
        <v>3.0433774490987053</v>
      </c>
      <c r="M57" s="3">
        <f t="shared" si="5"/>
        <v>1.3143292499537309</v>
      </c>
      <c r="N57" s="3">
        <f t="shared" si="2"/>
        <v>1.3143292499537309</v>
      </c>
      <c r="O57" s="4"/>
      <c r="P57" s="3">
        <f t="shared" si="6"/>
        <v>-5.0627124089808337E-2</v>
      </c>
      <c r="Q57" s="3">
        <f t="shared" si="7"/>
        <v>4.7032733234918772E-2</v>
      </c>
      <c r="R57" s="4"/>
      <c r="S57" s="3">
        <f t="shared" si="8"/>
        <v>3.0291295743880591</v>
      </c>
      <c r="T57" s="3">
        <f t="shared" si="9"/>
        <v>1.3205113554140631</v>
      </c>
      <c r="U57" s="3">
        <f t="shared" si="10"/>
        <v>1.3205113554140631</v>
      </c>
      <c r="V57" s="3">
        <f t="shared" si="11"/>
        <v>-0.14782707542737583</v>
      </c>
      <c r="W57" s="4"/>
      <c r="X57" s="3">
        <f t="shared" si="12"/>
        <v>-0.81999682199131163</v>
      </c>
      <c r="Y57" s="14">
        <f t="shared" si="13"/>
        <v>3.0519477898371158E-2</v>
      </c>
      <c r="Z57" s="15">
        <f t="shared" si="14"/>
        <v>0.45587164357155913</v>
      </c>
      <c r="AA57" s="15">
        <f t="shared" si="15"/>
        <v>-4.8356893134160528E-2</v>
      </c>
      <c r="AB57" s="15">
        <f t="shared" si="16"/>
        <v>4.6261784900833595E-2</v>
      </c>
      <c r="AC57" s="15">
        <f t="shared" si="17"/>
        <v>2.9077565862382193E-2</v>
      </c>
      <c r="AH57" s="15">
        <f t="shared" si="18"/>
        <v>-6.0948806749889367E-2</v>
      </c>
      <c r="AI57" s="15">
        <f t="shared" si="19"/>
        <v>3.2356891414135856E-2</v>
      </c>
      <c r="AJ57" s="18">
        <f t="shared" si="20"/>
        <v>9.9237204560144204E-2</v>
      </c>
      <c r="AK57">
        <f t="shared" si="21"/>
        <v>1</v>
      </c>
      <c r="AL57">
        <f t="shared" si="22"/>
        <v>1</v>
      </c>
      <c r="AM57">
        <f t="shared" si="23"/>
        <v>0</v>
      </c>
      <c r="AN57">
        <f t="shared" si="24"/>
        <v>0</v>
      </c>
      <c r="AO57">
        <f t="shared" si="25"/>
        <v>0</v>
      </c>
    </row>
    <row r="58" spans="1:41" ht="18.75" x14ac:dyDescent="0.3">
      <c r="A58" s="13"/>
      <c r="D58" s="5">
        <v>41949</v>
      </c>
      <c r="E58" s="6">
        <v>48.39</v>
      </c>
      <c r="F58" s="6">
        <v>25.09</v>
      </c>
      <c r="G58" s="3">
        <f t="shared" si="3"/>
        <v>0.73314339781328697</v>
      </c>
      <c r="H58" s="3">
        <f t="shared" si="3"/>
        <v>0.1198638911128897</v>
      </c>
      <c r="I58" s="3">
        <f t="shared" si="0"/>
        <v>0.7021495962269696</v>
      </c>
      <c r="J58" s="3">
        <f t="shared" si="1"/>
        <v>9.0183069397541255E-2</v>
      </c>
      <c r="K58" s="4"/>
      <c r="L58" s="3">
        <f t="shared" si="4"/>
        <v>4.3087151382484254</v>
      </c>
      <c r="M58" s="3">
        <f t="shared" si="5"/>
        <v>0.9283509983038879</v>
      </c>
      <c r="N58" s="3">
        <f t="shared" si="2"/>
        <v>0.9283509983038879</v>
      </c>
      <c r="O58" s="4"/>
      <c r="P58" s="3">
        <f t="shared" si="6"/>
        <v>0.69987936527132177</v>
      </c>
      <c r="Q58" s="3">
        <f t="shared" si="7"/>
        <v>9.0954017731626424E-2</v>
      </c>
      <c r="R58" s="4"/>
      <c r="S58" s="3">
        <f t="shared" si="8"/>
        <v>3.8404446708363311</v>
      </c>
      <c r="T58" s="3">
        <f t="shared" si="9"/>
        <v>1.0415460559490166</v>
      </c>
      <c r="U58" s="3">
        <f t="shared" si="10"/>
        <v>1.0415460559490166</v>
      </c>
      <c r="V58" s="3">
        <f t="shared" si="11"/>
        <v>8.948508281703127E-2</v>
      </c>
      <c r="W58" s="4"/>
      <c r="X58" s="3">
        <f t="shared" si="12"/>
        <v>-0.86606712971411515</v>
      </c>
      <c r="Y58" s="14">
        <f t="shared" si="13"/>
        <v>-0.87400033111659492</v>
      </c>
      <c r="Z58" s="15">
        <f t="shared" si="14"/>
        <v>-0.93481574119710875</v>
      </c>
      <c r="AA58" s="15">
        <f t="shared" si="15"/>
        <v>0.7021495962269696</v>
      </c>
      <c r="AB58" s="15">
        <f t="shared" si="16"/>
        <v>9.0183069397541255E-2</v>
      </c>
      <c r="AC58" s="15">
        <f t="shared" si="17"/>
        <v>-0.91805261816294548</v>
      </c>
      <c r="AH58" s="15">
        <f t="shared" si="18"/>
        <v>0.68955768261124073</v>
      </c>
      <c r="AI58" s="15">
        <f t="shared" si="19"/>
        <v>7.6278175910843515E-2</v>
      </c>
      <c r="AJ58" s="18">
        <f t="shared" si="20"/>
        <v>3.8460461719683741</v>
      </c>
      <c r="AK58">
        <f t="shared" si="21"/>
        <v>1</v>
      </c>
      <c r="AL58">
        <f t="shared" si="22"/>
        <v>0.52001455795743001</v>
      </c>
      <c r="AM58">
        <f t="shared" si="23"/>
        <v>1</v>
      </c>
      <c r="AN58">
        <f t="shared" si="24"/>
        <v>0.68955768261124073</v>
      </c>
      <c r="AO58">
        <f t="shared" si="25"/>
        <v>7.6278175910843515E-2</v>
      </c>
    </row>
    <row r="59" spans="1:41" ht="18.75" x14ac:dyDescent="0.3">
      <c r="A59" s="13" t="s">
        <v>55</v>
      </c>
      <c r="D59" s="5">
        <v>41948</v>
      </c>
      <c r="E59" s="6">
        <v>47.56</v>
      </c>
      <c r="F59" s="6">
        <v>24.98</v>
      </c>
      <c r="G59" s="3">
        <f t="shared" si="3"/>
        <v>0.25773006134969251</v>
      </c>
      <c r="H59" s="3">
        <f t="shared" si="3"/>
        <v>0.29742614326183681</v>
      </c>
      <c r="I59" s="3">
        <f t="shared" si="0"/>
        <v>0.22673625976337516</v>
      </c>
      <c r="J59" s="3">
        <f t="shared" si="1"/>
        <v>0.26774532154648834</v>
      </c>
      <c r="K59" s="4"/>
      <c r="L59" s="3">
        <f t="shared" si="4"/>
        <v>3.6214305391095829</v>
      </c>
      <c r="M59" s="3">
        <f t="shared" si="5"/>
        <v>1.1045358890090704</v>
      </c>
      <c r="N59" s="3">
        <f t="shared" si="2"/>
        <v>1.1045358890090704</v>
      </c>
      <c r="O59" s="4"/>
      <c r="P59" s="3">
        <f t="shared" si="6"/>
        <v>0.22446602880772734</v>
      </c>
      <c r="Q59" s="3">
        <f t="shared" si="7"/>
        <v>0.26851626988057353</v>
      </c>
      <c r="R59" s="4"/>
      <c r="S59" s="3">
        <f t="shared" si="8"/>
        <v>3.3948969061716299</v>
      </c>
      <c r="T59" s="3">
        <f t="shared" si="9"/>
        <v>1.1782390189016771</v>
      </c>
      <c r="U59" s="3">
        <f t="shared" si="10"/>
        <v>1.1782390189016771</v>
      </c>
      <c r="V59" s="3">
        <f t="shared" si="11"/>
        <v>-3.3830025748526893E-2</v>
      </c>
      <c r="W59" s="4"/>
      <c r="X59" s="3">
        <f t="shared" si="12"/>
        <v>-0.80417369437713715</v>
      </c>
      <c r="Y59" s="14">
        <f t="shared" si="13"/>
        <v>-0.3954582169816459</v>
      </c>
      <c r="Z59" s="15">
        <f t="shared" si="14"/>
        <v>-0.23973324691470699</v>
      </c>
      <c r="AA59" s="15">
        <f t="shared" si="15"/>
        <v>0.22673625976337516</v>
      </c>
      <c r="AB59" s="15">
        <f t="shared" si="16"/>
        <v>0.26774532154648834</v>
      </c>
      <c r="AC59" s="15">
        <f t="shared" si="17"/>
        <v>-0.4315558548454182</v>
      </c>
      <c r="AH59" s="15">
        <f t="shared" si="18"/>
        <v>0.21414434614764633</v>
      </c>
      <c r="AI59" s="15">
        <f t="shared" si="19"/>
        <v>0.25384042805979062</v>
      </c>
      <c r="AJ59" s="18">
        <f t="shared" si="20"/>
        <v>1.6526001512432367</v>
      </c>
      <c r="AK59">
        <f t="shared" si="21"/>
        <v>1</v>
      </c>
      <c r="AL59">
        <f t="shared" si="22"/>
        <v>1</v>
      </c>
      <c r="AM59">
        <f t="shared" si="23"/>
        <v>0</v>
      </c>
      <c r="AN59">
        <f t="shared" si="24"/>
        <v>0</v>
      </c>
      <c r="AO59">
        <f t="shared" si="25"/>
        <v>0</v>
      </c>
    </row>
    <row r="60" spans="1:41" ht="18.75" x14ac:dyDescent="0.3">
      <c r="A60" s="13"/>
      <c r="D60" s="5">
        <v>41947</v>
      </c>
      <c r="E60" s="6">
        <v>47.27</v>
      </c>
      <c r="F60" s="6">
        <v>24.71</v>
      </c>
      <c r="G60" s="3">
        <f t="shared" si="3"/>
        <v>0.11585277895630267</v>
      </c>
      <c r="H60" s="3">
        <f t="shared" si="3"/>
        <v>0.33453502662843171</v>
      </c>
      <c r="I60" s="3">
        <f t="shared" si="0"/>
        <v>8.4858977369985322E-2</v>
      </c>
      <c r="J60" s="3">
        <f t="shared" si="1"/>
        <v>0.30485420491308324</v>
      </c>
      <c r="K60" s="4"/>
      <c r="L60" s="3">
        <f t="shared" si="4"/>
        <v>3.9072280912248738</v>
      </c>
      <c r="M60" s="3">
        <f t="shared" si="5"/>
        <v>1.0237436634384054</v>
      </c>
      <c r="N60" s="3">
        <f t="shared" si="2"/>
        <v>1.0237436634384054</v>
      </c>
      <c r="O60" s="4"/>
      <c r="P60" s="3">
        <f t="shared" si="6"/>
        <v>8.2588746414337499E-2</v>
      </c>
      <c r="Q60" s="3">
        <f t="shared" si="7"/>
        <v>0.30562515324716844</v>
      </c>
      <c r="R60" s="4"/>
      <c r="S60" s="3">
        <f t="shared" si="8"/>
        <v>3.5777986734128628</v>
      </c>
      <c r="T60" s="3">
        <f t="shared" si="9"/>
        <v>1.1180058927643346</v>
      </c>
      <c r="U60" s="3">
        <f t="shared" si="10"/>
        <v>1.1180058927643346</v>
      </c>
      <c r="V60" s="3">
        <f t="shared" si="11"/>
        <v>1.8644255821431699E-2</v>
      </c>
      <c r="W60" s="4"/>
      <c r="X60" s="3">
        <f t="shared" si="12"/>
        <v>-0.82102483326222275</v>
      </c>
      <c r="Y60" s="14">
        <f t="shared" si="13"/>
        <v>-0.59688403211722707</v>
      </c>
      <c r="Z60" s="15">
        <f t="shared" si="14"/>
        <v>-0.5435695276661423</v>
      </c>
      <c r="AA60" s="15">
        <f t="shared" si="15"/>
        <v>8.4858977369985322E-2</v>
      </c>
      <c r="AB60" s="15">
        <f t="shared" si="16"/>
        <v>0.30485420491308324</v>
      </c>
      <c r="AC60" s="15">
        <f t="shared" si="17"/>
        <v>-0.64109021226246177</v>
      </c>
      <c r="AH60" s="15">
        <f t="shared" si="18"/>
        <v>7.2267063754256483E-2</v>
      </c>
      <c r="AI60" s="15">
        <f t="shared" si="19"/>
        <v>0.29094931142638553</v>
      </c>
      <c r="AJ60" s="18">
        <f t="shared" si="20"/>
        <v>2.4368103423852734</v>
      </c>
      <c r="AK60">
        <f t="shared" si="21"/>
        <v>1</v>
      </c>
      <c r="AL60">
        <f t="shared" si="22"/>
        <v>0.82074503920657971</v>
      </c>
      <c r="AM60">
        <f t="shared" si="23"/>
        <v>0</v>
      </c>
      <c r="AN60">
        <f t="shared" si="24"/>
        <v>0</v>
      </c>
      <c r="AO60">
        <f t="shared" si="25"/>
        <v>0</v>
      </c>
    </row>
    <row r="61" spans="1:41" ht="18.75" x14ac:dyDescent="0.3">
      <c r="A61" s="13" t="s">
        <v>65</v>
      </c>
      <c r="B61" s="16">
        <f>KURT(G2:G253)</f>
        <v>9.592223010859426</v>
      </c>
      <c r="D61" s="5">
        <v>41946</v>
      </c>
      <c r="E61" s="6">
        <v>47.14</v>
      </c>
      <c r="F61" s="6">
        <v>24.41</v>
      </c>
      <c r="G61" s="3">
        <f t="shared" si="3"/>
        <v>0.43216459494213816</v>
      </c>
      <c r="H61" s="3">
        <f t="shared" si="3"/>
        <v>0.12321810699588412</v>
      </c>
      <c r="I61" s="3">
        <f t="shared" si="0"/>
        <v>0.40117079335582079</v>
      </c>
      <c r="J61" s="3">
        <f t="shared" si="1"/>
        <v>9.3537285280535676E-2</v>
      </c>
      <c r="K61" s="4"/>
      <c r="L61" s="3">
        <f t="shared" si="4"/>
        <v>3.40184196728503</v>
      </c>
      <c r="M61" s="3">
        <f t="shared" si="5"/>
        <v>1.1758335744186121</v>
      </c>
      <c r="N61" s="3">
        <f t="shared" si="2"/>
        <v>1.1758335744186121</v>
      </c>
      <c r="O61" s="4"/>
      <c r="P61" s="3">
        <f t="shared" si="6"/>
        <v>0.39890056240017302</v>
      </c>
      <c r="Q61" s="3">
        <f t="shared" si="7"/>
        <v>9.4308233614620846E-2</v>
      </c>
      <c r="R61" s="4"/>
      <c r="S61" s="3">
        <f t="shared" si="8"/>
        <v>3.2566386132635885</v>
      </c>
      <c r="T61" s="3">
        <f t="shared" si="9"/>
        <v>1.228260324528752</v>
      </c>
      <c r="U61" s="3">
        <f t="shared" si="10"/>
        <v>1.228260324528752</v>
      </c>
      <c r="V61" s="3">
        <f t="shared" si="11"/>
        <v>-7.5407629631651929E-2</v>
      </c>
      <c r="W61" s="4"/>
      <c r="X61" s="3">
        <f t="shared" si="12"/>
        <v>-0.80136361436962567</v>
      </c>
      <c r="Y61" s="14">
        <f t="shared" si="13"/>
        <v>-0.23823145746465746</v>
      </c>
      <c r="Z61" s="15">
        <f t="shared" si="14"/>
        <v>1.0475090349123528E-2</v>
      </c>
      <c r="AA61" s="15">
        <f t="shared" si="15"/>
        <v>0.40117079335582079</v>
      </c>
      <c r="AB61" s="15">
        <f t="shared" si="16"/>
        <v>9.3537285280535676E-2</v>
      </c>
      <c r="AC61" s="15">
        <f t="shared" si="17"/>
        <v>-0.26275981433915663</v>
      </c>
      <c r="AH61" s="15">
        <f t="shared" si="18"/>
        <v>0.38857887974009198</v>
      </c>
      <c r="AI61" s="15">
        <f t="shared" si="19"/>
        <v>7.9632391793837937E-2</v>
      </c>
      <c r="AJ61" s="18">
        <f t="shared" si="20"/>
        <v>1.1438978528739323</v>
      </c>
      <c r="AK61">
        <f t="shared" si="21"/>
        <v>1</v>
      </c>
      <c r="AL61">
        <f t="shared" si="22"/>
        <v>1</v>
      </c>
      <c r="AM61">
        <f t="shared" si="23"/>
        <v>0</v>
      </c>
      <c r="AN61">
        <f t="shared" si="24"/>
        <v>0</v>
      </c>
      <c r="AO61">
        <f t="shared" si="25"/>
        <v>0</v>
      </c>
    </row>
    <row r="62" spans="1:41" ht="18.75" x14ac:dyDescent="0.3">
      <c r="A62" s="13" t="s">
        <v>66</v>
      </c>
      <c r="B62" s="16">
        <f>KURT(H2:H253)</f>
        <v>4.1774418858590998</v>
      </c>
      <c r="D62" s="5">
        <v>41943</v>
      </c>
      <c r="E62" s="6">
        <v>46.66</v>
      </c>
      <c r="F62" s="6">
        <v>24.3</v>
      </c>
      <c r="G62" s="3">
        <f t="shared" si="3"/>
        <v>0.82624562937062807</v>
      </c>
      <c r="H62" s="3">
        <f t="shared" si="3"/>
        <v>0.43242474916387846</v>
      </c>
      <c r="I62" s="3">
        <f t="shared" si="0"/>
        <v>0.79525182778431069</v>
      </c>
      <c r="J62" s="3">
        <f t="shared" si="1"/>
        <v>0.40274392744852999</v>
      </c>
      <c r="K62" s="4"/>
      <c r="L62" s="3">
        <f t="shared" si="4"/>
        <v>5.0405619597747302</v>
      </c>
      <c r="M62" s="3">
        <f t="shared" si="5"/>
        <v>0.79356231148853207</v>
      </c>
      <c r="N62" s="3">
        <f t="shared" si="2"/>
        <v>0.79356231148853207</v>
      </c>
      <c r="O62" s="4"/>
      <c r="P62" s="3">
        <f t="shared" si="6"/>
        <v>0.79298159682866287</v>
      </c>
      <c r="Q62" s="3">
        <f t="shared" si="7"/>
        <v>0.40351487578261519</v>
      </c>
      <c r="R62" s="4"/>
      <c r="S62" s="3">
        <f t="shared" si="8"/>
        <v>4.3022040388488847</v>
      </c>
      <c r="T62" s="3">
        <f t="shared" si="9"/>
        <v>0.92975599573614276</v>
      </c>
      <c r="U62" s="3">
        <f t="shared" si="10"/>
        <v>0.92975599573614276</v>
      </c>
      <c r="V62" s="3">
        <f t="shared" si="11"/>
        <v>0.20302604235578059</v>
      </c>
      <c r="W62" s="4"/>
      <c r="X62" s="3">
        <f t="shared" si="12"/>
        <v>-0.98764698421600161</v>
      </c>
      <c r="Y62" s="14">
        <f t="shared" si="13"/>
        <v>-1.3301964472296206</v>
      </c>
      <c r="Z62" s="15">
        <f t="shared" si="14"/>
        <v>-1.5623270529039981</v>
      </c>
      <c r="AA62" s="15">
        <f t="shared" si="15"/>
        <v>0.79525182778431069</v>
      </c>
      <c r="AB62" s="15">
        <f t="shared" si="16"/>
        <v>0.40274392744852999</v>
      </c>
      <c r="AC62" s="15">
        <f t="shared" si="17"/>
        <v>-1.3783045922972332</v>
      </c>
      <c r="AH62" s="15">
        <f t="shared" si="18"/>
        <v>0.78265991416858183</v>
      </c>
      <c r="AI62" s="15">
        <f t="shared" si="19"/>
        <v>0.38883903396183228</v>
      </c>
      <c r="AJ62" s="18">
        <f t="shared" si="20"/>
        <v>5.8828930021799533</v>
      </c>
      <c r="AK62">
        <f t="shared" si="21"/>
        <v>1</v>
      </c>
      <c r="AL62">
        <f t="shared" si="22"/>
        <v>0.33996878733964464</v>
      </c>
      <c r="AM62">
        <f t="shared" si="23"/>
        <v>1</v>
      </c>
      <c r="AN62">
        <f t="shared" si="24"/>
        <v>0.78265991416858183</v>
      </c>
      <c r="AO62">
        <f t="shared" si="25"/>
        <v>0.38883903396183228</v>
      </c>
    </row>
    <row r="63" spans="1:41" ht="18.75" x14ac:dyDescent="0.3">
      <c r="A63" s="13" t="s">
        <v>67</v>
      </c>
      <c r="B63" s="16">
        <f>(B61+B62)/2</f>
        <v>6.8848324483592629</v>
      </c>
      <c r="D63" s="5">
        <v>41942</v>
      </c>
      <c r="E63" s="6">
        <v>45.76</v>
      </c>
      <c r="F63" s="6">
        <v>23.92</v>
      </c>
      <c r="G63" s="3">
        <f t="shared" si="3"/>
        <v>-0.51685085257932251</v>
      </c>
      <c r="H63" s="3">
        <f t="shared" si="3"/>
        <v>-2.2740183792814887E-2</v>
      </c>
      <c r="I63" s="3">
        <f t="shared" si="0"/>
        <v>-0.54784465416563988</v>
      </c>
      <c r="J63" s="3">
        <f t="shared" si="1"/>
        <v>-5.2421005508163337E-2</v>
      </c>
      <c r="K63" s="4"/>
      <c r="L63" s="3">
        <f t="shared" si="4"/>
        <v>3.8264369191941898</v>
      </c>
      <c r="M63" s="3">
        <f t="shared" si="5"/>
        <v>1.0453589290692817</v>
      </c>
      <c r="N63" s="3">
        <f t="shared" si="2"/>
        <v>1.0453589290692817</v>
      </c>
      <c r="O63" s="4"/>
      <c r="P63" s="3">
        <f t="shared" si="6"/>
        <v>-0.5501148851212877</v>
      </c>
      <c r="Q63" s="3">
        <f t="shared" si="7"/>
        <v>-5.1650057174078154E-2</v>
      </c>
      <c r="R63" s="4"/>
      <c r="S63" s="3">
        <f t="shared" si="8"/>
        <v>3.540667887703945</v>
      </c>
      <c r="T63" s="3">
        <f t="shared" si="9"/>
        <v>1.1297303579054185</v>
      </c>
      <c r="U63" s="3">
        <f t="shared" si="10"/>
        <v>1.1297303579054185</v>
      </c>
      <c r="V63" s="3">
        <f t="shared" si="11"/>
        <v>8.2119044120254614E-3</v>
      </c>
      <c r="W63" s="4"/>
      <c r="X63" s="3">
        <f t="shared" si="12"/>
        <v>-0.81652495690485338</v>
      </c>
      <c r="Y63" s="14">
        <f t="shared" si="13"/>
        <v>-0.55657553074173738</v>
      </c>
      <c r="Z63" s="15">
        <f t="shared" si="14"/>
        <v>-0.45999299714359343</v>
      </c>
      <c r="AA63" s="15">
        <f t="shared" si="15"/>
        <v>-0.54784465416563988</v>
      </c>
      <c r="AB63" s="15">
        <f t="shared" si="16"/>
        <v>-5.2421005508163337E-2</v>
      </c>
      <c r="AC63" s="15">
        <f t="shared" si="17"/>
        <v>-0.58296197873444056</v>
      </c>
      <c r="AH63" s="15">
        <f t="shared" si="18"/>
        <v>-0.56043656778136874</v>
      </c>
      <c r="AI63" s="15">
        <f t="shared" si="19"/>
        <v>-6.6325898994861077E-2</v>
      </c>
      <c r="AJ63" s="18">
        <f t="shared" si="20"/>
        <v>2.5206041069807634</v>
      </c>
      <c r="AK63">
        <f t="shared" si="21"/>
        <v>1</v>
      </c>
      <c r="AL63">
        <f t="shared" si="22"/>
        <v>0.79346058131899388</v>
      </c>
      <c r="AM63">
        <f t="shared" si="23"/>
        <v>0</v>
      </c>
      <c r="AN63">
        <f t="shared" si="24"/>
        <v>0</v>
      </c>
      <c r="AO63">
        <f t="shared" si="25"/>
        <v>0</v>
      </c>
    </row>
    <row r="64" spans="1:41" ht="18.75" x14ac:dyDescent="0.3">
      <c r="A64" s="13" t="s">
        <v>68</v>
      </c>
      <c r="B64" s="17">
        <f>(4*B63-6)/(B63-3)</f>
        <v>5.5444681539699525</v>
      </c>
      <c r="D64" s="5">
        <v>41941</v>
      </c>
      <c r="E64" s="6">
        <v>46.33</v>
      </c>
      <c r="F64" s="6">
        <v>23.94</v>
      </c>
      <c r="G64" s="3">
        <f t="shared" si="3"/>
        <v>0.11820995670995256</v>
      </c>
      <c r="H64" s="3">
        <f t="shared" si="3"/>
        <v>3.4153074027604806E-2</v>
      </c>
      <c r="I64" s="3">
        <f t="shared" si="0"/>
        <v>8.7216155123635203E-2</v>
      </c>
      <c r="J64" s="3">
        <f t="shared" si="1"/>
        <v>4.4722523122563557E-3</v>
      </c>
      <c r="K64" s="4"/>
      <c r="L64" s="3">
        <f t="shared" si="4"/>
        <v>3.0222548146280035</v>
      </c>
      <c r="M64" s="3">
        <f t="shared" si="5"/>
        <v>1.3235151386440402</v>
      </c>
      <c r="N64" s="3">
        <f t="shared" si="2"/>
        <v>1.3235151386440402</v>
      </c>
      <c r="O64" s="4"/>
      <c r="P64" s="3">
        <f t="shared" si="6"/>
        <v>8.4945924167987394E-2</v>
      </c>
      <c r="Q64" s="3">
        <f t="shared" si="7"/>
        <v>5.2432006463415358E-3</v>
      </c>
      <c r="R64" s="4"/>
      <c r="S64" s="3">
        <f t="shared" si="8"/>
        <v>3.0134579646063373</v>
      </c>
      <c r="T64" s="3">
        <f t="shared" si="9"/>
        <v>1.327378728019702</v>
      </c>
      <c r="U64" s="3">
        <f t="shared" si="10"/>
        <v>1.327378728019702</v>
      </c>
      <c r="V64" s="3">
        <f t="shared" si="11"/>
        <v>-0.15301406165790787</v>
      </c>
      <c r="W64" s="4"/>
      <c r="X64" s="3">
        <f t="shared" si="12"/>
        <v>-0.82252498498000604</v>
      </c>
      <c r="Y64" s="14">
        <f t="shared" si="13"/>
        <v>4.9516332541873626E-2</v>
      </c>
      <c r="Z64" s="15">
        <f t="shared" si="14"/>
        <v>0.48373052974971176</v>
      </c>
      <c r="AA64" s="15">
        <f t="shared" si="15"/>
        <v>8.7216155123635203E-2</v>
      </c>
      <c r="AB64" s="15">
        <f t="shared" si="16"/>
        <v>4.4722523122563557E-3</v>
      </c>
      <c r="AC64" s="15">
        <f t="shared" si="17"/>
        <v>4.6956940320013685E-2</v>
      </c>
      <c r="AH64" s="15">
        <f t="shared" si="18"/>
        <v>7.4624241507906364E-2</v>
      </c>
      <c r="AI64" s="15">
        <f t="shared" si="19"/>
        <v>-9.4326411744413835E-3</v>
      </c>
      <c r="AJ64" s="18">
        <f t="shared" si="20"/>
        <v>6.6245168469756463E-2</v>
      </c>
      <c r="AK64">
        <f t="shared" si="21"/>
        <v>1</v>
      </c>
      <c r="AL64">
        <f t="shared" si="22"/>
        <v>1</v>
      </c>
      <c r="AM64">
        <f t="shared" si="23"/>
        <v>0</v>
      </c>
      <c r="AN64">
        <f t="shared" si="24"/>
        <v>0</v>
      </c>
      <c r="AO64">
        <f t="shared" si="25"/>
        <v>0</v>
      </c>
    </row>
    <row r="65" spans="1:41" x14ac:dyDescent="0.25">
      <c r="D65" s="5">
        <v>41940</v>
      </c>
      <c r="E65" s="6">
        <v>46.2</v>
      </c>
      <c r="F65" s="6">
        <v>23.91</v>
      </c>
      <c r="G65" s="3">
        <f t="shared" si="3"/>
        <v>0.53410346339325354</v>
      </c>
      <c r="H65" s="3">
        <f t="shared" si="3"/>
        <v>0.35755084745762561</v>
      </c>
      <c r="I65" s="3">
        <f t="shared" si="0"/>
        <v>0.50310966180693617</v>
      </c>
      <c r="J65" s="3">
        <f t="shared" si="1"/>
        <v>0.32787002574227714</v>
      </c>
      <c r="K65" s="4"/>
      <c r="L65" s="3">
        <f t="shared" si="4"/>
        <v>4.0848546472589975</v>
      </c>
      <c r="M65" s="3">
        <f t="shared" si="5"/>
        <v>0.97922700938307894</v>
      </c>
      <c r="N65" s="3">
        <f t="shared" si="2"/>
        <v>0.97922700938307894</v>
      </c>
      <c r="O65" s="4"/>
      <c r="P65" s="3">
        <f t="shared" si="6"/>
        <v>0.50083943085128835</v>
      </c>
      <c r="Q65" s="3">
        <f t="shared" si="7"/>
        <v>0.32864097407636234</v>
      </c>
      <c r="R65" s="4"/>
      <c r="S65" s="3">
        <f t="shared" si="8"/>
        <v>3.6899972327683006</v>
      </c>
      <c r="T65" s="3">
        <f t="shared" si="9"/>
        <v>1.0840116530383221</v>
      </c>
      <c r="U65" s="3">
        <f t="shared" si="10"/>
        <v>1.0840116530383221</v>
      </c>
      <c r="V65" s="3">
        <f t="shared" si="11"/>
        <v>4.9522353595676805E-2</v>
      </c>
      <c r="W65" s="4"/>
      <c r="X65" s="3">
        <f t="shared" si="12"/>
        <v>-0.83759580470985306</v>
      </c>
      <c r="Y65" s="14">
        <f t="shared" si="13"/>
        <v>-0.71694837362445651</v>
      </c>
      <c r="Z65" s="15">
        <f t="shared" si="14"/>
        <v>-0.7214013320625805</v>
      </c>
      <c r="AA65" s="15">
        <f t="shared" si="15"/>
        <v>0.50310966180693617</v>
      </c>
      <c r="AB65" s="15">
        <f t="shared" si="16"/>
        <v>0.32787002574227714</v>
      </c>
      <c r="AC65" s="15">
        <f t="shared" si="17"/>
        <v>-0.7659955449990945</v>
      </c>
      <c r="AH65" s="15">
        <f t="shared" si="18"/>
        <v>0.49051774819120736</v>
      </c>
      <c r="AI65" s="15">
        <f t="shared" si="19"/>
        <v>0.31396513225557943</v>
      </c>
      <c r="AJ65" s="18">
        <f t="shared" si="20"/>
        <v>3.031215851086587</v>
      </c>
      <c r="AK65">
        <f t="shared" si="21"/>
        <v>1</v>
      </c>
      <c r="AL65">
        <f t="shared" si="22"/>
        <v>0.65980124750372648</v>
      </c>
      <c r="AM65">
        <f t="shared" si="23"/>
        <v>1</v>
      </c>
      <c r="AN65">
        <f t="shared" si="24"/>
        <v>0.49051774819120736</v>
      </c>
      <c r="AO65">
        <f t="shared" si="25"/>
        <v>0.31396513225557943</v>
      </c>
    </row>
    <row r="66" spans="1:41" ht="18.75" x14ac:dyDescent="0.3">
      <c r="A66" s="13" t="s">
        <v>69</v>
      </c>
      <c r="B66">
        <f>B9*($B$64-2)/$B$64</f>
        <v>0.20047112121870772</v>
      </c>
      <c r="C66">
        <f>C9*($B$64-2)/$B$64</f>
        <v>4.9904741849661732E-2</v>
      </c>
      <c r="D66" s="5">
        <v>41939</v>
      </c>
      <c r="E66" s="6">
        <v>45.62</v>
      </c>
      <c r="F66" s="6">
        <v>23.6</v>
      </c>
      <c r="G66" s="3">
        <f t="shared" si="3"/>
        <v>-0.20161867364747493</v>
      </c>
      <c r="H66" s="3">
        <f t="shared" si="3"/>
        <v>-2.3048264182895357E-2</v>
      </c>
      <c r="I66" s="3">
        <f t="shared" ref="I66:I129" si="26">G66-$B$16</f>
        <v>-0.23261247523379228</v>
      </c>
      <c r="J66" s="3">
        <f t="shared" ref="J66:J129" si="27">H66-$B$17</f>
        <v>-5.2729085898243808E-2</v>
      </c>
      <c r="K66" s="4"/>
      <c r="L66" s="3">
        <f t="shared" si="4"/>
        <v>3.1352495530891051</v>
      </c>
      <c r="M66" s="3">
        <f t="shared" si="5"/>
        <v>1.2758155075913724</v>
      </c>
      <c r="N66" s="3">
        <f t="shared" ref="N66:N129" si="28">$B$24/L66</f>
        <v>1.2758155075913724</v>
      </c>
      <c r="O66" s="4"/>
      <c r="P66" s="3">
        <f t="shared" si="6"/>
        <v>-0.2348827061894401</v>
      </c>
      <c r="Q66" s="3">
        <f t="shared" si="7"/>
        <v>-5.1958137564158624E-2</v>
      </c>
      <c r="R66" s="4"/>
      <c r="S66" s="3">
        <f t="shared" si="8"/>
        <v>3.0892567110884706</v>
      </c>
      <c r="T66" s="3">
        <f t="shared" si="9"/>
        <v>1.2948098439480731</v>
      </c>
      <c r="U66" s="3">
        <f t="shared" si="10"/>
        <v>1.2948098439480731</v>
      </c>
      <c r="V66" s="3">
        <f t="shared" si="11"/>
        <v>-0.12817214033900015</v>
      </c>
      <c r="W66" s="4"/>
      <c r="X66" s="3">
        <f t="shared" si="12"/>
        <v>-0.81189014242378699</v>
      </c>
      <c r="Y66" s="14">
        <f t="shared" si="13"/>
        <v>-4.1772555606506681E-2</v>
      </c>
      <c r="Z66" s="15">
        <f t="shared" si="14"/>
        <v>0.33690815767541515</v>
      </c>
      <c r="AA66" s="15">
        <f t="shared" si="15"/>
        <v>-0.23261247523379228</v>
      </c>
      <c r="AB66" s="15">
        <f t="shared" si="16"/>
        <v>-5.2729085898243808E-2</v>
      </c>
      <c r="AC66" s="15">
        <f t="shared" si="17"/>
        <v>-4.777158474787381E-2</v>
      </c>
      <c r="AH66" s="15">
        <f t="shared" si="18"/>
        <v>-0.24520438884952112</v>
      </c>
      <c r="AI66" s="15">
        <f t="shared" si="19"/>
        <v>-6.6633979384941547E-2</v>
      </c>
      <c r="AJ66" s="18">
        <f t="shared" si="20"/>
        <v>0.45441303044983822</v>
      </c>
      <c r="AK66">
        <f t="shared" si="21"/>
        <v>1</v>
      </c>
      <c r="AL66">
        <f t="shared" si="22"/>
        <v>1</v>
      </c>
      <c r="AM66">
        <f t="shared" si="23"/>
        <v>0</v>
      </c>
      <c r="AN66">
        <f t="shared" si="24"/>
        <v>0</v>
      </c>
      <c r="AO66">
        <f t="shared" si="25"/>
        <v>0</v>
      </c>
    </row>
    <row r="67" spans="1:41" x14ac:dyDescent="0.25">
      <c r="B67">
        <f>B10*($B$64-2)/$B$64</f>
        <v>4.9904741849661732E-2</v>
      </c>
      <c r="C67">
        <f>C10*($B$64-2)/$B$64</f>
        <v>5.7686519302318558E-2</v>
      </c>
      <c r="D67" s="5">
        <v>41936</v>
      </c>
      <c r="E67" s="6">
        <v>45.84</v>
      </c>
      <c r="F67" s="6">
        <v>23.62</v>
      </c>
      <c r="G67" s="3">
        <f t="shared" ref="G67:H130" si="29">(E67-E68)/E68*E$2</f>
        <v>1.0328788556101935</v>
      </c>
      <c r="H67" s="3">
        <f t="shared" si="29"/>
        <v>0.24417770183682286</v>
      </c>
      <c r="I67" s="3">
        <f t="shared" si="26"/>
        <v>1.0018850540238762</v>
      </c>
      <c r="J67" s="3">
        <f t="shared" si="27"/>
        <v>0.21449688012147441</v>
      </c>
      <c r="K67" s="4"/>
      <c r="L67" s="3">
        <f t="shared" ref="L67:L130" si="30">(I67^2*$B$19+J67^2*$C$20+2*I67*J67*$C$19)*0.5+$B$13*0.5</f>
        <v>5.5169989799232546</v>
      </c>
      <c r="M67" s="3">
        <f t="shared" ref="M67:M130" si="31">$B$24/L67</f>
        <v>0.72503185419397032</v>
      </c>
      <c r="N67" s="3">
        <f t="shared" si="28"/>
        <v>0.72503185419397032</v>
      </c>
      <c r="O67" s="4"/>
      <c r="P67" s="3">
        <f t="shared" ref="P67:P130" si="32">G67-$B$29</f>
        <v>0.99961482306822835</v>
      </c>
      <c r="Q67" s="3">
        <f t="shared" ref="Q67:Q130" si="33">H67-$B$30</f>
        <v>0.21526782845555958</v>
      </c>
      <c r="R67" s="4"/>
      <c r="S67" s="3">
        <f t="shared" ref="S67:S130" si="34">(P67^2*$B$37+Q67^2*$C$38+2*P67*Q67*$C$37)*0.5+$B$13*0.5</f>
        <v>4.6193945656673545</v>
      </c>
      <c r="T67" s="3">
        <f t="shared" ref="T67:T130" si="35">$B$24/S67</f>
        <v>0.86591434075130325</v>
      </c>
      <c r="U67" s="3">
        <f t="shared" ref="U67:U130" si="36">$B$24/S67</f>
        <v>0.86591434075130325</v>
      </c>
      <c r="V67" s="3">
        <f t="shared" ref="V67:V130" si="37">(EXP(GAMMALN($B$24-$B$39))/EXP(GAMMALN($B$24))/S67^(-$B$39)-1)/$B$39</f>
        <v>0.27416393118651072</v>
      </c>
      <c r="W67" s="4"/>
      <c r="X67" s="3">
        <f t="shared" ref="X67:X130" si="38">0.5*$B$43*LN(0.5*$B$43)-0.5*$B$43*T67-($B$43*0.5+1)*V67-GAMMALN($B$43*0.5)</f>
        <v>-1.0922840335334583</v>
      </c>
      <c r="Y67" s="14">
        <f t="shared" ref="Y67:Y130" si="39">GAMMALN($B$43/2+1)-GAMMALN($B$43/2)-LN(PI())-LN($B$43)-0.5*LN($B$35*$C$36-$C$35*$B$36)-($B$43/2+1)*LN(SUMPRODUCT(MMULT(P67:Q67,$B$37:$C$38),P67:Q67)/$B$43+1)</f>
        <v>-1.6233035664928959</v>
      </c>
      <c r="Z67" s="15">
        <f t="shared" ref="Z67:Z130" si="40">GAMMALN($B$13/2+1)-GAMMALN($B$13/2)-LN(PI())-LN($B$13)-0.5*LN($B$14*$C$15-$C$14*$B$15)-($B$13/2+1)*LN(SUMPRODUCT(MMULT(I67:J67,$B$19:$C$20),I67:J67)/$B$13+1)</f>
        <v>-1.923592947185415</v>
      </c>
      <c r="AA67" s="15">
        <f t="shared" ref="AA67:AA130" si="41">G67-$B$3</f>
        <v>1.0018850540238762</v>
      </c>
      <c r="AB67" s="15">
        <f t="shared" ref="AB67:AB130" si="42">H67-$B$4</f>
        <v>0.21449688012147441</v>
      </c>
      <c r="AC67" s="15">
        <f t="shared" ref="AC67:AC130" si="43">GAMMALN($B$13/2+1)-GAMMALN($B$13/2)-LN(PI())-LN($B$13)-0.5*LN($B$9*$C$10-$C$9*$B$10)-($B$13/2+1)*LN(SUMPRODUCT(MMULT(AA67:AB67,MINVERSE($B$9:$C$10)),AA67:AB67)/$B$13+1)</f>
        <v>-1.6517714425865646</v>
      </c>
      <c r="AH67" s="15">
        <f t="shared" ref="AH67:AH130" si="44">G67-$B$70</f>
        <v>0.98929314040814731</v>
      </c>
      <c r="AI67" s="15">
        <f t="shared" ref="AI67:AI130" si="45">H67-$B$70</f>
        <v>0.20059198663477668</v>
      </c>
      <c r="AJ67" s="18">
        <f t="shared" ref="AJ67:AJ130" si="46">SUMPRODUCT(MMULT(AH67:AI67,$B$73:$C$74),AH67:AI67)</f>
        <v>7.4197186371592911</v>
      </c>
      <c r="AK67">
        <f t="shared" ref="AK67:AK130" si="47">IF(SQRT(AJ67)&lt;=$B$75,1,$B$75/SQRT(AJ67))</f>
        <v>1</v>
      </c>
      <c r="AL67">
        <f t="shared" ref="AL67:AL130" si="48">IF(AJ67&lt;=$B$77,1,$B$77/AJ67)</f>
        <v>0.26955200025828996</v>
      </c>
      <c r="AM67">
        <f t="shared" ref="AM67:AM130" si="49">IF(AJ67&gt;B$83,1,0)</f>
        <v>1</v>
      </c>
      <c r="AN67">
        <f t="shared" ref="AN67:AN130" si="50">AM67*AH67</f>
        <v>0.98929314040814731</v>
      </c>
      <c r="AO67">
        <f t="shared" ref="AO67:AO130" si="51">AM67*AI67</f>
        <v>0.20059198663477668</v>
      </c>
    </row>
    <row r="68" spans="1:41" x14ac:dyDescent="0.25">
      <c r="D68" s="5">
        <v>41935</v>
      </c>
      <c r="E68" s="6">
        <v>44.74</v>
      </c>
      <c r="F68" s="6">
        <v>23.41</v>
      </c>
      <c r="G68" s="3">
        <f t="shared" si="29"/>
        <v>0.60966893424036328</v>
      </c>
      <c r="H68" s="3">
        <f t="shared" si="29"/>
        <v>0.36529004329004172</v>
      </c>
      <c r="I68" s="3">
        <f t="shared" si="26"/>
        <v>0.57867513265404591</v>
      </c>
      <c r="J68" s="3">
        <f t="shared" si="27"/>
        <v>0.33560922157469325</v>
      </c>
      <c r="K68" s="4"/>
      <c r="L68" s="3">
        <f t="shared" si="30"/>
        <v>4.2405278248248557</v>
      </c>
      <c r="M68" s="3">
        <f t="shared" si="31"/>
        <v>0.94327880047932711</v>
      </c>
      <c r="N68" s="3">
        <f t="shared" si="28"/>
        <v>0.94327880047932711</v>
      </c>
      <c r="O68" s="4"/>
      <c r="P68" s="3">
        <f t="shared" si="32"/>
        <v>0.57640490169839809</v>
      </c>
      <c r="Q68" s="3">
        <f t="shared" si="33"/>
        <v>0.33638016990877845</v>
      </c>
      <c r="R68" s="4"/>
      <c r="S68" s="3">
        <f t="shared" si="34"/>
        <v>3.790007858427999</v>
      </c>
      <c r="T68" s="3">
        <f t="shared" si="35"/>
        <v>1.0554067826284403</v>
      </c>
      <c r="U68" s="3">
        <f t="shared" si="36"/>
        <v>1.0554067826284403</v>
      </c>
      <c r="V68" s="3">
        <f t="shared" si="37"/>
        <v>7.6264906219147832E-2</v>
      </c>
      <c r="W68" s="4"/>
      <c r="X68" s="3">
        <f t="shared" si="38"/>
        <v>-0.85578790737215771</v>
      </c>
      <c r="Y68" s="14">
        <f t="shared" si="39"/>
        <v>-0.82183940751688089</v>
      </c>
      <c r="Z68" s="15">
        <f t="shared" si="40"/>
        <v>-0.87100774354430066</v>
      </c>
      <c r="AA68" s="15">
        <f t="shared" si="41"/>
        <v>0.57867513265404591</v>
      </c>
      <c r="AB68" s="15">
        <f t="shared" si="42"/>
        <v>0.33560922157469325</v>
      </c>
      <c r="AC68" s="15">
        <f t="shared" si="43"/>
        <v>-0.87234557394783996</v>
      </c>
      <c r="AH68" s="15">
        <f t="shared" si="44"/>
        <v>0.56608321903831704</v>
      </c>
      <c r="AI68" s="15">
        <f t="shared" si="45"/>
        <v>0.32170432808799554</v>
      </c>
      <c r="AJ68" s="18">
        <f t="shared" si="46"/>
        <v>3.5036294387028413</v>
      </c>
      <c r="AK68">
        <f t="shared" si="47"/>
        <v>1</v>
      </c>
      <c r="AL68">
        <f t="shared" si="48"/>
        <v>0.57083662384697442</v>
      </c>
      <c r="AM68">
        <f t="shared" si="49"/>
        <v>1</v>
      </c>
      <c r="AN68">
        <f t="shared" si="50"/>
        <v>0.56608321903831704</v>
      </c>
      <c r="AO68">
        <f t="shared" si="51"/>
        <v>0.32170432808799554</v>
      </c>
    </row>
    <row r="69" spans="1:41" x14ac:dyDescent="0.25">
      <c r="A69" t="s">
        <v>70</v>
      </c>
      <c r="D69" s="5">
        <v>41934</v>
      </c>
      <c r="E69" s="6">
        <v>44.1</v>
      </c>
      <c r="F69" s="6">
        <v>23.1</v>
      </c>
      <c r="G69" s="3">
        <f t="shared" si="29"/>
        <v>-0.47096412556053807</v>
      </c>
      <c r="H69" s="3">
        <f t="shared" si="29"/>
        <v>-0.29143468950749463</v>
      </c>
      <c r="I69" s="3">
        <f t="shared" si="26"/>
        <v>-0.50195792714685539</v>
      </c>
      <c r="J69" s="3">
        <f t="shared" si="27"/>
        <v>-0.3211155112228431</v>
      </c>
      <c r="K69" s="4"/>
      <c r="L69" s="3">
        <f t="shared" si="30"/>
        <v>4.0534756648409331</v>
      </c>
      <c r="M69" s="3">
        <f t="shared" si="31"/>
        <v>0.98680745383405877</v>
      </c>
      <c r="N69" s="3">
        <f t="shared" si="28"/>
        <v>0.98680745383405877</v>
      </c>
      <c r="O69" s="4"/>
      <c r="P69" s="3">
        <f t="shared" si="32"/>
        <v>-0.50422815810250321</v>
      </c>
      <c r="Q69" s="3">
        <f t="shared" si="33"/>
        <v>-0.3203445628887579</v>
      </c>
      <c r="R69" s="4"/>
      <c r="S69" s="3">
        <f t="shared" si="34"/>
        <v>3.6701982514926015</v>
      </c>
      <c r="T69" s="3">
        <f t="shared" si="35"/>
        <v>1.0898593824933773</v>
      </c>
      <c r="U69" s="3">
        <f t="shared" si="36"/>
        <v>1.0898593824933773</v>
      </c>
      <c r="V69" s="3">
        <f t="shared" si="37"/>
        <v>4.4142300361649234E-2</v>
      </c>
      <c r="W69" s="4"/>
      <c r="X69" s="3">
        <f t="shared" si="38"/>
        <v>-0.83436299087562338</v>
      </c>
      <c r="Y69" s="14">
        <f t="shared" si="39"/>
        <v>-0.69594783717949693</v>
      </c>
      <c r="Z69" s="15">
        <f t="shared" si="40"/>
        <v>-0.69055555735053242</v>
      </c>
      <c r="AA69" s="15">
        <f t="shared" si="41"/>
        <v>-0.50195792714685539</v>
      </c>
      <c r="AB69" s="15">
        <f t="shared" si="42"/>
        <v>-0.3211155112228431</v>
      </c>
      <c r="AC69" s="15">
        <f t="shared" si="43"/>
        <v>-0.7442118823651056</v>
      </c>
      <c r="AH69" s="15">
        <f t="shared" si="44"/>
        <v>-0.51454984076258425</v>
      </c>
      <c r="AI69" s="15">
        <f t="shared" si="45"/>
        <v>-0.33502040470954081</v>
      </c>
      <c r="AJ69" s="18">
        <f t="shared" si="46"/>
        <v>3.4109692831561036</v>
      </c>
      <c r="AK69">
        <f t="shared" si="47"/>
        <v>1</v>
      </c>
      <c r="AL69">
        <f t="shared" si="48"/>
        <v>0.58634359736873354</v>
      </c>
      <c r="AM69">
        <f t="shared" si="49"/>
        <v>1</v>
      </c>
      <c r="AN69">
        <f t="shared" si="50"/>
        <v>-0.51454984076258425</v>
      </c>
      <c r="AO69">
        <f t="shared" si="51"/>
        <v>-0.33502040470954081</v>
      </c>
    </row>
    <row r="70" spans="1:41" x14ac:dyDescent="0.25">
      <c r="A70" t="s">
        <v>71</v>
      </c>
      <c r="B70" s="19">
        <v>4.3585715202046189E-2</v>
      </c>
      <c r="C70" s="19">
        <v>2.7626645659855547E-2</v>
      </c>
      <c r="D70" s="5">
        <v>41933</v>
      </c>
      <c r="E70" s="6">
        <v>44.6</v>
      </c>
      <c r="F70" s="6">
        <v>23.35</v>
      </c>
      <c r="G70" s="3">
        <f t="shared" si="29"/>
        <v>0.76730593607306352</v>
      </c>
      <c r="H70" s="3">
        <f t="shared" si="29"/>
        <v>0.69335090030742419</v>
      </c>
      <c r="I70" s="3">
        <f t="shared" si="26"/>
        <v>0.73631213448674615</v>
      </c>
      <c r="J70" s="3">
        <f t="shared" si="27"/>
        <v>0.66367007859207572</v>
      </c>
      <c r="K70" s="4"/>
      <c r="L70" s="3">
        <f t="shared" si="30"/>
        <v>6.9012812974477278</v>
      </c>
      <c r="M70" s="3">
        <f t="shared" si="31"/>
        <v>0.57960251547481534</v>
      </c>
      <c r="N70" s="3">
        <f t="shared" si="28"/>
        <v>0.57960251547481534</v>
      </c>
      <c r="O70" s="4"/>
      <c r="P70" s="3">
        <f t="shared" si="32"/>
        <v>0.73404190353109833</v>
      </c>
      <c r="Q70" s="3">
        <f t="shared" si="33"/>
        <v>0.66444102692616092</v>
      </c>
      <c r="R70" s="4"/>
      <c r="S70" s="3">
        <f t="shared" si="34"/>
        <v>5.4729321192777753</v>
      </c>
      <c r="T70" s="3">
        <f t="shared" si="35"/>
        <v>0.73086965319932606</v>
      </c>
      <c r="U70" s="3">
        <f t="shared" si="36"/>
        <v>0.73086965319932606</v>
      </c>
      <c r="V70" s="3">
        <f t="shared" si="37"/>
        <v>0.44372087621535883</v>
      </c>
      <c r="W70" s="4"/>
      <c r="X70" s="3">
        <f t="shared" si="38"/>
        <v>-1.4202969267126089</v>
      </c>
      <c r="Y70" s="14">
        <f t="shared" si="39"/>
        <v>-2.3433040324347152</v>
      </c>
      <c r="Z70" s="15">
        <f t="shared" si="40"/>
        <v>-2.8190851081973394</v>
      </c>
      <c r="AA70" s="15">
        <f t="shared" si="41"/>
        <v>0.73631213448674615</v>
      </c>
      <c r="AB70" s="15">
        <f t="shared" si="42"/>
        <v>0.66367007859207572</v>
      </c>
      <c r="AC70" s="15">
        <f t="shared" si="43"/>
        <v>-2.354304050623174</v>
      </c>
      <c r="AH70" s="15">
        <f t="shared" si="44"/>
        <v>0.72372022087101728</v>
      </c>
      <c r="AI70" s="15">
        <f t="shared" si="45"/>
        <v>0.64976518510537795</v>
      </c>
      <c r="AJ70" s="18">
        <f t="shared" si="46"/>
        <v>11.156423632160939</v>
      </c>
      <c r="AK70">
        <f t="shared" si="47"/>
        <v>0.89817043689250509</v>
      </c>
      <c r="AL70">
        <f t="shared" si="48"/>
        <v>0.17926891860170524</v>
      </c>
      <c r="AM70">
        <f t="shared" si="49"/>
        <v>1</v>
      </c>
      <c r="AN70">
        <f t="shared" si="50"/>
        <v>0.72372022087101728</v>
      </c>
      <c r="AO70">
        <f t="shared" si="51"/>
        <v>0.64976518510537795</v>
      </c>
    </row>
    <row r="71" spans="1:41" x14ac:dyDescent="0.25">
      <c r="A71" t="s">
        <v>72</v>
      </c>
      <c r="B71" s="20">
        <v>0.13279448228894924</v>
      </c>
      <c r="C71" s="20">
        <v>3.2208857618953389E-2</v>
      </c>
      <c r="D71" s="5">
        <v>41932</v>
      </c>
      <c r="E71" s="6">
        <v>43.8</v>
      </c>
      <c r="F71" s="6">
        <v>22.77</v>
      </c>
      <c r="G71" s="3">
        <f t="shared" si="29"/>
        <v>0.42630073800737783</v>
      </c>
      <c r="H71" s="3">
        <f t="shared" si="29"/>
        <v>-0.37723689909051566</v>
      </c>
      <c r="I71" s="3">
        <f t="shared" si="26"/>
        <v>0.39530693642106046</v>
      </c>
      <c r="J71" s="3">
        <f t="shared" si="27"/>
        <v>-0.40691772080586414</v>
      </c>
      <c r="K71" s="4"/>
      <c r="L71" s="3">
        <f t="shared" si="30"/>
        <v>6.2104945411196102</v>
      </c>
      <c r="M71" s="3">
        <f t="shared" si="31"/>
        <v>0.64407109184559264</v>
      </c>
      <c r="N71" s="3">
        <f t="shared" si="28"/>
        <v>0.64407109184559264</v>
      </c>
      <c r="O71" s="4"/>
      <c r="P71" s="3">
        <f t="shared" si="32"/>
        <v>0.39303670546541269</v>
      </c>
      <c r="Q71" s="3">
        <f t="shared" si="33"/>
        <v>-0.40614677247177894</v>
      </c>
      <c r="R71" s="4"/>
      <c r="S71" s="3">
        <f t="shared" si="34"/>
        <v>5.0335824325873233</v>
      </c>
      <c r="T71" s="3">
        <f t="shared" si="35"/>
        <v>0.79466265896512811</v>
      </c>
      <c r="U71" s="3">
        <f t="shared" si="36"/>
        <v>0.79466265896512811</v>
      </c>
      <c r="V71" s="3">
        <f t="shared" si="37"/>
        <v>0.36003494779723866</v>
      </c>
      <c r="W71" s="4"/>
      <c r="X71" s="3">
        <f t="shared" si="38"/>
        <v>-1.2452767260445157</v>
      </c>
      <c r="Y71" s="14">
        <f t="shared" si="39"/>
        <v>-1.984277234574656</v>
      </c>
      <c r="Z71" s="15">
        <f t="shared" si="40"/>
        <v>-2.3972188657152431</v>
      </c>
      <c r="AA71" s="15">
        <f t="shared" si="41"/>
        <v>0.39530693642106046</v>
      </c>
      <c r="AB71" s="15">
        <f t="shared" si="42"/>
        <v>-0.40691772080586414</v>
      </c>
      <c r="AC71" s="15">
        <f t="shared" si="43"/>
        <v>-2.01912701372853</v>
      </c>
      <c r="AH71" s="15">
        <f t="shared" si="44"/>
        <v>0.38271502280533165</v>
      </c>
      <c r="AI71" s="15">
        <f t="shared" si="45"/>
        <v>-0.42082261429256185</v>
      </c>
      <c r="AJ71" s="18">
        <f t="shared" si="46"/>
        <v>9.5640295483748261</v>
      </c>
      <c r="AK71">
        <f t="shared" si="47"/>
        <v>0.97006492096127184</v>
      </c>
      <c r="AL71">
        <f t="shared" si="48"/>
        <v>0.20911687797324416</v>
      </c>
      <c r="AM71">
        <f t="shared" si="49"/>
        <v>1</v>
      </c>
      <c r="AN71">
        <f t="shared" si="50"/>
        <v>0.38271502280533165</v>
      </c>
      <c r="AO71">
        <f t="shared" si="51"/>
        <v>-0.42082261429256185</v>
      </c>
    </row>
    <row r="72" spans="1:41" x14ac:dyDescent="0.25">
      <c r="B72" s="20">
        <v>3.2208857618953389E-2</v>
      </c>
      <c r="C72" s="20">
        <v>3.8994502111551588E-2</v>
      </c>
      <c r="D72" s="5">
        <v>41929</v>
      </c>
      <c r="E72" s="6">
        <v>43.36</v>
      </c>
      <c r="F72" s="6">
        <v>23.09</v>
      </c>
      <c r="G72" s="3">
        <f t="shared" si="29"/>
        <v>0.88036025429715148</v>
      </c>
      <c r="H72" s="3">
        <f t="shared" si="29"/>
        <v>0.51653133274492458</v>
      </c>
      <c r="I72" s="3">
        <f t="shared" si="26"/>
        <v>0.84936645271083411</v>
      </c>
      <c r="J72" s="3">
        <f t="shared" si="27"/>
        <v>0.48685051102957611</v>
      </c>
      <c r="K72" s="4"/>
      <c r="L72" s="3">
        <f t="shared" si="30"/>
        <v>5.6372105429168391</v>
      </c>
      <c r="M72" s="3">
        <f t="shared" si="31"/>
        <v>0.70957080093912839</v>
      </c>
      <c r="N72" s="3">
        <f t="shared" si="28"/>
        <v>0.70957080093912839</v>
      </c>
      <c r="O72" s="4"/>
      <c r="P72" s="3">
        <f t="shared" si="32"/>
        <v>0.84709622175518628</v>
      </c>
      <c r="Q72" s="3">
        <f t="shared" si="33"/>
        <v>0.4876214593636613</v>
      </c>
      <c r="R72" s="4"/>
      <c r="S72" s="3">
        <f t="shared" si="34"/>
        <v>4.6801697974252496</v>
      </c>
      <c r="T72" s="3">
        <f t="shared" si="35"/>
        <v>0.85466984599587847</v>
      </c>
      <c r="U72" s="3">
        <f t="shared" si="36"/>
        <v>0.85466984599587847</v>
      </c>
      <c r="V72" s="3">
        <f t="shared" si="37"/>
        <v>0.28723503873839817</v>
      </c>
      <c r="W72" s="4"/>
      <c r="X72" s="3">
        <f t="shared" si="38"/>
        <v>-1.1137416589119744</v>
      </c>
      <c r="Y72" s="14">
        <f t="shared" si="39"/>
        <v>-1.6777516887654929</v>
      </c>
      <c r="Z72" s="15">
        <f t="shared" si="40"/>
        <v>-2.0098141839061237</v>
      </c>
      <c r="AA72" s="15">
        <f t="shared" si="41"/>
        <v>0.84936645271083411</v>
      </c>
      <c r="AB72" s="15">
        <f t="shared" si="42"/>
        <v>0.48685051102957611</v>
      </c>
      <c r="AC72" s="15">
        <f t="shared" si="43"/>
        <v>-1.7179151730685991</v>
      </c>
      <c r="AH72" s="15">
        <f t="shared" si="44"/>
        <v>0.83677453909510524</v>
      </c>
      <c r="AI72" s="15">
        <f t="shared" si="45"/>
        <v>0.47294561754287839</v>
      </c>
      <c r="AJ72" s="18">
        <f t="shared" si="46"/>
        <v>7.6104125064539545</v>
      </c>
      <c r="AK72">
        <f t="shared" si="47"/>
        <v>1</v>
      </c>
      <c r="AL72">
        <f t="shared" si="48"/>
        <v>0.26279784417781754</v>
      </c>
      <c r="AM72">
        <f t="shared" si="49"/>
        <v>1</v>
      </c>
      <c r="AN72">
        <f t="shared" si="50"/>
        <v>0.83677453909510524</v>
      </c>
      <c r="AO72">
        <f t="shared" si="51"/>
        <v>0.47294561754287839</v>
      </c>
    </row>
    <row r="73" spans="1:41" x14ac:dyDescent="0.25">
      <c r="A73" t="s">
        <v>75</v>
      </c>
      <c r="B73">
        <f t="array" ref="B73:C74">MINVERSE(B71:C72)</f>
        <v>9.4170415802888989</v>
      </c>
      <c r="C73">
        <v>-7.7783311756001856</v>
      </c>
      <c r="D73" s="5">
        <v>41928</v>
      </c>
      <c r="E73" s="6">
        <v>42.47</v>
      </c>
      <c r="F73" s="6">
        <v>22.66</v>
      </c>
      <c r="G73" s="3">
        <f t="shared" si="29"/>
        <v>-0.46949476135041129</v>
      </c>
      <c r="H73" s="3">
        <f t="shared" si="29"/>
        <v>-0.16714035087719367</v>
      </c>
      <c r="I73" s="3">
        <f t="shared" si="26"/>
        <v>-0.50048856293672861</v>
      </c>
      <c r="J73" s="3">
        <f t="shared" si="27"/>
        <v>-0.19682117259254212</v>
      </c>
      <c r="K73" s="4"/>
      <c r="L73" s="3">
        <f t="shared" si="30"/>
        <v>3.6823830622562377</v>
      </c>
      <c r="M73" s="3">
        <f t="shared" si="31"/>
        <v>1.086253095447695</v>
      </c>
      <c r="N73" s="3">
        <f t="shared" si="28"/>
        <v>1.086253095447695</v>
      </c>
      <c r="O73" s="4"/>
      <c r="P73" s="3">
        <f t="shared" si="32"/>
        <v>-0.50275879389237643</v>
      </c>
      <c r="Q73" s="3">
        <f t="shared" si="33"/>
        <v>-0.19605022425845695</v>
      </c>
      <c r="R73" s="4"/>
      <c r="S73" s="3">
        <f t="shared" si="34"/>
        <v>3.4406653786628714</v>
      </c>
      <c r="T73" s="3">
        <f t="shared" si="35"/>
        <v>1.1625658295066461</v>
      </c>
      <c r="U73" s="3">
        <f t="shared" si="36"/>
        <v>1.1625658295066461</v>
      </c>
      <c r="V73" s="3">
        <f t="shared" si="37"/>
        <v>-2.0438579554360459E-2</v>
      </c>
      <c r="W73" s="4"/>
      <c r="X73" s="3">
        <f t="shared" si="38"/>
        <v>-0.80708898488746184</v>
      </c>
      <c r="Y73" s="14">
        <f t="shared" si="39"/>
        <v>-0.44654684203344019</v>
      </c>
      <c r="Z73" s="15">
        <f t="shared" si="40"/>
        <v>-0.30649720506160616</v>
      </c>
      <c r="AA73" s="15">
        <f t="shared" si="41"/>
        <v>-0.50048856293672861</v>
      </c>
      <c r="AB73" s="15">
        <f t="shared" si="42"/>
        <v>-0.19682117259254212</v>
      </c>
      <c r="AC73" s="15">
        <f t="shared" si="43"/>
        <v>-0.47717364424925612</v>
      </c>
      <c r="AH73" s="15">
        <f t="shared" si="44"/>
        <v>-0.51308047655245748</v>
      </c>
      <c r="AI73" s="15">
        <f t="shared" si="45"/>
        <v>-0.21072606607923985</v>
      </c>
      <c r="AJ73" s="18">
        <f t="shared" si="46"/>
        <v>2.2211314937326416</v>
      </c>
      <c r="AK73">
        <f t="shared" si="47"/>
        <v>1</v>
      </c>
      <c r="AL73">
        <f t="shared" si="48"/>
        <v>0.9004419619655083</v>
      </c>
      <c r="AM73">
        <f t="shared" si="49"/>
        <v>0</v>
      </c>
      <c r="AN73">
        <f t="shared" si="50"/>
        <v>0</v>
      </c>
      <c r="AO73">
        <f t="shared" si="51"/>
        <v>0</v>
      </c>
    </row>
    <row r="74" spans="1:41" x14ac:dyDescent="0.25">
      <c r="B74">
        <v>-7.7783311756001847</v>
      </c>
      <c r="C74">
        <v>32.069422447569089</v>
      </c>
      <c r="D74" s="5">
        <v>41927</v>
      </c>
      <c r="E74" s="6">
        <v>42.95</v>
      </c>
      <c r="F74" s="6">
        <v>22.8</v>
      </c>
      <c r="G74" s="3">
        <f t="shared" si="29"/>
        <v>-0.49298435342843799</v>
      </c>
      <c r="H74" s="3">
        <f t="shared" si="29"/>
        <v>-0.11886462882095816</v>
      </c>
      <c r="I74" s="3">
        <f t="shared" si="26"/>
        <v>-0.52397815501475531</v>
      </c>
      <c r="J74" s="3">
        <f t="shared" si="27"/>
        <v>-0.14854545053630661</v>
      </c>
      <c r="K74" s="4"/>
      <c r="L74" s="3">
        <f t="shared" si="30"/>
        <v>3.6883917453471669</v>
      </c>
      <c r="M74" s="3">
        <f t="shared" si="31"/>
        <v>1.0844835028833151</v>
      </c>
      <c r="N74" s="3">
        <f t="shared" si="28"/>
        <v>1.0844835028833151</v>
      </c>
      <c r="O74" s="4"/>
      <c r="P74" s="3">
        <f t="shared" si="32"/>
        <v>-0.52624838597040313</v>
      </c>
      <c r="Q74" s="3">
        <f t="shared" si="33"/>
        <v>-0.14777450220222144</v>
      </c>
      <c r="R74" s="4"/>
      <c r="S74" s="3">
        <f t="shared" si="34"/>
        <v>3.4477313203489484</v>
      </c>
      <c r="T74" s="3">
        <f t="shared" si="35"/>
        <v>1.1601832127670424</v>
      </c>
      <c r="U74" s="3">
        <f t="shared" si="36"/>
        <v>1.1601832127670424</v>
      </c>
      <c r="V74" s="3">
        <f t="shared" si="37"/>
        <v>-1.8387033814404319E-2</v>
      </c>
      <c r="W74" s="4"/>
      <c r="X74" s="3">
        <f t="shared" si="38"/>
        <v>-0.80762048606964387</v>
      </c>
      <c r="Y74" s="14">
        <f t="shared" si="39"/>
        <v>-0.45439270108226337</v>
      </c>
      <c r="Z74" s="15">
        <f t="shared" si="40"/>
        <v>-0.31301883631890026</v>
      </c>
      <c r="AA74" s="15">
        <f t="shared" si="41"/>
        <v>-0.52397815501475531</v>
      </c>
      <c r="AB74" s="15">
        <f t="shared" si="42"/>
        <v>-0.14854545053630661</v>
      </c>
      <c r="AC74" s="15">
        <f t="shared" si="43"/>
        <v>-0.48164259047447833</v>
      </c>
      <c r="AH74" s="15">
        <f t="shared" si="44"/>
        <v>-0.53657006863048418</v>
      </c>
      <c r="AI74" s="15">
        <f t="shared" si="45"/>
        <v>-0.16245034402300434</v>
      </c>
      <c r="AJ74" s="18">
        <f t="shared" si="46"/>
        <v>2.2015401333597189</v>
      </c>
      <c r="AK74">
        <f t="shared" si="47"/>
        <v>1</v>
      </c>
      <c r="AL74">
        <f t="shared" si="48"/>
        <v>0.90845493556724166</v>
      </c>
      <c r="AM74">
        <f t="shared" si="49"/>
        <v>0</v>
      </c>
      <c r="AN74">
        <f t="shared" si="50"/>
        <v>0</v>
      </c>
      <c r="AO74">
        <f t="shared" si="51"/>
        <v>0</v>
      </c>
    </row>
    <row r="75" spans="1:41" x14ac:dyDescent="0.25">
      <c r="A75" t="s">
        <v>76</v>
      </c>
      <c r="B75">
        <v>3</v>
      </c>
      <c r="D75" s="5">
        <v>41926</v>
      </c>
      <c r="E75" s="6">
        <v>43.46</v>
      </c>
      <c r="F75" s="6">
        <v>22.9</v>
      </c>
      <c r="G75" s="3">
        <f t="shared" si="29"/>
        <v>7.7473490087596311E-2</v>
      </c>
      <c r="H75" s="3">
        <f t="shared" si="29"/>
        <v>0.1554062362758003</v>
      </c>
      <c r="I75" s="3">
        <f t="shared" si="26"/>
        <v>4.6479688501278961E-2</v>
      </c>
      <c r="J75" s="3">
        <f t="shared" si="27"/>
        <v>0.12572541456045186</v>
      </c>
      <c r="K75" s="4"/>
      <c r="L75" s="3">
        <f t="shared" si="30"/>
        <v>3.1493383723357407</v>
      </c>
      <c r="M75" s="3">
        <f t="shared" si="31"/>
        <v>1.270108044005877</v>
      </c>
      <c r="N75" s="3">
        <f t="shared" si="28"/>
        <v>1.270108044005877</v>
      </c>
      <c r="O75" s="4"/>
      <c r="P75" s="3">
        <f t="shared" si="32"/>
        <v>4.4209457545631145E-2</v>
      </c>
      <c r="Q75" s="3">
        <f t="shared" si="33"/>
        <v>0.12649636289453703</v>
      </c>
      <c r="R75" s="4"/>
      <c r="S75" s="3">
        <f t="shared" si="34"/>
        <v>3.0961237981441716</v>
      </c>
      <c r="T75" s="3">
        <f t="shared" si="35"/>
        <v>1.2919380040286552</v>
      </c>
      <c r="U75" s="3">
        <f t="shared" si="36"/>
        <v>1.2919380040286552</v>
      </c>
      <c r="V75" s="3">
        <f t="shared" si="37"/>
        <v>-0.1259517425455936</v>
      </c>
      <c r="W75" s="4"/>
      <c r="X75" s="3">
        <f t="shared" si="38"/>
        <v>-0.8111195773741704</v>
      </c>
      <c r="Y75" s="14">
        <f t="shared" si="39"/>
        <v>-4.9969830913890873E-2</v>
      </c>
      <c r="Z75" s="15">
        <f t="shared" si="40"/>
        <v>0.31897368939727688</v>
      </c>
      <c r="AA75" s="15">
        <f t="shared" si="41"/>
        <v>4.6479688501278961E-2</v>
      </c>
      <c r="AB75" s="15">
        <f t="shared" si="42"/>
        <v>0.12572541456045186</v>
      </c>
      <c r="AC75" s="15">
        <f t="shared" si="43"/>
        <v>-5.9427111237337071E-2</v>
      </c>
      <c r="AH75" s="15">
        <f t="shared" si="44"/>
        <v>3.3887774885550122E-2</v>
      </c>
      <c r="AI75" s="15">
        <f t="shared" si="45"/>
        <v>0.11182052107375412</v>
      </c>
      <c r="AJ75" s="18">
        <f t="shared" si="46"/>
        <v>0.35285530918530161</v>
      </c>
      <c r="AK75">
        <f t="shared" si="47"/>
        <v>1</v>
      </c>
      <c r="AL75">
        <f t="shared" si="48"/>
        <v>1</v>
      </c>
      <c r="AM75">
        <f t="shared" si="49"/>
        <v>0</v>
      </c>
      <c r="AN75">
        <f t="shared" si="50"/>
        <v>0</v>
      </c>
      <c r="AO75">
        <f t="shared" si="51"/>
        <v>0</v>
      </c>
    </row>
    <row r="76" spans="1:41" x14ac:dyDescent="0.25">
      <c r="A76" t="s">
        <v>77</v>
      </c>
      <c r="B76">
        <f>SUMPRODUCT($AK2:$AK253,G2:G253)/SUM($AK2:$AK253)</f>
        <v>4.354952835538109E-2</v>
      </c>
      <c r="C76">
        <f>SUMPRODUCT($AK2:$AK253,H2:H253)/SUM($AK2:$AK253)</f>
        <v>2.7641933763382417E-2</v>
      </c>
      <c r="D76" s="5">
        <v>41925</v>
      </c>
      <c r="E76" s="6">
        <v>43.38</v>
      </c>
      <c r="F76" s="6">
        <v>22.77</v>
      </c>
      <c r="G76" s="3">
        <f t="shared" si="29"/>
        <v>-0.35528457142856895</v>
      </c>
      <c r="H76" s="3">
        <f t="shared" si="29"/>
        <v>-0.48145815358067318</v>
      </c>
      <c r="I76" s="3">
        <f t="shared" si="26"/>
        <v>-0.38627837301488632</v>
      </c>
      <c r="J76" s="3">
        <f t="shared" si="27"/>
        <v>-0.51113897529602159</v>
      </c>
      <c r="K76" s="4"/>
      <c r="L76" s="3">
        <f t="shared" si="30"/>
        <v>5.2744429811905116</v>
      </c>
      <c r="M76" s="3">
        <f t="shared" si="31"/>
        <v>0.75837392010201365</v>
      </c>
      <c r="N76" s="3">
        <f t="shared" si="28"/>
        <v>0.75837392010201365</v>
      </c>
      <c r="O76" s="4"/>
      <c r="P76" s="3">
        <f t="shared" si="32"/>
        <v>-0.38854860397053415</v>
      </c>
      <c r="Q76" s="3">
        <f t="shared" si="33"/>
        <v>-0.51036802696193639</v>
      </c>
      <c r="R76" s="4"/>
      <c r="S76" s="3">
        <f t="shared" si="34"/>
        <v>4.4313525980566535</v>
      </c>
      <c r="T76" s="3">
        <f t="shared" si="35"/>
        <v>0.9026589312153086</v>
      </c>
      <c r="U76" s="3">
        <f t="shared" si="36"/>
        <v>0.9026589312153086</v>
      </c>
      <c r="V76" s="3">
        <f t="shared" si="37"/>
        <v>0.23260409236947055</v>
      </c>
      <c r="W76" s="4"/>
      <c r="X76" s="3">
        <f t="shared" si="38"/>
        <v>-1.0286159700118866</v>
      </c>
      <c r="Y76" s="14">
        <f t="shared" si="39"/>
        <v>-1.451399381331038</v>
      </c>
      <c r="Z76" s="15">
        <f t="shared" si="40"/>
        <v>-1.7437490608268671</v>
      </c>
      <c r="AA76" s="15">
        <f t="shared" si="41"/>
        <v>-0.38627837301488632</v>
      </c>
      <c r="AB76" s="15">
        <f t="shared" si="42"/>
        <v>-0.51113897529602159</v>
      </c>
      <c r="AC76" s="15">
        <f t="shared" si="43"/>
        <v>-1.5148851152364358</v>
      </c>
      <c r="AH76" s="15">
        <f t="shared" si="44"/>
        <v>-0.39887028663061513</v>
      </c>
      <c r="AI76" s="15">
        <f t="shared" si="45"/>
        <v>-0.52504386878271936</v>
      </c>
      <c r="AJ76" s="18">
        <f t="shared" si="46"/>
        <v>7.080894983271242</v>
      </c>
      <c r="AK76">
        <f t="shared" si="47"/>
        <v>1</v>
      </c>
      <c r="AL76">
        <f t="shared" si="48"/>
        <v>0.28245017116127841</v>
      </c>
      <c r="AM76">
        <f t="shared" si="49"/>
        <v>1</v>
      </c>
      <c r="AN76">
        <f t="shared" si="50"/>
        <v>-0.39887028663061513</v>
      </c>
      <c r="AO76">
        <f t="shared" si="51"/>
        <v>-0.52504386878271936</v>
      </c>
    </row>
    <row r="77" spans="1:41" x14ac:dyDescent="0.25">
      <c r="A77" t="s">
        <v>78</v>
      </c>
      <c r="B77">
        <v>2</v>
      </c>
      <c r="D77" s="5">
        <v>41922</v>
      </c>
      <c r="E77" s="6">
        <v>43.75</v>
      </c>
      <c r="F77" s="6">
        <v>23.18</v>
      </c>
      <c r="G77" s="3">
        <f t="shared" si="29"/>
        <v>-1.6689661984196682</v>
      </c>
      <c r="H77" s="3">
        <f t="shared" si="29"/>
        <v>-0.95190674437968337</v>
      </c>
      <c r="I77" s="3">
        <f t="shared" si="26"/>
        <v>-1.6999600000059856</v>
      </c>
      <c r="J77" s="3">
        <f t="shared" si="27"/>
        <v>-0.98158756609503184</v>
      </c>
      <c r="K77" s="4"/>
      <c r="L77" s="3">
        <f t="shared" si="30"/>
        <v>13.652135122795629</v>
      </c>
      <c r="M77" s="3">
        <f t="shared" si="31"/>
        <v>0.2929944630654151</v>
      </c>
      <c r="N77" s="3">
        <f t="shared" si="28"/>
        <v>0.2929944630654151</v>
      </c>
      <c r="O77" s="4"/>
      <c r="P77" s="3">
        <f t="shared" si="32"/>
        <v>-1.7022302309616333</v>
      </c>
      <c r="Q77" s="3">
        <f t="shared" si="33"/>
        <v>-0.98081661776094664</v>
      </c>
      <c r="R77" s="4"/>
      <c r="S77" s="3">
        <f t="shared" si="34"/>
        <v>9.7918897540057515</v>
      </c>
      <c r="T77" s="3">
        <f t="shared" si="35"/>
        <v>0.40850133125361682</v>
      </c>
      <c r="U77" s="3">
        <f t="shared" si="36"/>
        <v>0.40850133125361682</v>
      </c>
      <c r="V77" s="3">
        <f t="shared" si="37"/>
        <v>1.0255035690565073</v>
      </c>
      <c r="W77" s="4"/>
      <c r="X77" s="3">
        <f t="shared" si="38"/>
        <v>-3.1931274706425739</v>
      </c>
      <c r="Y77" s="14">
        <f t="shared" si="39"/>
        <v>-5.0108752269345276</v>
      </c>
      <c r="Z77" s="15">
        <f t="shared" si="40"/>
        <v>-5.5478404642170265</v>
      </c>
      <c r="AA77" s="15">
        <f t="shared" si="41"/>
        <v>-1.6999600000059856</v>
      </c>
      <c r="AB77" s="15">
        <f t="shared" si="42"/>
        <v>-0.98158756609503184</v>
      </c>
      <c r="AC77" s="15">
        <f t="shared" si="43"/>
        <v>-4.6731552835428989</v>
      </c>
      <c r="AH77" s="15">
        <f t="shared" si="44"/>
        <v>-1.7125519136217144</v>
      </c>
      <c r="AI77" s="15">
        <f t="shared" si="45"/>
        <v>-0.99549245958172961</v>
      </c>
      <c r="AJ77" s="18">
        <f t="shared" si="46"/>
        <v>32.878082030328017</v>
      </c>
      <c r="AK77">
        <f t="shared" si="47"/>
        <v>0.52320033980252301</v>
      </c>
      <c r="AL77">
        <f t="shared" si="48"/>
        <v>6.0830799015438995E-2</v>
      </c>
      <c r="AM77">
        <f t="shared" si="49"/>
        <v>1</v>
      </c>
      <c r="AN77">
        <f t="shared" si="50"/>
        <v>-1.7125519136217144</v>
      </c>
      <c r="AO77">
        <f t="shared" si="51"/>
        <v>-0.99549245958172961</v>
      </c>
    </row>
    <row r="78" spans="1:41" x14ac:dyDescent="0.25">
      <c r="A78" t="s">
        <v>79</v>
      </c>
      <c r="B78">
        <f>SUMPRODUCT($AL$2:$AL$253,AH2:AH253,$AH2:$AH253)/SUM($AL$2:$AL$253)</f>
        <v>0.13244998289607557</v>
      </c>
      <c r="C78">
        <f>SUMPRODUCT($AL$2:$AL$253,AH2:AH253,$AI2:$AI253)/SUM($AL$2:$AL$253)</f>
        <v>3.2143959882210173E-2</v>
      </c>
      <c r="D78" s="5">
        <v>41921</v>
      </c>
      <c r="E78" s="6">
        <v>45.56</v>
      </c>
      <c r="F78" s="6">
        <v>24.02</v>
      </c>
      <c r="G78" s="3">
        <f t="shared" si="29"/>
        <v>-0.84038072703807232</v>
      </c>
      <c r="H78" s="3">
        <f t="shared" si="29"/>
        <v>-0.52239281339322041</v>
      </c>
      <c r="I78" s="3">
        <f t="shared" si="26"/>
        <v>-0.87137452862438969</v>
      </c>
      <c r="J78" s="3">
        <f t="shared" si="27"/>
        <v>-0.55207363510856888</v>
      </c>
      <c r="K78" s="4"/>
      <c r="L78" s="3">
        <f t="shared" si="30"/>
        <v>6.1346168461586679</v>
      </c>
      <c r="M78" s="3">
        <f t="shared" si="31"/>
        <v>0.65203746220999803</v>
      </c>
      <c r="N78" s="3">
        <f t="shared" si="28"/>
        <v>0.65203746220999803</v>
      </c>
      <c r="O78" s="4"/>
      <c r="P78" s="3">
        <f t="shared" si="32"/>
        <v>-0.87364475958003751</v>
      </c>
      <c r="Q78" s="3">
        <f t="shared" si="33"/>
        <v>-0.55130268677448369</v>
      </c>
      <c r="R78" s="4"/>
      <c r="S78" s="3">
        <f t="shared" si="34"/>
        <v>4.9945727178740427</v>
      </c>
      <c r="T78" s="3">
        <f t="shared" si="35"/>
        <v>0.80086930873690709</v>
      </c>
      <c r="U78" s="3">
        <f t="shared" si="36"/>
        <v>0.80086930873690709</v>
      </c>
      <c r="V78" s="3">
        <f t="shared" si="37"/>
        <v>0.35225459334098375</v>
      </c>
      <c r="W78" s="4"/>
      <c r="X78" s="3">
        <f t="shared" si="38"/>
        <v>-1.2302710294600525</v>
      </c>
      <c r="Y78" s="14">
        <f t="shared" si="39"/>
        <v>-1.9512563181805029</v>
      </c>
      <c r="Z78" s="15">
        <f t="shared" si="40"/>
        <v>-2.3480472394070615</v>
      </c>
      <c r="AA78" s="15">
        <f t="shared" si="41"/>
        <v>-0.87137452862438969</v>
      </c>
      <c r="AB78" s="15">
        <f t="shared" si="42"/>
        <v>-0.55207363510856888</v>
      </c>
      <c r="AC78" s="15">
        <f t="shared" si="43"/>
        <v>-1.9805383001798798</v>
      </c>
      <c r="AH78" s="15">
        <f t="shared" si="44"/>
        <v>-0.88396644224011856</v>
      </c>
      <c r="AI78" s="15">
        <f t="shared" si="45"/>
        <v>-0.56597852859526665</v>
      </c>
      <c r="AJ78" s="18">
        <f t="shared" si="46"/>
        <v>9.8482054629223033</v>
      </c>
      <c r="AK78">
        <f t="shared" si="47"/>
        <v>0.9559665678865239</v>
      </c>
      <c r="AL78">
        <f t="shared" si="48"/>
        <v>0.20308268420371997</v>
      </c>
      <c r="AM78">
        <f t="shared" si="49"/>
        <v>1</v>
      </c>
      <c r="AN78">
        <f t="shared" si="50"/>
        <v>-0.88396644224011856</v>
      </c>
      <c r="AO78">
        <f t="shared" si="51"/>
        <v>-0.56597852859526665</v>
      </c>
    </row>
    <row r="79" spans="1:41" x14ac:dyDescent="0.25">
      <c r="B79">
        <f>C78</f>
        <v>3.2143959882210173E-2</v>
      </c>
      <c r="C79">
        <f>SUMPRODUCT($AL$2:$AL$253,AI2:AI253,$AI2:$AI253)/SUM($AL$2:$AL$253)</f>
        <v>3.8893353762188498E-2</v>
      </c>
      <c r="D79" s="5">
        <v>41920</v>
      </c>
      <c r="E79" s="6">
        <v>46.49</v>
      </c>
      <c r="F79" s="6">
        <v>24.49</v>
      </c>
      <c r="G79" s="3">
        <f t="shared" si="29"/>
        <v>1.1607537577365163</v>
      </c>
      <c r="H79" s="3">
        <f t="shared" si="29"/>
        <v>2.2247650183898179E-2</v>
      </c>
      <c r="I79" s="3">
        <f t="shared" si="26"/>
        <v>1.129759956150199</v>
      </c>
      <c r="J79" s="3">
        <f t="shared" si="27"/>
        <v>-7.4331715314502715E-3</v>
      </c>
      <c r="K79" s="4"/>
      <c r="L79" s="3">
        <f t="shared" si="30"/>
        <v>7.103917142387794</v>
      </c>
      <c r="M79" s="3">
        <f t="shared" si="31"/>
        <v>0.56306963043427416</v>
      </c>
      <c r="N79" s="3">
        <f t="shared" si="28"/>
        <v>0.56306963043427416</v>
      </c>
      <c r="O79" s="4"/>
      <c r="P79" s="3">
        <f t="shared" si="32"/>
        <v>1.1274897251945513</v>
      </c>
      <c r="Q79" s="3">
        <f t="shared" si="33"/>
        <v>-6.6622231973650914E-3</v>
      </c>
      <c r="R79" s="4"/>
      <c r="S79" s="3">
        <f t="shared" si="34"/>
        <v>5.6406775878793436</v>
      </c>
      <c r="T79" s="3">
        <f t="shared" si="35"/>
        <v>0.70913466293396699</v>
      </c>
      <c r="U79" s="3">
        <f t="shared" si="36"/>
        <v>0.70913466293396699</v>
      </c>
      <c r="V79" s="3">
        <f t="shared" si="37"/>
        <v>0.47391195010737519</v>
      </c>
      <c r="W79" s="4"/>
      <c r="X79" s="3">
        <f t="shared" si="38"/>
        <v>-1.4893123733538784</v>
      </c>
      <c r="Y79" s="14">
        <f t="shared" si="39"/>
        <v>-2.4745217627632314</v>
      </c>
      <c r="Z79" s="15">
        <f t="shared" si="40"/>
        <v>-2.9348421180387785</v>
      </c>
      <c r="AA79" s="15">
        <f t="shared" si="41"/>
        <v>1.129759956150199</v>
      </c>
      <c r="AB79" s="15">
        <f t="shared" si="42"/>
        <v>-7.4331715314502715E-3</v>
      </c>
      <c r="AC79" s="15">
        <f t="shared" si="43"/>
        <v>-2.4475236987066618</v>
      </c>
      <c r="AH79" s="15">
        <f t="shared" si="44"/>
        <v>1.1171680425344701</v>
      </c>
      <c r="AI79" s="15">
        <f t="shared" si="45"/>
        <v>-2.1338065018148011E-2</v>
      </c>
      <c r="AJ79" s="18">
        <f t="shared" si="46"/>
        <v>12.138519203055663</v>
      </c>
      <c r="AK79">
        <f t="shared" si="47"/>
        <v>0.86106988372151783</v>
      </c>
      <c r="AL79">
        <f t="shared" si="48"/>
        <v>0.16476474325604185</v>
      </c>
      <c r="AM79">
        <f t="shared" si="49"/>
        <v>1</v>
      </c>
      <c r="AN79">
        <f t="shared" si="50"/>
        <v>1.1171680425344701</v>
      </c>
      <c r="AO79">
        <f t="shared" si="51"/>
        <v>-2.1338065018148011E-2</v>
      </c>
    </row>
    <row r="80" spans="1:41" x14ac:dyDescent="0.25">
      <c r="B80" s="15">
        <f>B76-B70</f>
        <v>-3.6186846665099692E-5</v>
      </c>
      <c r="C80" s="15">
        <f>C76-C70</f>
        <v>1.5288103526869823E-5</v>
      </c>
      <c r="D80" s="5">
        <v>41919</v>
      </c>
      <c r="E80" s="6">
        <v>45.24</v>
      </c>
      <c r="F80" s="6">
        <v>24.47</v>
      </c>
      <c r="G80" s="3">
        <f t="shared" si="29"/>
        <v>-0.5136593886462838</v>
      </c>
      <c r="H80" s="3">
        <f t="shared" si="29"/>
        <v>-0.40545088566827803</v>
      </c>
      <c r="I80" s="3">
        <f t="shared" si="26"/>
        <v>-0.54465319023260117</v>
      </c>
      <c r="J80" s="3">
        <f t="shared" si="27"/>
        <v>-0.4351317073836265</v>
      </c>
      <c r="K80" s="4"/>
      <c r="L80" s="3">
        <f t="shared" si="30"/>
        <v>4.731057549863964</v>
      </c>
      <c r="M80" s="3">
        <f t="shared" si="31"/>
        <v>0.84547692727073576</v>
      </c>
      <c r="N80" s="3">
        <f t="shared" si="28"/>
        <v>0.84547692727073576</v>
      </c>
      <c r="O80" s="4"/>
      <c r="P80" s="3">
        <f t="shared" si="32"/>
        <v>-0.54692342118824899</v>
      </c>
      <c r="Q80" s="3">
        <f t="shared" si="33"/>
        <v>-0.4343607590495413</v>
      </c>
      <c r="R80" s="4"/>
      <c r="S80" s="3">
        <f t="shared" si="34"/>
        <v>4.095651190975957</v>
      </c>
      <c r="T80" s="3">
        <f t="shared" si="35"/>
        <v>0.97664566963448751</v>
      </c>
      <c r="U80" s="3">
        <f t="shared" si="36"/>
        <v>0.97664566963448751</v>
      </c>
      <c r="V80" s="3">
        <f t="shared" si="37"/>
        <v>0.1538234315767717</v>
      </c>
      <c r="W80" s="4"/>
      <c r="X80" s="3">
        <f t="shared" si="38"/>
        <v>-0.92782499837342103</v>
      </c>
      <c r="Y80" s="14">
        <f t="shared" si="39"/>
        <v>-1.1307187283971598</v>
      </c>
      <c r="Z80" s="15">
        <f t="shared" si="40"/>
        <v>-1.3088517935864414</v>
      </c>
      <c r="AA80" s="15">
        <f t="shared" si="41"/>
        <v>-0.54465319023260117</v>
      </c>
      <c r="AB80" s="15">
        <f t="shared" si="42"/>
        <v>-0.4351317073836265</v>
      </c>
      <c r="AC80" s="15">
        <f t="shared" si="43"/>
        <v>-1.1900809192352886</v>
      </c>
      <c r="AH80" s="15">
        <f t="shared" si="44"/>
        <v>-0.55724510384833004</v>
      </c>
      <c r="AI80" s="15">
        <f t="shared" si="45"/>
        <v>-0.44903660087032421</v>
      </c>
      <c r="AJ80" s="18">
        <f t="shared" si="46"/>
        <v>5.497839621993692</v>
      </c>
      <c r="AK80">
        <f t="shared" si="47"/>
        <v>1</v>
      </c>
      <c r="AL80">
        <f t="shared" si="48"/>
        <v>0.36377925467289934</v>
      </c>
      <c r="AM80">
        <f t="shared" si="49"/>
        <v>1</v>
      </c>
      <c r="AN80">
        <f t="shared" si="50"/>
        <v>-0.55724510384833004</v>
      </c>
      <c r="AO80">
        <f t="shared" si="51"/>
        <v>-0.44903660087032421</v>
      </c>
    </row>
    <row r="81" spans="1:41" x14ac:dyDescent="0.25">
      <c r="B81">
        <f>B78-B71</f>
        <v>-3.4449939287367615E-4</v>
      </c>
      <c r="C81">
        <f>C78-C71</f>
        <v>-6.4897736743216305E-5</v>
      </c>
      <c r="D81" s="5">
        <v>41918</v>
      </c>
      <c r="E81" s="6">
        <v>45.8</v>
      </c>
      <c r="F81" s="6">
        <v>24.84</v>
      </c>
      <c r="G81" s="3">
        <f t="shared" si="29"/>
        <v>0</v>
      </c>
      <c r="H81" s="3">
        <f t="shared" si="29"/>
        <v>-0.32482100238663558</v>
      </c>
      <c r="I81" s="3">
        <f t="shared" si="26"/>
        <v>-3.099380158631735E-2</v>
      </c>
      <c r="J81" s="3">
        <f t="shared" si="27"/>
        <v>-0.35450182410198405</v>
      </c>
      <c r="K81" s="4"/>
      <c r="L81" s="3">
        <f t="shared" si="30"/>
        <v>4.3308514761470098</v>
      </c>
      <c r="M81" s="3">
        <f t="shared" si="31"/>
        <v>0.92360590568177237</v>
      </c>
      <c r="N81" s="3">
        <f t="shared" si="28"/>
        <v>0.92360590568177237</v>
      </c>
      <c r="O81" s="4"/>
      <c r="P81" s="3">
        <f t="shared" si="32"/>
        <v>-3.3264032541965166E-2</v>
      </c>
      <c r="Q81" s="3">
        <f t="shared" si="33"/>
        <v>-0.35373087576789886</v>
      </c>
      <c r="R81" s="4"/>
      <c r="S81" s="3">
        <f t="shared" si="34"/>
        <v>3.8352603323247152</v>
      </c>
      <c r="T81" s="3">
        <f t="shared" si="35"/>
        <v>1.0429539727164829</v>
      </c>
      <c r="U81" s="3">
        <f t="shared" si="36"/>
        <v>1.0429539727164829</v>
      </c>
      <c r="V81" s="3">
        <f t="shared" si="37"/>
        <v>8.8134227009817323E-2</v>
      </c>
      <c r="W81" s="4"/>
      <c r="X81" s="3">
        <f t="shared" si="38"/>
        <v>-0.86497825759676017</v>
      </c>
      <c r="Y81" s="14">
        <f t="shared" si="39"/>
        <v>-0.86866115618643791</v>
      </c>
      <c r="Z81" s="15">
        <f t="shared" si="40"/>
        <v>-0.9553134233866627</v>
      </c>
      <c r="AA81" s="15">
        <f t="shared" si="41"/>
        <v>-3.099380158631735E-2</v>
      </c>
      <c r="AB81" s="15">
        <f t="shared" si="42"/>
        <v>-0.35450182410198405</v>
      </c>
      <c r="AC81" s="15">
        <f t="shared" si="43"/>
        <v>-0.93277936065836653</v>
      </c>
      <c r="AH81" s="15">
        <f t="shared" si="44"/>
        <v>-4.3585715202046189E-2</v>
      </c>
      <c r="AI81" s="15">
        <f t="shared" si="45"/>
        <v>-0.36840671758868176</v>
      </c>
      <c r="AJ81" s="18">
        <f t="shared" si="46"/>
        <v>4.1206667234896477</v>
      </c>
      <c r="AK81">
        <f t="shared" si="47"/>
        <v>1</v>
      </c>
      <c r="AL81">
        <f t="shared" si="48"/>
        <v>0.48535834956006108</v>
      </c>
      <c r="AM81">
        <f t="shared" si="49"/>
        <v>1</v>
      </c>
      <c r="AN81">
        <f t="shared" si="50"/>
        <v>-4.3585715202046189E-2</v>
      </c>
      <c r="AO81">
        <f t="shared" si="51"/>
        <v>-0.36840671758868176</v>
      </c>
    </row>
    <row r="82" spans="1:41" x14ac:dyDescent="0.25">
      <c r="B82">
        <f>B79-B72</f>
        <v>-6.4897736743216305E-5</v>
      </c>
      <c r="C82">
        <f>C79-C72</f>
        <v>-1.0114834936308936E-4</v>
      </c>
      <c r="D82" s="5">
        <v>41915</v>
      </c>
      <c r="E82" s="6">
        <v>45.8</v>
      </c>
      <c r="F82" s="6">
        <v>25.14</v>
      </c>
      <c r="G82" s="3">
        <f t="shared" si="29"/>
        <v>0.30488893776115961</v>
      </c>
      <c r="H82" s="3">
        <f t="shared" si="29"/>
        <v>0.27340297308155886</v>
      </c>
      <c r="I82" s="3">
        <f t="shared" si="26"/>
        <v>0.27389513617484224</v>
      </c>
      <c r="J82" s="3">
        <f t="shared" si="27"/>
        <v>0.24372215136621042</v>
      </c>
      <c r="K82" s="4"/>
      <c r="L82" s="3">
        <f t="shared" si="30"/>
        <v>3.5274922742064154</v>
      </c>
      <c r="M82" s="3">
        <f t="shared" si="31"/>
        <v>1.133950038458946</v>
      </c>
      <c r="N82" s="3">
        <f t="shared" si="28"/>
        <v>1.133950038458946</v>
      </c>
      <c r="O82" s="4"/>
      <c r="P82" s="3">
        <f t="shared" si="32"/>
        <v>0.27162490521919447</v>
      </c>
      <c r="Q82" s="3">
        <f t="shared" si="33"/>
        <v>0.24449309970029559</v>
      </c>
      <c r="R82" s="4"/>
      <c r="S82" s="3">
        <f t="shared" si="34"/>
        <v>3.3352187158814699</v>
      </c>
      <c r="T82" s="3">
        <f t="shared" si="35"/>
        <v>1.1993216459697258</v>
      </c>
      <c r="U82" s="3">
        <f t="shared" si="36"/>
        <v>1.1993216459697258</v>
      </c>
      <c r="V82" s="3">
        <f t="shared" si="37"/>
        <v>-5.1565085014138035E-2</v>
      </c>
      <c r="W82" s="4"/>
      <c r="X82" s="3">
        <f t="shared" si="38"/>
        <v>-0.80180830574197204</v>
      </c>
      <c r="Y82" s="14">
        <f t="shared" si="39"/>
        <v>-0.32813403471935931</v>
      </c>
      <c r="Z82" s="15">
        <f t="shared" si="40"/>
        <v>-0.13460560793729559</v>
      </c>
      <c r="AA82" s="15">
        <f t="shared" si="41"/>
        <v>0.27389513617484224</v>
      </c>
      <c r="AB82" s="15">
        <f t="shared" si="42"/>
        <v>0.24372215136621042</v>
      </c>
      <c r="AC82" s="15">
        <f t="shared" si="43"/>
        <v>-0.36021621284309896</v>
      </c>
      <c r="AH82" s="15">
        <f t="shared" si="44"/>
        <v>0.26130322255911342</v>
      </c>
      <c r="AI82" s="15">
        <f t="shared" si="45"/>
        <v>0.22981725787951268</v>
      </c>
      <c r="AJ82" s="18">
        <f t="shared" si="46"/>
        <v>1.4025588905781958</v>
      </c>
      <c r="AK82">
        <f t="shared" si="47"/>
        <v>1</v>
      </c>
      <c r="AL82">
        <f t="shared" si="48"/>
        <v>1</v>
      </c>
      <c r="AM82">
        <f t="shared" si="49"/>
        <v>0</v>
      </c>
      <c r="AN82">
        <f t="shared" si="50"/>
        <v>0</v>
      </c>
      <c r="AO82">
        <f t="shared" si="51"/>
        <v>0</v>
      </c>
    </row>
    <row r="83" spans="1:41" x14ac:dyDescent="0.25">
      <c r="A83" t="s">
        <v>82</v>
      </c>
      <c r="B83">
        <v>3</v>
      </c>
      <c r="D83" s="5">
        <v>41914</v>
      </c>
      <c r="E83" s="6">
        <v>45.47</v>
      </c>
      <c r="F83" s="6">
        <v>24.89</v>
      </c>
      <c r="G83" s="3">
        <f t="shared" si="29"/>
        <v>-0.1289497917123443</v>
      </c>
      <c r="H83" s="3">
        <f t="shared" si="29"/>
        <v>3.2847948511666565E-2</v>
      </c>
      <c r="I83" s="3">
        <f t="shared" si="26"/>
        <v>-0.15994359329866165</v>
      </c>
      <c r="J83" s="3">
        <f t="shared" si="27"/>
        <v>3.1671267963181149E-3</v>
      </c>
      <c r="K83" s="4"/>
      <c r="L83" s="3">
        <f t="shared" si="30"/>
        <v>3.0842133950697308</v>
      </c>
      <c r="M83" s="3">
        <f t="shared" si="31"/>
        <v>1.2969271213185831</v>
      </c>
      <c r="N83" s="3">
        <f t="shared" si="28"/>
        <v>1.2969271213185831</v>
      </c>
      <c r="O83" s="4"/>
      <c r="P83" s="3">
        <f t="shared" si="32"/>
        <v>-0.16221382425430947</v>
      </c>
      <c r="Q83" s="3">
        <f t="shared" si="33"/>
        <v>3.938075130403295E-3</v>
      </c>
      <c r="R83" s="4"/>
      <c r="S83" s="3">
        <f t="shared" si="34"/>
        <v>3.0564664238793573</v>
      </c>
      <c r="T83" s="3">
        <f t="shared" si="35"/>
        <v>1.3087007822984955</v>
      </c>
      <c r="U83" s="3">
        <f t="shared" si="36"/>
        <v>1.3087007822984955</v>
      </c>
      <c r="V83" s="3">
        <f t="shared" si="37"/>
        <v>-0.13884302799915815</v>
      </c>
      <c r="W83" s="4"/>
      <c r="X83" s="3">
        <f t="shared" si="38"/>
        <v>-0.81600345674055941</v>
      </c>
      <c r="Y83" s="14">
        <f t="shared" si="39"/>
        <v>-2.4640712681641697E-3</v>
      </c>
      <c r="Z83" s="15">
        <f t="shared" si="40"/>
        <v>0.40255666015506686</v>
      </c>
      <c r="AA83" s="15">
        <f t="shared" si="41"/>
        <v>-0.15994359329866165</v>
      </c>
      <c r="AB83" s="15">
        <f t="shared" si="42"/>
        <v>3.1671267963181149E-3</v>
      </c>
      <c r="AC83" s="15">
        <f t="shared" si="43"/>
        <v>-5.2632821621860226E-3</v>
      </c>
      <c r="AH83" s="15">
        <f t="shared" si="44"/>
        <v>-0.17253550691439049</v>
      </c>
      <c r="AI83" s="15">
        <f t="shared" si="45"/>
        <v>-1.0737766690379624E-2</v>
      </c>
      <c r="AJ83" s="18">
        <f t="shared" si="46"/>
        <v>0.25520781715665802</v>
      </c>
      <c r="AK83">
        <f t="shared" si="47"/>
        <v>1</v>
      </c>
      <c r="AL83">
        <f t="shared" si="48"/>
        <v>1</v>
      </c>
      <c r="AM83">
        <f t="shared" si="49"/>
        <v>0</v>
      </c>
      <c r="AN83">
        <f t="shared" si="50"/>
        <v>0</v>
      </c>
      <c r="AO83">
        <f t="shared" si="51"/>
        <v>0</v>
      </c>
    </row>
    <row r="84" spans="1:41" x14ac:dyDescent="0.25">
      <c r="A84" t="s">
        <v>85</v>
      </c>
      <c r="B84">
        <f>CORREL(AN2:AN253,AO2:AO253)</f>
        <v>0.47547902429768968</v>
      </c>
      <c r="D84" s="5">
        <v>41913</v>
      </c>
      <c r="E84" s="6">
        <v>45.61</v>
      </c>
      <c r="F84" s="6">
        <v>24.86</v>
      </c>
      <c r="G84" s="3">
        <f t="shared" si="29"/>
        <v>-0.4194616887345351</v>
      </c>
      <c r="H84" s="3">
        <f t="shared" si="29"/>
        <v>-0.15243200000000059</v>
      </c>
      <c r="I84" s="3">
        <f t="shared" si="26"/>
        <v>-0.45045549032085247</v>
      </c>
      <c r="J84" s="3">
        <f t="shared" si="27"/>
        <v>-0.18211282171534904</v>
      </c>
      <c r="K84" s="4"/>
      <c r="L84" s="3">
        <f t="shared" si="30"/>
        <v>3.5601763266610202</v>
      </c>
      <c r="M84" s="3">
        <f t="shared" si="31"/>
        <v>1.1235398567327357</v>
      </c>
      <c r="N84" s="3">
        <f t="shared" si="28"/>
        <v>1.1235398567327357</v>
      </c>
      <c r="O84" s="4"/>
      <c r="P84" s="3">
        <f t="shared" si="32"/>
        <v>-0.45272572127650024</v>
      </c>
      <c r="Q84" s="3">
        <f t="shared" si="33"/>
        <v>-0.18134187338126387</v>
      </c>
      <c r="R84" s="4"/>
      <c r="S84" s="3">
        <f t="shared" si="34"/>
        <v>3.3616642182248073</v>
      </c>
      <c r="T84" s="3">
        <f t="shared" si="35"/>
        <v>1.1898868359054249</v>
      </c>
      <c r="U84" s="3">
        <f t="shared" si="36"/>
        <v>1.1898868359054249</v>
      </c>
      <c r="V84" s="3">
        <f t="shared" si="37"/>
        <v>-4.3667227415111753E-2</v>
      </c>
      <c r="W84" s="4"/>
      <c r="X84" s="3">
        <f t="shared" si="38"/>
        <v>-0.80264956148554845</v>
      </c>
      <c r="Y84" s="14">
        <f t="shared" si="39"/>
        <v>-0.35806780950480671</v>
      </c>
      <c r="Z84" s="15">
        <f t="shared" si="40"/>
        <v>-0.17149704400563281</v>
      </c>
      <c r="AA84" s="15">
        <f t="shared" si="41"/>
        <v>-0.45045549032085247</v>
      </c>
      <c r="AB84" s="15">
        <f t="shared" si="42"/>
        <v>-0.18211282171534904</v>
      </c>
      <c r="AC84" s="15">
        <f t="shared" si="43"/>
        <v>-0.38518208975351714</v>
      </c>
      <c r="AH84" s="15">
        <f t="shared" si="44"/>
        <v>-0.46304740393658128</v>
      </c>
      <c r="AI84" s="15">
        <f t="shared" si="45"/>
        <v>-0.19601771520204678</v>
      </c>
      <c r="AJ84" s="18">
        <f t="shared" si="46"/>
        <v>1.8393286773391937</v>
      </c>
      <c r="AK84">
        <f t="shared" si="47"/>
        <v>1</v>
      </c>
      <c r="AL84">
        <f t="shared" si="48"/>
        <v>1</v>
      </c>
      <c r="AM84">
        <f t="shared" si="49"/>
        <v>0</v>
      </c>
      <c r="AN84">
        <f t="shared" si="50"/>
        <v>0</v>
      </c>
      <c r="AO84">
        <f t="shared" si="51"/>
        <v>0</v>
      </c>
    </row>
    <row r="85" spans="1:41" x14ac:dyDescent="0.25">
      <c r="A85" t="s">
        <v>86</v>
      </c>
      <c r="B85">
        <f>CORREL(G2:G253,H2:H253)</f>
        <v>0.46591377993360539</v>
      </c>
      <c r="D85" s="5">
        <v>41912</v>
      </c>
      <c r="E85" s="6">
        <v>46.07</v>
      </c>
      <c r="F85" s="6">
        <v>25</v>
      </c>
      <c r="G85" s="3">
        <f t="shared" si="29"/>
        <v>-7.282340195016096E-2</v>
      </c>
      <c r="H85" s="3">
        <f t="shared" si="29"/>
        <v>0.26384491114700953</v>
      </c>
      <c r="I85" s="3">
        <f t="shared" si="26"/>
        <v>-0.1038172035364783</v>
      </c>
      <c r="J85" s="3">
        <f t="shared" si="27"/>
        <v>0.23416408943166109</v>
      </c>
      <c r="K85" s="4"/>
      <c r="L85" s="3">
        <f t="shared" si="30"/>
        <v>3.7736687688317212</v>
      </c>
      <c r="M85" s="3">
        <f t="shared" si="31"/>
        <v>1.0599764433586862</v>
      </c>
      <c r="N85" s="3">
        <f t="shared" si="28"/>
        <v>1.0599764433586862</v>
      </c>
      <c r="O85" s="4"/>
      <c r="P85" s="3">
        <f t="shared" si="32"/>
        <v>-0.10608743449212613</v>
      </c>
      <c r="Q85" s="3">
        <f t="shared" si="33"/>
        <v>0.23493503776574626</v>
      </c>
      <c r="R85" s="4"/>
      <c r="S85" s="3">
        <f t="shared" si="34"/>
        <v>3.4968080312455228</v>
      </c>
      <c r="T85" s="3">
        <f t="shared" si="35"/>
        <v>1.1439003697824517</v>
      </c>
      <c r="U85" s="3">
        <f t="shared" si="36"/>
        <v>1.1439003697824517</v>
      </c>
      <c r="V85" s="3">
        <f t="shared" si="37"/>
        <v>-4.2529149424375134E-3</v>
      </c>
      <c r="W85" s="4"/>
      <c r="X85" s="3">
        <f t="shared" si="38"/>
        <v>-0.81188917910537284</v>
      </c>
      <c r="Y85" s="14">
        <f t="shared" si="39"/>
        <v>-0.50858466562655325</v>
      </c>
      <c r="Z85" s="15">
        <f t="shared" si="40"/>
        <v>-0.40444745556981521</v>
      </c>
      <c r="AA85" s="15">
        <f t="shared" si="41"/>
        <v>-0.1038172035364783</v>
      </c>
      <c r="AB85" s="15">
        <f t="shared" si="42"/>
        <v>0.23416408943166109</v>
      </c>
      <c r="AC85" s="15">
        <f t="shared" si="43"/>
        <v>-0.54453476224433761</v>
      </c>
      <c r="AH85" s="15">
        <f t="shared" si="44"/>
        <v>-0.11640911715220714</v>
      </c>
      <c r="AI85" s="15">
        <f t="shared" si="45"/>
        <v>0.22025919594496335</v>
      </c>
      <c r="AJ85" s="18">
        <f t="shared" si="46"/>
        <v>2.0823063053722652</v>
      </c>
      <c r="AK85">
        <f t="shared" si="47"/>
        <v>1</v>
      </c>
      <c r="AL85">
        <f t="shared" si="48"/>
        <v>0.96047348790141085</v>
      </c>
      <c r="AM85">
        <f t="shared" si="49"/>
        <v>0</v>
      </c>
      <c r="AN85">
        <f t="shared" si="50"/>
        <v>0</v>
      </c>
      <c r="AO85">
        <f t="shared" si="51"/>
        <v>0</v>
      </c>
    </row>
    <row r="86" spans="1:41" x14ac:dyDescent="0.25">
      <c r="D86" s="5">
        <v>41911</v>
      </c>
      <c r="E86" s="6">
        <v>46.15</v>
      </c>
      <c r="F86" s="6">
        <v>24.76</v>
      </c>
      <c r="G86" s="3">
        <f t="shared" si="29"/>
        <v>2.7326539462273369E-2</v>
      </c>
      <c r="H86" s="3">
        <f t="shared" si="29"/>
        <v>0.13256493506493616</v>
      </c>
      <c r="I86" s="3">
        <f t="shared" si="26"/>
        <v>-3.6672621240439809E-3</v>
      </c>
      <c r="J86" s="3">
        <f t="shared" si="27"/>
        <v>0.10288411334958772</v>
      </c>
      <c r="K86" s="4"/>
      <c r="L86" s="3">
        <f t="shared" si="30"/>
        <v>3.1190461628656605</v>
      </c>
      <c r="M86" s="3">
        <f t="shared" si="31"/>
        <v>1.2824433468227199</v>
      </c>
      <c r="N86" s="3">
        <f t="shared" si="28"/>
        <v>1.2824433468227199</v>
      </c>
      <c r="O86" s="4"/>
      <c r="P86" s="3">
        <f t="shared" si="32"/>
        <v>-5.9374930796917968E-3</v>
      </c>
      <c r="Q86" s="3">
        <f t="shared" si="33"/>
        <v>0.10365506168367289</v>
      </c>
      <c r="R86" s="4"/>
      <c r="S86" s="3">
        <f t="shared" si="34"/>
        <v>3.0773349369976102</v>
      </c>
      <c r="T86" s="3">
        <f t="shared" si="35"/>
        <v>1.299826012407536</v>
      </c>
      <c r="U86" s="3">
        <f t="shared" si="36"/>
        <v>1.299826012407536</v>
      </c>
      <c r="V86" s="3">
        <f t="shared" si="37"/>
        <v>-0.13203866321531699</v>
      </c>
      <c r="W86" s="4"/>
      <c r="X86" s="3">
        <f t="shared" si="38"/>
        <v>-0.81330198133056486</v>
      </c>
      <c r="Y86" s="14">
        <f t="shared" si="39"/>
        <v>-2.7512870645532816E-2</v>
      </c>
      <c r="Z86" s="15">
        <f t="shared" si="40"/>
        <v>0.35763429818698989</v>
      </c>
      <c r="AA86" s="15">
        <f t="shared" si="41"/>
        <v>-3.6672621240439809E-3</v>
      </c>
      <c r="AB86" s="15">
        <f t="shared" si="42"/>
        <v>0.10288411334958772</v>
      </c>
      <c r="AC86" s="15">
        <f t="shared" si="43"/>
        <v>-3.432457017412284E-2</v>
      </c>
      <c r="AH86" s="15">
        <f t="shared" si="44"/>
        <v>-1.625917573977282E-2</v>
      </c>
      <c r="AI86" s="15">
        <f t="shared" si="45"/>
        <v>8.897921986288998E-2</v>
      </c>
      <c r="AJ86" s="18">
        <f t="shared" si="46"/>
        <v>0.27889905625004885</v>
      </c>
      <c r="AK86">
        <f t="shared" si="47"/>
        <v>1</v>
      </c>
      <c r="AL86">
        <f t="shared" si="48"/>
        <v>1</v>
      </c>
      <c r="AM86">
        <f t="shared" si="49"/>
        <v>0</v>
      </c>
      <c r="AN86">
        <f t="shared" si="50"/>
        <v>0</v>
      </c>
      <c r="AO86">
        <f t="shared" si="51"/>
        <v>0</v>
      </c>
    </row>
    <row r="87" spans="1:41" x14ac:dyDescent="0.25">
      <c r="D87" s="5">
        <v>41908</v>
      </c>
      <c r="E87" s="6">
        <v>46.12</v>
      </c>
      <c r="F87" s="6">
        <v>24.64</v>
      </c>
      <c r="G87" s="3">
        <f t="shared" si="29"/>
        <v>0.33975300546447851</v>
      </c>
      <c r="H87" s="3">
        <f t="shared" si="29"/>
        <v>0.50636626705250021</v>
      </c>
      <c r="I87" s="3">
        <f t="shared" si="26"/>
        <v>0.30875920387816114</v>
      </c>
      <c r="J87" s="3">
        <f t="shared" si="27"/>
        <v>0.47668544533715174</v>
      </c>
      <c r="K87" s="4"/>
      <c r="L87" s="3">
        <f t="shared" si="30"/>
        <v>5.0036470892814009</v>
      </c>
      <c r="M87" s="3">
        <f t="shared" si="31"/>
        <v>0.79941689104505975</v>
      </c>
      <c r="N87" s="3">
        <f t="shared" si="28"/>
        <v>0.79941689104505975</v>
      </c>
      <c r="O87" s="4"/>
      <c r="P87" s="3">
        <f t="shared" si="32"/>
        <v>0.30648897292251331</v>
      </c>
      <c r="Q87" s="3">
        <f t="shared" si="33"/>
        <v>0.47745639367123693</v>
      </c>
      <c r="R87" s="4"/>
      <c r="S87" s="3">
        <f t="shared" si="34"/>
        <v>4.2701785674651997</v>
      </c>
      <c r="T87" s="3">
        <f t="shared" si="35"/>
        <v>0.93672897674029143</v>
      </c>
      <c r="U87" s="3">
        <f t="shared" si="36"/>
        <v>0.93672897674029143</v>
      </c>
      <c r="V87" s="3">
        <f t="shared" si="37"/>
        <v>0.19555408033777866</v>
      </c>
      <c r="W87" s="4"/>
      <c r="X87" s="3">
        <f t="shared" si="38"/>
        <v>-0.97788405326581351</v>
      </c>
      <c r="Y87" s="14">
        <f t="shared" si="39"/>
        <v>-1.2997303106025957</v>
      </c>
      <c r="Z87" s="15">
        <f t="shared" si="40"/>
        <v>-1.5329250071901759</v>
      </c>
      <c r="AA87" s="15">
        <f t="shared" si="41"/>
        <v>0.30875920387816114</v>
      </c>
      <c r="AB87" s="15">
        <f t="shared" si="42"/>
        <v>0.47668544533715174</v>
      </c>
      <c r="AC87" s="15">
        <f t="shared" si="43"/>
        <v>-1.3563146558943169</v>
      </c>
      <c r="AH87" s="15">
        <f t="shared" si="44"/>
        <v>0.29616729026243233</v>
      </c>
      <c r="AI87" s="15">
        <f t="shared" si="45"/>
        <v>0.46278055185045402</v>
      </c>
      <c r="AJ87" s="18">
        <f t="shared" si="46"/>
        <v>5.5619878439725445</v>
      </c>
      <c r="AK87">
        <f t="shared" si="47"/>
        <v>1</v>
      </c>
      <c r="AL87">
        <f t="shared" si="48"/>
        <v>0.35958366974271161</v>
      </c>
      <c r="AM87">
        <f t="shared" si="49"/>
        <v>1</v>
      </c>
      <c r="AN87">
        <f t="shared" si="50"/>
        <v>0.29616729026243233</v>
      </c>
      <c r="AO87">
        <f t="shared" si="51"/>
        <v>0.46278055185045402</v>
      </c>
    </row>
    <row r="88" spans="1:41" x14ac:dyDescent="0.25">
      <c r="D88" s="5">
        <v>41907</v>
      </c>
      <c r="E88" s="6">
        <v>45.75</v>
      </c>
      <c r="F88" s="6">
        <v>24.19</v>
      </c>
      <c r="G88" s="3">
        <f t="shared" si="29"/>
        <v>-0.92497434801197187</v>
      </c>
      <c r="H88" s="3">
        <f t="shared" si="29"/>
        <v>-0.47541023558082823</v>
      </c>
      <c r="I88" s="3">
        <f t="shared" si="26"/>
        <v>-0.95596814959828924</v>
      </c>
      <c r="J88" s="3">
        <f t="shared" si="27"/>
        <v>-0.50509105729617665</v>
      </c>
      <c r="K88" s="4"/>
      <c r="L88" s="3">
        <f t="shared" si="30"/>
        <v>6.0674877270893512</v>
      </c>
      <c r="M88" s="3">
        <f t="shared" si="31"/>
        <v>0.65925143649509277</v>
      </c>
      <c r="N88" s="3">
        <f t="shared" si="28"/>
        <v>0.65925143649509277</v>
      </c>
      <c r="O88" s="4"/>
      <c r="P88" s="3">
        <f t="shared" si="32"/>
        <v>-0.95823838055393706</v>
      </c>
      <c r="Q88" s="3">
        <f t="shared" si="33"/>
        <v>-0.50432010896209145</v>
      </c>
      <c r="R88" s="4"/>
      <c r="S88" s="3">
        <f t="shared" si="34"/>
        <v>4.9608860446640941</v>
      </c>
      <c r="T88" s="3">
        <f t="shared" si="35"/>
        <v>0.80630757570059108</v>
      </c>
      <c r="U88" s="3">
        <f t="shared" si="36"/>
        <v>0.80630757570059108</v>
      </c>
      <c r="V88" s="3">
        <f t="shared" si="37"/>
        <v>0.34548685359014897</v>
      </c>
      <c r="W88" s="4"/>
      <c r="X88" s="3">
        <f t="shared" si="38"/>
        <v>-1.2173992882202054</v>
      </c>
      <c r="Y88" s="14">
        <f t="shared" si="39"/>
        <v>-1.9225834851541928</v>
      </c>
      <c r="Z88" s="15">
        <f t="shared" si="40"/>
        <v>-2.3040352931609913</v>
      </c>
      <c r="AA88" s="15">
        <f t="shared" si="41"/>
        <v>-0.95596814959828924</v>
      </c>
      <c r="AB88" s="15">
        <f t="shared" si="42"/>
        <v>-0.50509105729617665</v>
      </c>
      <c r="AC88" s="15">
        <f t="shared" si="43"/>
        <v>-1.946085649275993</v>
      </c>
      <c r="AH88" s="15">
        <f t="shared" si="44"/>
        <v>-0.96856006321401811</v>
      </c>
      <c r="AI88" s="15">
        <f t="shared" si="45"/>
        <v>-0.51899595078287442</v>
      </c>
      <c r="AJ88" s="18">
        <f t="shared" si="46"/>
        <v>9.6523209668551093</v>
      </c>
      <c r="AK88">
        <f t="shared" si="47"/>
        <v>0.9656180542826126</v>
      </c>
      <c r="AL88">
        <f t="shared" si="48"/>
        <v>0.20720405039034193</v>
      </c>
      <c r="AM88">
        <f t="shared" si="49"/>
        <v>1</v>
      </c>
      <c r="AN88">
        <f t="shared" si="50"/>
        <v>-0.96856006321401811</v>
      </c>
      <c r="AO88">
        <f t="shared" si="51"/>
        <v>-0.51899595078287442</v>
      </c>
    </row>
    <row r="89" spans="1:41" x14ac:dyDescent="0.25">
      <c r="D89" s="5">
        <v>41906</v>
      </c>
      <c r="E89" s="6">
        <v>46.78</v>
      </c>
      <c r="F89" s="6">
        <v>24.62</v>
      </c>
      <c r="G89" s="3">
        <f t="shared" si="29"/>
        <v>0.46304516965636294</v>
      </c>
      <c r="H89" s="3">
        <f t="shared" si="29"/>
        <v>0.30182340862422946</v>
      </c>
      <c r="I89" s="3">
        <f t="shared" si="26"/>
        <v>0.43205136807004557</v>
      </c>
      <c r="J89" s="3">
        <f t="shared" si="27"/>
        <v>0.27214258690888099</v>
      </c>
      <c r="K89" s="4"/>
      <c r="L89" s="3">
        <f t="shared" si="30"/>
        <v>3.7648173436837191</v>
      </c>
      <c r="M89" s="3">
        <f t="shared" si="31"/>
        <v>1.0624685435830903</v>
      </c>
      <c r="N89" s="3">
        <f t="shared" si="28"/>
        <v>1.0624685435830903</v>
      </c>
      <c r="O89" s="4"/>
      <c r="P89" s="3">
        <f t="shared" si="32"/>
        <v>0.4297811371143978</v>
      </c>
      <c r="Q89" s="3">
        <f t="shared" si="33"/>
        <v>0.27291353524296619</v>
      </c>
      <c r="R89" s="4"/>
      <c r="S89" s="3">
        <f t="shared" si="34"/>
        <v>3.4865973012906619</v>
      </c>
      <c r="T89" s="3">
        <f t="shared" si="35"/>
        <v>1.1472503573955293</v>
      </c>
      <c r="U89" s="3">
        <f t="shared" si="36"/>
        <v>1.1472503573955293</v>
      </c>
      <c r="V89" s="3">
        <f t="shared" si="37"/>
        <v>-7.1771992726787914E-3</v>
      </c>
      <c r="W89" s="4"/>
      <c r="X89" s="3">
        <f t="shared" si="38"/>
        <v>-0.81091942404223927</v>
      </c>
      <c r="Y89" s="14">
        <f t="shared" si="39"/>
        <v>-0.49735286374546128</v>
      </c>
      <c r="Z89" s="15">
        <f t="shared" si="40"/>
        <v>-0.39505413273697609</v>
      </c>
      <c r="AA89" s="15">
        <f t="shared" si="41"/>
        <v>0.43205136807004557</v>
      </c>
      <c r="AB89" s="15">
        <f t="shared" si="42"/>
        <v>0.27214258690888099</v>
      </c>
      <c r="AC89" s="15">
        <f t="shared" si="43"/>
        <v>-0.53805260045975856</v>
      </c>
      <c r="AH89" s="15">
        <f t="shared" si="44"/>
        <v>0.41945945445431676</v>
      </c>
      <c r="AI89" s="15">
        <f t="shared" si="45"/>
        <v>0.25823769342218328</v>
      </c>
      <c r="AJ89" s="18">
        <f t="shared" si="46"/>
        <v>2.1103957262929725</v>
      </c>
      <c r="AK89">
        <f t="shared" si="47"/>
        <v>1</v>
      </c>
      <c r="AL89">
        <f t="shared" si="48"/>
        <v>0.94768956129053161</v>
      </c>
      <c r="AM89">
        <f t="shared" si="49"/>
        <v>0</v>
      </c>
      <c r="AN89">
        <f t="shared" si="50"/>
        <v>0</v>
      </c>
      <c r="AO89">
        <f t="shared" si="51"/>
        <v>0</v>
      </c>
    </row>
    <row r="90" spans="1:41" x14ac:dyDescent="0.25">
      <c r="D90" s="5">
        <v>41905</v>
      </c>
      <c r="E90" s="6">
        <v>46.27</v>
      </c>
      <c r="F90" s="6">
        <v>24.35</v>
      </c>
      <c r="G90" s="3">
        <f t="shared" si="29"/>
        <v>-0.44911267906777841</v>
      </c>
      <c r="H90" s="3">
        <f t="shared" si="29"/>
        <v>-0.28757415684680804</v>
      </c>
      <c r="I90" s="3">
        <f t="shared" si="26"/>
        <v>-0.48010648065409578</v>
      </c>
      <c r="J90" s="3">
        <f t="shared" si="27"/>
        <v>-0.31725497856215651</v>
      </c>
      <c r="K90" s="4"/>
      <c r="L90" s="3">
        <f t="shared" si="30"/>
        <v>4.006823903690969</v>
      </c>
      <c r="M90" s="3">
        <f t="shared" si="31"/>
        <v>0.99829692947456883</v>
      </c>
      <c r="N90" s="3">
        <f t="shared" si="28"/>
        <v>0.99829692947456883</v>
      </c>
      <c r="O90" s="4"/>
      <c r="P90" s="3">
        <f t="shared" si="32"/>
        <v>-0.4823767116097436</v>
      </c>
      <c r="Q90" s="3">
        <f t="shared" si="33"/>
        <v>-0.31648403022807131</v>
      </c>
      <c r="R90" s="4"/>
      <c r="S90" s="3">
        <f t="shared" si="34"/>
        <v>3.6399488527359516</v>
      </c>
      <c r="T90" s="3">
        <f t="shared" si="35"/>
        <v>1.0989165402677066</v>
      </c>
      <c r="U90" s="3">
        <f t="shared" si="36"/>
        <v>1.0989165402677066</v>
      </c>
      <c r="V90" s="3">
        <f t="shared" si="37"/>
        <v>3.5866217271696144E-2</v>
      </c>
      <c r="W90" s="4"/>
      <c r="X90" s="3">
        <f t="shared" si="38"/>
        <v>-0.8296730519193003</v>
      </c>
      <c r="Y90" s="14">
        <f t="shared" si="39"/>
        <v>-0.66370957955278997</v>
      </c>
      <c r="Z90" s="15">
        <f t="shared" si="40"/>
        <v>-0.64425228368667242</v>
      </c>
      <c r="AA90" s="15">
        <f t="shared" si="41"/>
        <v>-0.48010648065409578</v>
      </c>
      <c r="AB90" s="15">
        <f t="shared" si="42"/>
        <v>-0.31725497856215651</v>
      </c>
      <c r="AC90" s="15">
        <f t="shared" si="43"/>
        <v>-0.7116047861461271</v>
      </c>
      <c r="AH90" s="15">
        <f t="shared" si="44"/>
        <v>-0.49269839426982459</v>
      </c>
      <c r="AI90" s="15">
        <f t="shared" si="45"/>
        <v>-0.33115987204885422</v>
      </c>
      <c r="AJ90" s="18">
        <f t="shared" si="46"/>
        <v>3.2647006488522941</v>
      </c>
      <c r="AK90">
        <f t="shared" si="47"/>
        <v>1</v>
      </c>
      <c r="AL90">
        <f t="shared" si="48"/>
        <v>0.61261359466544052</v>
      </c>
      <c r="AM90">
        <f t="shared" si="49"/>
        <v>1</v>
      </c>
      <c r="AN90">
        <f t="shared" si="50"/>
        <v>-0.49269839426982459</v>
      </c>
      <c r="AO90">
        <f t="shared" si="51"/>
        <v>-0.33115987204885422</v>
      </c>
    </row>
    <row r="91" spans="1:41" x14ac:dyDescent="0.25">
      <c r="D91" s="5">
        <v>41904</v>
      </c>
      <c r="E91" s="6">
        <v>46.77</v>
      </c>
      <c r="F91" s="6">
        <v>24.61</v>
      </c>
      <c r="G91" s="3">
        <f t="shared" si="29"/>
        <v>-0.40034942820838249</v>
      </c>
      <c r="H91" s="3">
        <f t="shared" si="29"/>
        <v>-0.2520370370370375</v>
      </c>
      <c r="I91" s="3">
        <f t="shared" si="26"/>
        <v>-0.43134322979469986</v>
      </c>
      <c r="J91" s="3">
        <f t="shared" si="27"/>
        <v>-0.28171785875238597</v>
      </c>
      <c r="K91" s="4"/>
      <c r="L91" s="3">
        <f t="shared" si="30"/>
        <v>3.7998019475359799</v>
      </c>
      <c r="M91" s="3">
        <f t="shared" si="31"/>
        <v>1.0526864439852821</v>
      </c>
      <c r="N91" s="3">
        <f t="shared" si="28"/>
        <v>1.0526864439852821</v>
      </c>
      <c r="O91" s="4"/>
      <c r="P91" s="3">
        <f t="shared" si="32"/>
        <v>-0.43361346075034768</v>
      </c>
      <c r="Q91" s="3">
        <f t="shared" si="33"/>
        <v>-0.28094691041830078</v>
      </c>
      <c r="R91" s="4"/>
      <c r="S91" s="3">
        <f t="shared" si="34"/>
        <v>3.508520128158132</v>
      </c>
      <c r="T91" s="3">
        <f t="shared" si="35"/>
        <v>1.1400818162328401</v>
      </c>
      <c r="U91" s="3">
        <f t="shared" si="36"/>
        <v>1.1400818162328401</v>
      </c>
      <c r="V91" s="3">
        <f t="shared" si="37"/>
        <v>-9.0914444750289647E-4</v>
      </c>
      <c r="W91" s="4"/>
      <c r="X91" s="3">
        <f t="shared" si="38"/>
        <v>-0.81305308063215964</v>
      </c>
      <c r="Y91" s="14">
        <f t="shared" si="39"/>
        <v>-0.52144024945914436</v>
      </c>
      <c r="Z91" s="15">
        <f t="shared" si="40"/>
        <v>-0.43205253483076667</v>
      </c>
      <c r="AA91" s="15">
        <f t="shared" si="41"/>
        <v>-0.43134322979469986</v>
      </c>
      <c r="AB91" s="15">
        <f t="shared" si="42"/>
        <v>-0.28171785875238597</v>
      </c>
      <c r="AC91" s="15">
        <f t="shared" si="43"/>
        <v>-0.56361180318096393</v>
      </c>
      <c r="AH91" s="15">
        <f t="shared" si="44"/>
        <v>-0.44393514341042867</v>
      </c>
      <c r="AI91" s="15">
        <f t="shared" si="45"/>
        <v>-0.29562275223908369</v>
      </c>
      <c r="AJ91" s="18">
        <f t="shared" si="46"/>
        <v>2.6169177778621253</v>
      </c>
      <c r="AK91">
        <f t="shared" si="47"/>
        <v>1</v>
      </c>
      <c r="AL91">
        <f t="shared" si="48"/>
        <v>0.76425786737322998</v>
      </c>
      <c r="AM91">
        <f t="shared" si="49"/>
        <v>0</v>
      </c>
      <c r="AN91">
        <f t="shared" si="50"/>
        <v>0</v>
      </c>
      <c r="AO91">
        <f t="shared" si="51"/>
        <v>0</v>
      </c>
    </row>
    <row r="92" spans="1:41" x14ac:dyDescent="0.25">
      <c r="D92" s="5">
        <v>41901</v>
      </c>
      <c r="E92" s="6">
        <v>47.22</v>
      </c>
      <c r="F92" s="6">
        <v>24.84</v>
      </c>
      <c r="G92" s="3">
        <f t="shared" si="29"/>
        <v>0.75163397283897226</v>
      </c>
      <c r="H92" s="3">
        <f t="shared" si="29"/>
        <v>-2.1898632341109749E-2</v>
      </c>
      <c r="I92" s="3">
        <f t="shared" si="26"/>
        <v>0.72064017125265489</v>
      </c>
      <c r="J92" s="3">
        <f t="shared" si="27"/>
        <v>-5.1579454056458196E-2</v>
      </c>
      <c r="K92" s="4"/>
      <c r="L92" s="3">
        <f t="shared" si="30"/>
        <v>4.8845704016109632</v>
      </c>
      <c r="M92" s="3">
        <f t="shared" si="31"/>
        <v>0.81890517919053307</v>
      </c>
      <c r="N92" s="3">
        <f t="shared" si="28"/>
        <v>0.81890517919053307</v>
      </c>
      <c r="O92" s="4"/>
      <c r="P92" s="3">
        <f t="shared" si="32"/>
        <v>0.71836994029700707</v>
      </c>
      <c r="Q92" s="3">
        <f t="shared" si="33"/>
        <v>-5.0808505722373019E-2</v>
      </c>
      <c r="R92" s="4"/>
      <c r="S92" s="3">
        <f t="shared" si="34"/>
        <v>4.2078894217047296</v>
      </c>
      <c r="T92" s="3">
        <f t="shared" si="35"/>
        <v>0.95059532205565711</v>
      </c>
      <c r="U92" s="3">
        <f t="shared" si="36"/>
        <v>0.95059532205565711</v>
      </c>
      <c r="V92" s="3">
        <f t="shared" si="37"/>
        <v>0.18085935531209074</v>
      </c>
      <c r="W92" s="4"/>
      <c r="X92" s="3">
        <f t="shared" si="38"/>
        <v>-0.95938599278704695</v>
      </c>
      <c r="Y92" s="14">
        <f t="shared" si="39"/>
        <v>-1.2399943502812243</v>
      </c>
      <c r="Z92" s="15">
        <f t="shared" si="40"/>
        <v>-1.4365821067150646</v>
      </c>
      <c r="AA92" s="15">
        <f t="shared" si="41"/>
        <v>0.72064017125265489</v>
      </c>
      <c r="AB92" s="15">
        <f t="shared" si="42"/>
        <v>-5.1579454056458196E-2</v>
      </c>
      <c r="AC92" s="15">
        <f t="shared" si="43"/>
        <v>-1.2845461444988153</v>
      </c>
      <c r="AH92" s="15">
        <f t="shared" si="44"/>
        <v>0.70804825763692603</v>
      </c>
      <c r="AI92" s="15">
        <f t="shared" si="45"/>
        <v>-6.5484347543155935E-2</v>
      </c>
      <c r="AJ92" s="18">
        <f t="shared" si="46"/>
        <v>5.5798889584490095</v>
      </c>
      <c r="AK92">
        <f t="shared" si="47"/>
        <v>1</v>
      </c>
      <c r="AL92">
        <f t="shared" si="48"/>
        <v>0.3584300717976871</v>
      </c>
      <c r="AM92">
        <f t="shared" si="49"/>
        <v>1</v>
      </c>
      <c r="AN92">
        <f t="shared" si="50"/>
        <v>0.70804825763692603</v>
      </c>
      <c r="AO92">
        <f t="shared" si="51"/>
        <v>-6.5484347543155935E-2</v>
      </c>
    </row>
    <row r="93" spans="1:41" x14ac:dyDescent="0.25">
      <c r="D93" s="5">
        <v>41900</v>
      </c>
      <c r="E93" s="6">
        <v>46.39</v>
      </c>
      <c r="F93" s="6">
        <v>24.86</v>
      </c>
      <c r="G93" s="3">
        <f t="shared" si="29"/>
        <v>0.14539476530391857</v>
      </c>
      <c r="H93" s="3">
        <f t="shared" si="29"/>
        <v>1.0953722334001844E-2</v>
      </c>
      <c r="I93" s="3">
        <f t="shared" si="26"/>
        <v>0.11440096371760122</v>
      </c>
      <c r="J93" s="3">
        <f t="shared" si="27"/>
        <v>-1.8727099381346604E-2</v>
      </c>
      <c r="K93" s="4"/>
      <c r="L93" s="3">
        <f t="shared" si="30"/>
        <v>3.0572578209631893</v>
      </c>
      <c r="M93" s="3">
        <f t="shared" si="31"/>
        <v>1.3083620140154879</v>
      </c>
      <c r="N93" s="3">
        <f t="shared" si="28"/>
        <v>1.3083620140154879</v>
      </c>
      <c r="O93" s="4"/>
      <c r="P93" s="3">
        <f t="shared" si="32"/>
        <v>0.1121307327619534</v>
      </c>
      <c r="Q93" s="3">
        <f t="shared" si="33"/>
        <v>-1.7956151047261427E-2</v>
      </c>
      <c r="R93" s="4"/>
      <c r="S93" s="3">
        <f t="shared" si="34"/>
        <v>3.0352085663329658</v>
      </c>
      <c r="T93" s="3">
        <f t="shared" si="35"/>
        <v>1.3178666021072358</v>
      </c>
      <c r="U93" s="3">
        <f t="shared" si="36"/>
        <v>1.3178666021072358</v>
      </c>
      <c r="V93" s="3">
        <f t="shared" si="37"/>
        <v>-0.14582227141013426</v>
      </c>
      <c r="W93" s="4"/>
      <c r="X93" s="3">
        <f t="shared" si="38"/>
        <v>-0.81906343016560212</v>
      </c>
      <c r="Y93" s="14">
        <f t="shared" si="39"/>
        <v>2.316796788216946E-2</v>
      </c>
      <c r="Z93" s="15">
        <f t="shared" si="40"/>
        <v>0.4376697413740871</v>
      </c>
      <c r="AA93" s="15">
        <f t="shared" si="41"/>
        <v>0.11440096371760122</v>
      </c>
      <c r="AB93" s="15">
        <f t="shared" si="42"/>
        <v>-1.8727099381346604E-2</v>
      </c>
      <c r="AC93" s="15">
        <f t="shared" si="43"/>
        <v>1.7371810001560392E-2</v>
      </c>
      <c r="AH93" s="15">
        <f t="shared" si="44"/>
        <v>0.10180905010187238</v>
      </c>
      <c r="AI93" s="15">
        <f t="shared" si="45"/>
        <v>-3.2631992868044343E-2</v>
      </c>
      <c r="AJ93" s="18">
        <f t="shared" si="46"/>
        <v>0.18344028609935625</v>
      </c>
      <c r="AK93">
        <f t="shared" si="47"/>
        <v>1</v>
      </c>
      <c r="AL93">
        <f t="shared" si="48"/>
        <v>1</v>
      </c>
      <c r="AM93">
        <f t="shared" si="49"/>
        <v>0</v>
      </c>
      <c r="AN93">
        <f t="shared" si="50"/>
        <v>0</v>
      </c>
      <c r="AO93">
        <f t="shared" si="51"/>
        <v>0</v>
      </c>
    </row>
    <row r="94" spans="1:41" x14ac:dyDescent="0.25">
      <c r="D94" s="5">
        <v>41899</v>
      </c>
      <c r="E94" s="6">
        <v>46.23</v>
      </c>
      <c r="F94" s="6">
        <v>24.85</v>
      </c>
      <c r="G94" s="3">
        <f t="shared" si="29"/>
        <v>-0.21696578437701922</v>
      </c>
      <c r="H94" s="3">
        <f t="shared" si="29"/>
        <v>-1.094931617055293E-2</v>
      </c>
      <c r="I94" s="3">
        <f t="shared" si="26"/>
        <v>-0.24795958596333656</v>
      </c>
      <c r="J94" s="3">
        <f t="shared" si="27"/>
        <v>-4.0630137885901377E-2</v>
      </c>
      <c r="K94" s="4"/>
      <c r="L94" s="3">
        <f t="shared" si="30"/>
        <v>3.1582649105859426</v>
      </c>
      <c r="M94" s="3">
        <f t="shared" si="31"/>
        <v>1.2665182032681017</v>
      </c>
      <c r="N94" s="3">
        <f t="shared" si="28"/>
        <v>1.2665182032681017</v>
      </c>
      <c r="O94" s="4"/>
      <c r="P94" s="3">
        <f t="shared" si="32"/>
        <v>-0.25022981691898438</v>
      </c>
      <c r="Q94" s="3">
        <f t="shared" si="33"/>
        <v>-3.98591895518162E-2</v>
      </c>
      <c r="R94" s="4"/>
      <c r="S94" s="3">
        <f t="shared" si="34"/>
        <v>3.1046677670013367</v>
      </c>
      <c r="T94" s="3">
        <f t="shared" si="35"/>
        <v>1.2883826226158253</v>
      </c>
      <c r="U94" s="3">
        <f t="shared" si="36"/>
        <v>1.2883826226158253</v>
      </c>
      <c r="V94" s="3">
        <f t="shared" si="37"/>
        <v>-0.12319600797616737</v>
      </c>
      <c r="W94" s="4"/>
      <c r="X94" s="3">
        <f t="shared" si="38"/>
        <v>-0.81020389755287336</v>
      </c>
      <c r="Y94" s="14">
        <f t="shared" si="39"/>
        <v>-6.0152058622781918E-2</v>
      </c>
      <c r="Z94" s="15">
        <f t="shared" si="40"/>
        <v>0.30765205890255848</v>
      </c>
      <c r="AA94" s="15">
        <f t="shared" si="41"/>
        <v>-0.24795958596333656</v>
      </c>
      <c r="AB94" s="15">
        <f t="shared" si="42"/>
        <v>-4.0630137885901377E-2</v>
      </c>
      <c r="AC94" s="15">
        <f t="shared" si="43"/>
        <v>-6.6794401363981293E-2</v>
      </c>
      <c r="AH94" s="15">
        <f t="shared" si="44"/>
        <v>-0.26055149957906543</v>
      </c>
      <c r="AI94" s="15">
        <f t="shared" si="45"/>
        <v>-5.4535031372599116E-2</v>
      </c>
      <c r="AJ94" s="18">
        <f t="shared" si="46"/>
        <v>0.51362470710941921</v>
      </c>
      <c r="AK94">
        <f t="shared" si="47"/>
        <v>1</v>
      </c>
      <c r="AL94">
        <f t="shared" si="48"/>
        <v>1</v>
      </c>
      <c r="AM94">
        <f t="shared" si="49"/>
        <v>0</v>
      </c>
      <c r="AN94">
        <f t="shared" si="50"/>
        <v>0</v>
      </c>
      <c r="AO94">
        <f t="shared" si="51"/>
        <v>0</v>
      </c>
    </row>
    <row r="95" spans="1:41" x14ac:dyDescent="0.25">
      <c r="D95" s="5">
        <v>41898</v>
      </c>
      <c r="E95" s="6">
        <v>46.47</v>
      </c>
      <c r="F95" s="6">
        <v>24.86</v>
      </c>
      <c r="G95" s="3">
        <f t="shared" si="29"/>
        <v>0.47541240478780916</v>
      </c>
      <c r="H95" s="3">
        <f t="shared" si="29"/>
        <v>0.17632388663967627</v>
      </c>
      <c r="I95" s="3">
        <f t="shared" si="26"/>
        <v>0.44441860320149179</v>
      </c>
      <c r="J95" s="3">
        <f t="shared" si="27"/>
        <v>0.14664306492432783</v>
      </c>
      <c r="K95" s="4"/>
      <c r="L95" s="3">
        <f t="shared" si="30"/>
        <v>3.5069340623173719</v>
      </c>
      <c r="M95" s="3">
        <f t="shared" si="31"/>
        <v>1.1405974360854712</v>
      </c>
      <c r="N95" s="3">
        <f t="shared" si="28"/>
        <v>1.1405974360854712</v>
      </c>
      <c r="O95" s="4"/>
      <c r="P95" s="3">
        <f t="shared" si="32"/>
        <v>0.44214837224584402</v>
      </c>
      <c r="Q95" s="3">
        <f t="shared" si="33"/>
        <v>0.147414013258413</v>
      </c>
      <c r="R95" s="4"/>
      <c r="S95" s="3">
        <f t="shared" si="34"/>
        <v>3.323929801738629</v>
      </c>
      <c r="T95" s="3">
        <f t="shared" si="35"/>
        <v>1.2033948484434729</v>
      </c>
      <c r="U95" s="3">
        <f t="shared" si="36"/>
        <v>1.2033948484434729</v>
      </c>
      <c r="V95" s="3">
        <f t="shared" si="37"/>
        <v>-5.4955567985182086E-2</v>
      </c>
      <c r="W95" s="4"/>
      <c r="X95" s="3">
        <f t="shared" si="38"/>
        <v>-0.80155238927078742</v>
      </c>
      <c r="Y95" s="14">
        <f t="shared" si="39"/>
        <v>-0.31530709828215386</v>
      </c>
      <c r="Z95" s="15">
        <f t="shared" si="40"/>
        <v>-0.11122542659975088</v>
      </c>
      <c r="AA95" s="15">
        <f t="shared" si="41"/>
        <v>0.44441860320149179</v>
      </c>
      <c r="AB95" s="15">
        <f t="shared" si="42"/>
        <v>0.14664306492432783</v>
      </c>
      <c r="AC95" s="15">
        <f t="shared" si="43"/>
        <v>-0.34443251160169136</v>
      </c>
      <c r="AH95" s="15">
        <f t="shared" si="44"/>
        <v>0.43182668958576298</v>
      </c>
      <c r="AI95" s="15">
        <f t="shared" si="45"/>
        <v>0.13273817143763009</v>
      </c>
      <c r="AJ95" s="18">
        <f t="shared" si="46"/>
        <v>1.42937473414336</v>
      </c>
      <c r="AK95">
        <f t="shared" si="47"/>
        <v>1</v>
      </c>
      <c r="AL95">
        <f t="shared" si="48"/>
        <v>1</v>
      </c>
      <c r="AM95">
        <f t="shared" si="49"/>
        <v>0</v>
      </c>
      <c r="AN95">
        <f t="shared" si="50"/>
        <v>0</v>
      </c>
      <c r="AO95">
        <f t="shared" si="51"/>
        <v>0</v>
      </c>
    </row>
    <row r="96" spans="1:41" x14ac:dyDescent="0.25">
      <c r="D96" s="5">
        <v>41897</v>
      </c>
      <c r="E96" s="6">
        <v>45.95</v>
      </c>
      <c r="F96" s="6">
        <v>24.7</v>
      </c>
      <c r="G96" s="3">
        <f t="shared" si="29"/>
        <v>-0.41638870932988015</v>
      </c>
      <c r="H96" s="3">
        <f t="shared" si="29"/>
        <v>-0.10975806451613059</v>
      </c>
      <c r="I96" s="3">
        <f t="shared" si="26"/>
        <v>-0.44738251091619752</v>
      </c>
      <c r="J96" s="3">
        <f t="shared" si="27"/>
        <v>-0.13943888623147904</v>
      </c>
      <c r="K96" s="4"/>
      <c r="L96" s="3">
        <f t="shared" si="30"/>
        <v>3.5079048218507558</v>
      </c>
      <c r="M96" s="3">
        <f t="shared" si="31"/>
        <v>1.140281793019007</v>
      </c>
      <c r="N96" s="3">
        <f t="shared" si="28"/>
        <v>1.140281793019007</v>
      </c>
      <c r="O96" s="4"/>
      <c r="P96" s="3">
        <f t="shared" si="32"/>
        <v>-0.44965274187184534</v>
      </c>
      <c r="Q96" s="3">
        <f t="shared" si="33"/>
        <v>-0.13866793789739384</v>
      </c>
      <c r="R96" s="4"/>
      <c r="S96" s="3">
        <f t="shared" si="34"/>
        <v>3.3301738211705296</v>
      </c>
      <c r="T96" s="3">
        <f t="shared" si="35"/>
        <v>1.2011385035133186</v>
      </c>
      <c r="U96" s="3">
        <f t="shared" si="36"/>
        <v>1.2011385035133186</v>
      </c>
      <c r="V96" s="3">
        <f t="shared" si="37"/>
        <v>-5.3078835103859134E-2</v>
      </c>
      <c r="W96" s="4"/>
      <c r="X96" s="3">
        <f t="shared" si="38"/>
        <v>-0.8016862113278278</v>
      </c>
      <c r="Y96" s="14">
        <f t="shared" si="39"/>
        <v>-0.32240545080409455</v>
      </c>
      <c r="Z96" s="15">
        <f t="shared" si="40"/>
        <v>-0.11233251921369236</v>
      </c>
      <c r="AA96" s="15">
        <f t="shared" si="41"/>
        <v>-0.44738251091619752</v>
      </c>
      <c r="AB96" s="15">
        <f t="shared" si="42"/>
        <v>-0.13943888623147904</v>
      </c>
      <c r="AC96" s="15">
        <f t="shared" si="43"/>
        <v>-0.34517922126150824</v>
      </c>
      <c r="AH96" s="15">
        <f t="shared" si="44"/>
        <v>-0.45997442453192633</v>
      </c>
      <c r="AI96" s="15">
        <f t="shared" si="45"/>
        <v>-0.15334377971817678</v>
      </c>
      <c r="AJ96" s="18">
        <f t="shared" si="46"/>
        <v>1.6492379256585736</v>
      </c>
      <c r="AK96">
        <f t="shared" si="47"/>
        <v>1</v>
      </c>
      <c r="AL96">
        <f t="shared" si="48"/>
        <v>1</v>
      </c>
      <c r="AM96">
        <f t="shared" si="49"/>
        <v>0</v>
      </c>
      <c r="AN96">
        <f t="shared" si="50"/>
        <v>0</v>
      </c>
      <c r="AO96">
        <f t="shared" si="51"/>
        <v>0</v>
      </c>
    </row>
    <row r="97" spans="4:41" x14ac:dyDescent="0.25">
      <c r="D97" s="5">
        <v>41894</v>
      </c>
      <c r="E97" s="6">
        <v>46.41</v>
      </c>
      <c r="F97" s="6">
        <v>24.8</v>
      </c>
      <c r="G97" s="3">
        <f t="shared" si="29"/>
        <v>-0.26981374438022215</v>
      </c>
      <c r="H97" s="3">
        <f t="shared" si="29"/>
        <v>-2.1933924254632892E-2</v>
      </c>
      <c r="I97" s="3">
        <f t="shared" si="26"/>
        <v>-0.30080754596653952</v>
      </c>
      <c r="J97" s="3">
        <f t="shared" si="27"/>
        <v>-5.1614745969981342E-2</v>
      </c>
      <c r="K97" s="4"/>
      <c r="L97" s="3">
        <f t="shared" si="30"/>
        <v>3.2316616152250646</v>
      </c>
      <c r="M97" s="3">
        <f t="shared" si="31"/>
        <v>1.2377533529980755</v>
      </c>
      <c r="N97" s="3">
        <f t="shared" si="28"/>
        <v>1.2377533529980755</v>
      </c>
      <c r="O97" s="4"/>
      <c r="P97" s="3">
        <f t="shared" si="32"/>
        <v>-0.30307777692218729</v>
      </c>
      <c r="Q97" s="3">
        <f t="shared" si="33"/>
        <v>-5.0843797635896165E-2</v>
      </c>
      <c r="R97" s="4"/>
      <c r="S97" s="3">
        <f t="shared" si="34"/>
        <v>3.1525817202138375</v>
      </c>
      <c r="T97" s="3">
        <f t="shared" si="35"/>
        <v>1.2688013682096344</v>
      </c>
      <c r="U97" s="3">
        <f t="shared" si="36"/>
        <v>1.2688013682096344</v>
      </c>
      <c r="V97" s="3">
        <f t="shared" si="37"/>
        <v>-0.10788118435911542</v>
      </c>
      <c r="W97" s="4"/>
      <c r="X97" s="3">
        <f t="shared" si="38"/>
        <v>-0.80593027969043929</v>
      </c>
      <c r="Y97" s="14">
        <f t="shared" si="39"/>
        <v>-0.11691220795942767</v>
      </c>
      <c r="Z97" s="15">
        <f t="shared" si="40"/>
        <v>0.2157575027155661</v>
      </c>
      <c r="AA97" s="15">
        <f t="shared" si="41"/>
        <v>-0.30080754596653952</v>
      </c>
      <c r="AB97" s="15">
        <f t="shared" si="42"/>
        <v>-5.1614745969981342E-2</v>
      </c>
      <c r="AC97" s="15">
        <f t="shared" si="43"/>
        <v>-0.12686147141716184</v>
      </c>
      <c r="AH97" s="15">
        <f t="shared" si="44"/>
        <v>-0.31339945958226834</v>
      </c>
      <c r="AI97" s="15">
        <f t="shared" si="45"/>
        <v>-6.5519639456679074E-2</v>
      </c>
      <c r="AJ97" s="18">
        <f t="shared" si="46"/>
        <v>0.74316515162262997</v>
      </c>
      <c r="AK97">
        <f t="shared" si="47"/>
        <v>1</v>
      </c>
      <c r="AL97">
        <f t="shared" si="48"/>
        <v>1</v>
      </c>
      <c r="AM97">
        <f t="shared" si="49"/>
        <v>0</v>
      </c>
      <c r="AN97">
        <f t="shared" si="50"/>
        <v>0</v>
      </c>
      <c r="AO97">
        <f t="shared" si="51"/>
        <v>0</v>
      </c>
    </row>
    <row r="98" spans="4:41" x14ac:dyDescent="0.25">
      <c r="D98" s="5">
        <v>41893</v>
      </c>
      <c r="E98" s="6">
        <v>46.71</v>
      </c>
      <c r="F98" s="6">
        <v>24.82</v>
      </c>
      <c r="G98" s="3">
        <f t="shared" si="29"/>
        <v>0.14439527389903664</v>
      </c>
      <c r="H98" s="3">
        <f t="shared" si="29"/>
        <v>0.27696377696377694</v>
      </c>
      <c r="I98" s="3">
        <f t="shared" si="26"/>
        <v>0.1134014723127193</v>
      </c>
      <c r="J98" s="3">
        <f t="shared" si="27"/>
        <v>0.2472829552484285</v>
      </c>
      <c r="K98" s="4"/>
      <c r="L98" s="3">
        <f t="shared" si="30"/>
        <v>3.5621304128334592</v>
      </c>
      <c r="M98" s="3">
        <f t="shared" si="31"/>
        <v>1.1229235138581695</v>
      </c>
      <c r="N98" s="3">
        <f t="shared" si="28"/>
        <v>1.1229235138581695</v>
      </c>
      <c r="O98" s="4"/>
      <c r="P98" s="3">
        <f t="shared" si="32"/>
        <v>0.11113124135707148</v>
      </c>
      <c r="Q98" s="3">
        <f t="shared" si="33"/>
        <v>0.24805390358251367</v>
      </c>
      <c r="R98" s="4"/>
      <c r="S98" s="3">
        <f t="shared" si="34"/>
        <v>3.3581866742166762</v>
      </c>
      <c r="T98" s="3">
        <f t="shared" si="35"/>
        <v>1.1911190139342185</v>
      </c>
      <c r="U98" s="3">
        <f t="shared" si="36"/>
        <v>1.1911190139342185</v>
      </c>
      <c r="V98" s="3">
        <f t="shared" si="37"/>
        <v>-4.4702229234916402E-2</v>
      </c>
      <c r="W98" s="4"/>
      <c r="X98" s="3">
        <f t="shared" si="38"/>
        <v>-0.80251985376796187</v>
      </c>
      <c r="Y98" s="14">
        <f t="shared" si="39"/>
        <v>-0.354140701930584</v>
      </c>
      <c r="Z98" s="15">
        <f t="shared" si="40"/>
        <v>-0.17369193540016914</v>
      </c>
      <c r="AA98" s="15">
        <f t="shared" si="41"/>
        <v>0.1134014723127193</v>
      </c>
      <c r="AB98" s="15">
        <f t="shared" si="42"/>
        <v>0.2472829552484285</v>
      </c>
      <c r="AC98" s="15">
        <f t="shared" si="43"/>
        <v>-0.38666980309991544</v>
      </c>
      <c r="AH98" s="15">
        <f t="shared" si="44"/>
        <v>0.10080955869699046</v>
      </c>
      <c r="AI98" s="15">
        <f t="shared" si="45"/>
        <v>0.23337806176173076</v>
      </c>
      <c r="AJ98" s="18">
        <f t="shared" si="46"/>
        <v>1.4763751224351738</v>
      </c>
      <c r="AK98">
        <f t="shared" si="47"/>
        <v>1</v>
      </c>
      <c r="AL98">
        <f t="shared" si="48"/>
        <v>1</v>
      </c>
      <c r="AM98">
        <f t="shared" si="49"/>
        <v>0</v>
      </c>
      <c r="AN98">
        <f t="shared" si="50"/>
        <v>0</v>
      </c>
      <c r="AO98">
        <f t="shared" si="51"/>
        <v>0</v>
      </c>
    </row>
    <row r="99" spans="4:41" x14ac:dyDescent="0.25">
      <c r="D99" s="5">
        <v>41892</v>
      </c>
      <c r="E99" s="6">
        <v>46.55</v>
      </c>
      <c r="F99" s="6">
        <v>24.57</v>
      </c>
      <c r="G99" s="3">
        <f t="shared" si="29"/>
        <v>7.2321928125670926E-2</v>
      </c>
      <c r="H99" s="3">
        <f t="shared" si="29"/>
        <v>7.777142857142888E-2</v>
      </c>
      <c r="I99" s="3">
        <f t="shared" si="26"/>
        <v>4.1328126539353575E-2</v>
      </c>
      <c r="J99" s="3">
        <f t="shared" si="27"/>
        <v>4.809060685608043E-2</v>
      </c>
      <c r="K99" s="4"/>
      <c r="L99" s="3">
        <f t="shared" si="30"/>
        <v>3.020045707940707</v>
      </c>
      <c r="M99" s="3">
        <f t="shared" si="31"/>
        <v>1.3244832650984939</v>
      </c>
      <c r="N99" s="3">
        <f t="shared" si="28"/>
        <v>1.3244832650984939</v>
      </c>
      <c r="O99" s="4"/>
      <c r="P99" s="3">
        <f t="shared" si="32"/>
        <v>3.905789558370576E-2</v>
      </c>
      <c r="Q99" s="3">
        <f t="shared" si="33"/>
        <v>4.8861555190165606E-2</v>
      </c>
      <c r="R99" s="4"/>
      <c r="S99" s="3">
        <f t="shared" si="34"/>
        <v>3.0130904801660008</v>
      </c>
      <c r="T99" s="3">
        <f t="shared" si="35"/>
        <v>1.3275406186207948</v>
      </c>
      <c r="U99" s="3">
        <f t="shared" si="36"/>
        <v>1.3275406186207948</v>
      </c>
      <c r="V99" s="3">
        <f t="shared" si="37"/>
        <v>-0.15313601498423424</v>
      </c>
      <c r="W99" s="4"/>
      <c r="X99" s="3">
        <f t="shared" si="38"/>
        <v>-0.82258639545547885</v>
      </c>
      <c r="Y99" s="14">
        <f t="shared" si="39"/>
        <v>4.9962566235352848E-2</v>
      </c>
      <c r="Z99" s="15">
        <f t="shared" si="40"/>
        <v>0.48665538497989969</v>
      </c>
      <c r="AA99" s="15">
        <f t="shared" si="41"/>
        <v>4.1328126539353575E-2</v>
      </c>
      <c r="AB99" s="15">
        <f t="shared" si="42"/>
        <v>4.809060685608043E-2</v>
      </c>
      <c r="AC99" s="15">
        <f t="shared" si="43"/>
        <v>4.8831475784168937E-2</v>
      </c>
      <c r="AH99" s="15">
        <f t="shared" si="44"/>
        <v>2.8736212923624736E-2</v>
      </c>
      <c r="AI99" s="15">
        <f t="shared" si="45"/>
        <v>3.4185713369382691E-2</v>
      </c>
      <c r="AJ99" s="18">
        <f t="shared" si="46"/>
        <v>2.9972290875497153E-2</v>
      </c>
      <c r="AK99">
        <f t="shared" si="47"/>
        <v>1</v>
      </c>
      <c r="AL99">
        <f t="shared" si="48"/>
        <v>1</v>
      </c>
      <c r="AM99">
        <f t="shared" si="49"/>
        <v>0</v>
      </c>
      <c r="AN99">
        <f t="shared" si="50"/>
        <v>0</v>
      </c>
      <c r="AO99">
        <f t="shared" si="51"/>
        <v>0</v>
      </c>
    </row>
    <row r="100" spans="4:41" x14ac:dyDescent="0.25">
      <c r="D100" s="5">
        <v>41891</v>
      </c>
      <c r="E100" s="6">
        <v>46.47</v>
      </c>
      <c r="F100" s="6">
        <v>24.5</v>
      </c>
      <c r="G100" s="3">
        <f t="shared" si="29"/>
        <v>0.26381333910783811</v>
      </c>
      <c r="H100" s="3">
        <f t="shared" si="29"/>
        <v>-9.9625864172427664E-2</v>
      </c>
      <c r="I100" s="3">
        <f t="shared" si="26"/>
        <v>0.23281953752152076</v>
      </c>
      <c r="J100" s="3">
        <f t="shared" si="27"/>
        <v>-0.12930668588777611</v>
      </c>
      <c r="K100" s="4"/>
      <c r="L100" s="3">
        <f t="shared" si="30"/>
        <v>3.522569655758415</v>
      </c>
      <c r="M100" s="3">
        <f t="shared" si="31"/>
        <v>1.1355346780612614</v>
      </c>
      <c r="N100" s="3">
        <f t="shared" si="28"/>
        <v>1.1355346780612614</v>
      </c>
      <c r="O100" s="4"/>
      <c r="P100" s="3">
        <f t="shared" si="32"/>
        <v>0.23054930656587294</v>
      </c>
      <c r="Q100" s="3">
        <f t="shared" si="33"/>
        <v>-0.12853573755369094</v>
      </c>
      <c r="R100" s="4"/>
      <c r="S100" s="3">
        <f t="shared" si="34"/>
        <v>3.3292908909451109</v>
      </c>
      <c r="T100" s="3">
        <f t="shared" si="35"/>
        <v>1.2014570462674381</v>
      </c>
      <c r="U100" s="3">
        <f t="shared" si="36"/>
        <v>1.2014570462674381</v>
      </c>
      <c r="V100" s="3">
        <f t="shared" si="37"/>
        <v>-5.3343999217858595E-2</v>
      </c>
      <c r="W100" s="4"/>
      <c r="X100" s="3">
        <f t="shared" si="38"/>
        <v>-0.80166612428642647</v>
      </c>
      <c r="Y100" s="14">
        <f t="shared" si="39"/>
        <v>-0.32140226121880699</v>
      </c>
      <c r="Z100" s="15">
        <f t="shared" si="40"/>
        <v>-0.12901970608634872</v>
      </c>
      <c r="AA100" s="15">
        <f t="shared" si="41"/>
        <v>0.23281953752152076</v>
      </c>
      <c r="AB100" s="15">
        <f t="shared" si="42"/>
        <v>-0.12930668588777611</v>
      </c>
      <c r="AC100" s="15">
        <f t="shared" si="43"/>
        <v>-0.35644250764434127</v>
      </c>
      <c r="AH100" s="15">
        <f t="shared" si="44"/>
        <v>0.22022762390579192</v>
      </c>
      <c r="AI100" s="15">
        <f t="shared" si="45"/>
        <v>-0.14321157937447385</v>
      </c>
      <c r="AJ100" s="18">
        <f t="shared" si="46"/>
        <v>1.6051019329241925</v>
      </c>
      <c r="AK100">
        <f t="shared" si="47"/>
        <v>1</v>
      </c>
      <c r="AL100">
        <f t="shared" si="48"/>
        <v>1</v>
      </c>
      <c r="AM100">
        <f t="shared" si="49"/>
        <v>0</v>
      </c>
      <c r="AN100">
        <f t="shared" si="50"/>
        <v>0</v>
      </c>
      <c r="AO100">
        <f t="shared" si="51"/>
        <v>0</v>
      </c>
    </row>
    <row r="101" spans="4:41" x14ac:dyDescent="0.25">
      <c r="D101" s="5">
        <v>41890</v>
      </c>
      <c r="E101" s="6">
        <v>46.18</v>
      </c>
      <c r="F101" s="6">
        <v>24.59</v>
      </c>
      <c r="G101" s="3">
        <f t="shared" si="29"/>
        <v>0.51568610258658687</v>
      </c>
      <c r="H101" s="3">
        <f t="shared" si="29"/>
        <v>-5.5235389610390394E-2</v>
      </c>
      <c r="I101" s="3">
        <f t="shared" si="26"/>
        <v>0.4846923010002695</v>
      </c>
      <c r="J101" s="3">
        <f t="shared" si="27"/>
        <v>-8.4916211325738844E-2</v>
      </c>
      <c r="K101" s="4"/>
      <c r="L101" s="3">
        <f t="shared" si="30"/>
        <v>4.0527681019688142</v>
      </c>
      <c r="M101" s="3">
        <f t="shared" si="31"/>
        <v>0.98697973813424467</v>
      </c>
      <c r="N101" s="3">
        <f t="shared" si="28"/>
        <v>0.98697973813424467</v>
      </c>
      <c r="O101" s="4"/>
      <c r="P101" s="3">
        <f t="shared" si="32"/>
        <v>0.48242207004462168</v>
      </c>
      <c r="Q101" s="3">
        <f t="shared" si="33"/>
        <v>-8.414526299165366E-2</v>
      </c>
      <c r="R101" s="4"/>
      <c r="S101" s="3">
        <f t="shared" si="34"/>
        <v>3.6712114920114916</v>
      </c>
      <c r="T101" s="3">
        <f t="shared" si="35"/>
        <v>1.0895585854162715</v>
      </c>
      <c r="U101" s="3">
        <f t="shared" si="36"/>
        <v>1.0895585854162715</v>
      </c>
      <c r="V101" s="3">
        <f t="shared" si="37"/>
        <v>4.4418335904961026E-2</v>
      </c>
      <c r="W101" s="4"/>
      <c r="X101" s="3">
        <f t="shared" si="38"/>
        <v>-0.83452533891768566</v>
      </c>
      <c r="Y101" s="14">
        <f t="shared" si="39"/>
        <v>-0.69702448613723023</v>
      </c>
      <c r="Z101" s="15">
        <f t="shared" si="40"/>
        <v>-0.68985726808682801</v>
      </c>
      <c r="AA101" s="15">
        <f t="shared" si="41"/>
        <v>0.4846923010002695</v>
      </c>
      <c r="AB101" s="15">
        <f t="shared" si="42"/>
        <v>-8.4916211325738844E-2</v>
      </c>
      <c r="AC101" s="15">
        <f t="shared" si="43"/>
        <v>-0.74371931353661325</v>
      </c>
      <c r="AH101" s="15">
        <f t="shared" si="44"/>
        <v>0.47210038738454069</v>
      </c>
      <c r="AI101" s="15">
        <f t="shared" si="45"/>
        <v>-9.8821104812436583E-2</v>
      </c>
      <c r="AJ101" s="18">
        <f t="shared" si="46"/>
        <v>3.1378086604427735</v>
      </c>
      <c r="AK101">
        <f t="shared" si="47"/>
        <v>1</v>
      </c>
      <c r="AL101">
        <f t="shared" si="48"/>
        <v>0.63738749440438525</v>
      </c>
      <c r="AM101">
        <f t="shared" si="49"/>
        <v>1</v>
      </c>
      <c r="AN101">
        <f t="shared" si="50"/>
        <v>0.47210038738454069</v>
      </c>
      <c r="AO101">
        <f t="shared" si="51"/>
        <v>-9.8821104812436583E-2</v>
      </c>
    </row>
    <row r="102" spans="4:41" x14ac:dyDescent="0.25">
      <c r="D102" s="5">
        <v>41887</v>
      </c>
      <c r="E102" s="6">
        <v>45.62</v>
      </c>
      <c r="F102" s="6">
        <v>24.64</v>
      </c>
      <c r="G102" s="3">
        <f t="shared" si="29"/>
        <v>0.59774121831925353</v>
      </c>
      <c r="H102" s="3">
        <f t="shared" si="29"/>
        <v>9.9788187372708587E-2</v>
      </c>
      <c r="I102" s="3">
        <f t="shared" si="26"/>
        <v>0.56674741673293616</v>
      </c>
      <c r="J102" s="3">
        <f t="shared" si="27"/>
        <v>7.0107365657360143E-2</v>
      </c>
      <c r="K102" s="4"/>
      <c r="L102" s="3">
        <f t="shared" si="30"/>
        <v>3.8567689328119563</v>
      </c>
      <c r="M102" s="3">
        <f t="shared" si="31"/>
        <v>1.037137580623378</v>
      </c>
      <c r="N102" s="3">
        <f t="shared" si="28"/>
        <v>1.037137580623378</v>
      </c>
      <c r="O102" s="4"/>
      <c r="P102" s="3">
        <f t="shared" si="32"/>
        <v>0.56447718577728834</v>
      </c>
      <c r="Q102" s="3">
        <f t="shared" si="33"/>
        <v>7.0878313991445313E-2</v>
      </c>
      <c r="R102" s="4"/>
      <c r="S102" s="3">
        <f t="shared" si="34"/>
        <v>3.5491455825796887</v>
      </c>
      <c r="T102" s="3">
        <f t="shared" si="35"/>
        <v>1.1270318184842136</v>
      </c>
      <c r="U102" s="3">
        <f t="shared" si="36"/>
        <v>1.1270318184842136</v>
      </c>
      <c r="V102" s="3">
        <f t="shared" si="37"/>
        <v>1.0603422024857423E-2</v>
      </c>
      <c r="W102" s="4"/>
      <c r="X102" s="3">
        <f t="shared" si="38"/>
        <v>-0.81750684688665731</v>
      </c>
      <c r="Y102" s="14">
        <f t="shared" si="39"/>
        <v>-0.5658043940788049</v>
      </c>
      <c r="Z102" s="15">
        <f t="shared" si="40"/>
        <v>-0.49157582523093701</v>
      </c>
      <c r="AA102" s="15">
        <f t="shared" si="41"/>
        <v>0.56674741673293616</v>
      </c>
      <c r="AB102" s="15">
        <f t="shared" si="42"/>
        <v>7.0107365657360143E-2</v>
      </c>
      <c r="AC102" s="15">
        <f t="shared" si="43"/>
        <v>-0.60488463741072329</v>
      </c>
      <c r="AH102" s="15">
        <f t="shared" si="44"/>
        <v>0.55415550311720729</v>
      </c>
      <c r="AI102" s="15">
        <f t="shared" si="45"/>
        <v>5.6202472170662397E-2</v>
      </c>
      <c r="AJ102" s="18">
        <f t="shared" si="46"/>
        <v>2.5086509146448872</v>
      </c>
      <c r="AK102">
        <f t="shared" si="47"/>
        <v>1</v>
      </c>
      <c r="AL102">
        <f t="shared" si="48"/>
        <v>0.79724125358553943</v>
      </c>
      <c r="AM102">
        <f t="shared" si="49"/>
        <v>0</v>
      </c>
      <c r="AN102">
        <f t="shared" si="50"/>
        <v>0</v>
      </c>
      <c r="AO102">
        <f t="shared" si="51"/>
        <v>0</v>
      </c>
    </row>
    <row r="103" spans="4:41" x14ac:dyDescent="0.25">
      <c r="D103" s="5">
        <v>41886</v>
      </c>
      <c r="E103" s="6">
        <v>44.98</v>
      </c>
      <c r="F103" s="6">
        <v>24.55</v>
      </c>
      <c r="G103" s="3">
        <f t="shared" si="29"/>
        <v>0.2820725156669624</v>
      </c>
      <c r="H103" s="3">
        <f t="shared" si="29"/>
        <v>-0.14337925445704913</v>
      </c>
      <c r="I103" s="3">
        <f t="shared" si="26"/>
        <v>0.25107871408064503</v>
      </c>
      <c r="J103" s="3">
        <f t="shared" si="27"/>
        <v>-0.17306007617239758</v>
      </c>
      <c r="K103" s="4"/>
      <c r="L103" s="3">
        <f t="shared" si="30"/>
        <v>3.7701978859202754</v>
      </c>
      <c r="M103" s="3">
        <f t="shared" si="31"/>
        <v>1.0609522685633865</v>
      </c>
      <c r="N103" s="3">
        <f t="shared" si="28"/>
        <v>1.0609522685633865</v>
      </c>
      <c r="O103" s="4"/>
      <c r="P103" s="3">
        <f t="shared" si="32"/>
        <v>0.24880848312499723</v>
      </c>
      <c r="Q103" s="3">
        <f t="shared" si="33"/>
        <v>-0.17228912783831241</v>
      </c>
      <c r="R103" s="4"/>
      <c r="S103" s="3">
        <f t="shared" si="34"/>
        <v>3.4859563343272795</v>
      </c>
      <c r="T103" s="3">
        <f t="shared" si="35"/>
        <v>1.1474613036918377</v>
      </c>
      <c r="U103" s="3">
        <f t="shared" si="36"/>
        <v>1.1474613036918377</v>
      </c>
      <c r="V103" s="3">
        <f t="shared" si="37"/>
        <v>-7.3610534323531596E-3</v>
      </c>
      <c r="W103" s="4"/>
      <c r="X103" s="3">
        <f t="shared" si="38"/>
        <v>-0.81085995786850473</v>
      </c>
      <c r="Y103" s="14">
        <f t="shared" si="39"/>
        <v>-0.49664704696450601</v>
      </c>
      <c r="Z103" s="15">
        <f t="shared" si="40"/>
        <v>-0.40076670847795404</v>
      </c>
      <c r="AA103" s="15">
        <f t="shared" si="41"/>
        <v>0.25107871408064503</v>
      </c>
      <c r="AB103" s="15">
        <f t="shared" si="42"/>
        <v>-0.17306007617239758</v>
      </c>
      <c r="AC103" s="15">
        <f t="shared" si="43"/>
        <v>-0.54199418331137206</v>
      </c>
      <c r="AH103" s="15">
        <f t="shared" si="44"/>
        <v>0.23848680046491622</v>
      </c>
      <c r="AI103" s="15">
        <f t="shared" si="45"/>
        <v>-0.18696496965909531</v>
      </c>
      <c r="AJ103" s="18">
        <f t="shared" si="46"/>
        <v>2.3502697431744437</v>
      </c>
      <c r="AK103">
        <f t="shared" si="47"/>
        <v>1</v>
      </c>
      <c r="AL103">
        <f t="shared" si="48"/>
        <v>0.85096615220798266</v>
      </c>
      <c r="AM103">
        <f t="shared" si="49"/>
        <v>0</v>
      </c>
      <c r="AN103">
        <f t="shared" si="50"/>
        <v>0</v>
      </c>
      <c r="AO103">
        <f t="shared" si="51"/>
        <v>0</v>
      </c>
    </row>
    <row r="104" spans="4:41" x14ac:dyDescent="0.25">
      <c r="D104" s="5">
        <v>41885</v>
      </c>
      <c r="E104" s="6">
        <v>44.68</v>
      </c>
      <c r="F104" s="6">
        <v>24.68</v>
      </c>
      <c r="G104" s="3">
        <f t="shared" si="29"/>
        <v>-0.12187681321133914</v>
      </c>
      <c r="H104" s="3">
        <f t="shared" si="29"/>
        <v>0.17761827079934761</v>
      </c>
      <c r="I104" s="3">
        <f t="shared" si="26"/>
        <v>-0.15287061479765648</v>
      </c>
      <c r="J104" s="3">
        <f t="shared" si="27"/>
        <v>0.14793744908399917</v>
      </c>
      <c r="K104" s="4"/>
      <c r="L104" s="3">
        <f t="shared" si="30"/>
        <v>3.4404194056540569</v>
      </c>
      <c r="M104" s="3">
        <f t="shared" si="31"/>
        <v>1.1626489472261192</v>
      </c>
      <c r="N104" s="3">
        <f t="shared" si="28"/>
        <v>1.1626489472261192</v>
      </c>
      <c r="O104" s="4"/>
      <c r="P104" s="3">
        <f t="shared" si="32"/>
        <v>-0.15514084575330431</v>
      </c>
      <c r="Q104" s="3">
        <f t="shared" si="33"/>
        <v>0.14870839741808434</v>
      </c>
      <c r="R104" s="4"/>
      <c r="S104" s="3">
        <f t="shared" si="34"/>
        <v>3.2854248087739251</v>
      </c>
      <c r="T104" s="3">
        <f t="shared" si="35"/>
        <v>1.2174985680140233</v>
      </c>
      <c r="U104" s="3">
        <f t="shared" si="36"/>
        <v>1.2174985680140233</v>
      </c>
      <c r="V104" s="3">
        <f t="shared" si="37"/>
        <v>-6.6607294009202178E-2</v>
      </c>
      <c r="W104" s="4"/>
      <c r="X104" s="3">
        <f t="shared" si="38"/>
        <v>-0.80115848845667315</v>
      </c>
      <c r="Y104" s="14">
        <f t="shared" si="39"/>
        <v>-0.27133342522223658</v>
      </c>
      <c r="Z104" s="15">
        <f t="shared" si="40"/>
        <v>-3.4630286419945921E-2</v>
      </c>
      <c r="AA104" s="15">
        <f t="shared" si="41"/>
        <v>-0.15287061479765648</v>
      </c>
      <c r="AB104" s="15">
        <f t="shared" si="42"/>
        <v>0.14793744908399917</v>
      </c>
      <c r="AC104" s="15">
        <f t="shared" si="43"/>
        <v>-0.2929344762735529</v>
      </c>
      <c r="AH104" s="15">
        <f t="shared" si="44"/>
        <v>-0.16546252841338532</v>
      </c>
      <c r="AI104" s="15">
        <f t="shared" si="45"/>
        <v>0.13403255559730143</v>
      </c>
      <c r="AJ104" s="18">
        <f t="shared" si="46"/>
        <v>1.1789425093953092</v>
      </c>
      <c r="AK104">
        <f t="shared" si="47"/>
        <v>1</v>
      </c>
      <c r="AL104">
        <f t="shared" si="48"/>
        <v>1</v>
      </c>
      <c r="AM104">
        <f t="shared" si="49"/>
        <v>0</v>
      </c>
      <c r="AN104">
        <f t="shared" si="50"/>
        <v>0</v>
      </c>
      <c r="AO104">
        <f t="shared" si="51"/>
        <v>0</v>
      </c>
    </row>
    <row r="105" spans="4:41" x14ac:dyDescent="0.25">
      <c r="D105" s="5">
        <v>41884</v>
      </c>
      <c r="E105" s="6">
        <v>44.81</v>
      </c>
      <c r="F105" s="6">
        <v>24.52</v>
      </c>
      <c r="G105" s="3">
        <f t="shared" si="29"/>
        <v>-0.31635437430785923</v>
      </c>
      <c r="H105" s="3">
        <f t="shared" si="29"/>
        <v>-0.12156719447827789</v>
      </c>
      <c r="I105" s="3">
        <f t="shared" si="26"/>
        <v>-0.3473481758941766</v>
      </c>
      <c r="J105" s="3">
        <f t="shared" si="27"/>
        <v>-0.15124801619362635</v>
      </c>
      <c r="K105" s="4"/>
      <c r="L105" s="3">
        <f t="shared" si="30"/>
        <v>3.3472740820952556</v>
      </c>
      <c r="M105" s="3">
        <f t="shared" si="31"/>
        <v>1.1950022322331504</v>
      </c>
      <c r="N105" s="3">
        <f t="shared" si="28"/>
        <v>1.1950022322331504</v>
      </c>
      <c r="O105" s="4"/>
      <c r="P105" s="3">
        <f t="shared" si="32"/>
        <v>-0.34961840684982437</v>
      </c>
      <c r="Q105" s="3">
        <f t="shared" si="33"/>
        <v>-0.15047706785954115</v>
      </c>
      <c r="R105" s="4"/>
      <c r="S105" s="3">
        <f t="shared" si="34"/>
        <v>3.2240053986208856</v>
      </c>
      <c r="T105" s="3">
        <f t="shared" si="35"/>
        <v>1.240692711529285</v>
      </c>
      <c r="U105" s="3">
        <f t="shared" si="36"/>
        <v>1.240692711529285</v>
      </c>
      <c r="V105" s="3">
        <f t="shared" si="37"/>
        <v>-8.5478612669165344E-2</v>
      </c>
      <c r="W105" s="4"/>
      <c r="X105" s="3">
        <f t="shared" si="38"/>
        <v>-0.80213453305867732</v>
      </c>
      <c r="Y105" s="14">
        <f t="shared" si="39"/>
        <v>-0.20046715944194848</v>
      </c>
      <c r="Z105" s="15">
        <f t="shared" si="40"/>
        <v>7.5158019345175187E-2</v>
      </c>
      <c r="AA105" s="15">
        <f t="shared" si="41"/>
        <v>-0.3473481758941766</v>
      </c>
      <c r="AB105" s="15">
        <f t="shared" si="42"/>
        <v>-0.15124801619362635</v>
      </c>
      <c r="AC105" s="15">
        <f t="shared" si="43"/>
        <v>-0.21968518475107274</v>
      </c>
      <c r="AH105" s="15">
        <f t="shared" si="44"/>
        <v>-0.35994008950990541</v>
      </c>
      <c r="AI105" s="15">
        <f t="shared" si="45"/>
        <v>-0.16515290968032409</v>
      </c>
      <c r="AJ105" s="18">
        <f t="shared" si="46"/>
        <v>1.1699832434816491</v>
      </c>
      <c r="AK105">
        <f t="shared" si="47"/>
        <v>1</v>
      </c>
      <c r="AL105">
        <f t="shared" si="48"/>
        <v>1</v>
      </c>
      <c r="AM105">
        <f t="shared" si="49"/>
        <v>0</v>
      </c>
      <c r="AN105">
        <f t="shared" si="50"/>
        <v>0</v>
      </c>
      <c r="AO105">
        <f t="shared" si="51"/>
        <v>0</v>
      </c>
    </row>
    <row r="106" spans="4:41" x14ac:dyDescent="0.25">
      <c r="D106" s="5">
        <v>41880</v>
      </c>
      <c r="E106" s="6">
        <v>45.15</v>
      </c>
      <c r="F106" s="6">
        <v>24.63</v>
      </c>
      <c r="G106" s="3">
        <f t="shared" si="29"/>
        <v>0.51806053811658925</v>
      </c>
      <c r="H106" s="3">
        <f t="shared" si="29"/>
        <v>0.15560636994691776</v>
      </c>
      <c r="I106" s="3">
        <f t="shared" si="26"/>
        <v>0.48706673653027188</v>
      </c>
      <c r="J106" s="3">
        <f t="shared" si="27"/>
        <v>0.12592554823156932</v>
      </c>
      <c r="K106" s="4"/>
      <c r="L106" s="3">
        <f t="shared" si="30"/>
        <v>3.5919328017250014</v>
      </c>
      <c r="M106" s="3">
        <f t="shared" si="31"/>
        <v>1.1136065791874021</v>
      </c>
      <c r="N106" s="3">
        <f t="shared" si="28"/>
        <v>1.1136065791874021</v>
      </c>
      <c r="O106" s="4"/>
      <c r="P106" s="3">
        <f t="shared" si="32"/>
        <v>0.48479650557462406</v>
      </c>
      <c r="Q106" s="3">
        <f t="shared" si="33"/>
        <v>0.12669649656565449</v>
      </c>
      <c r="R106" s="4"/>
      <c r="S106" s="3">
        <f t="shared" si="34"/>
        <v>3.3787781749594421</v>
      </c>
      <c r="T106" s="3">
        <f t="shared" si="35"/>
        <v>1.1838599022701497</v>
      </c>
      <c r="U106" s="3">
        <f t="shared" si="36"/>
        <v>1.1838599022701497</v>
      </c>
      <c r="V106" s="3">
        <f t="shared" si="37"/>
        <v>-3.8589245251463566E-2</v>
      </c>
      <c r="W106" s="4"/>
      <c r="X106" s="3">
        <f t="shared" si="38"/>
        <v>-0.80337062769590006</v>
      </c>
      <c r="Y106" s="14">
        <f t="shared" si="39"/>
        <v>-0.3773541067268395</v>
      </c>
      <c r="Z106" s="15">
        <f t="shared" si="40"/>
        <v>-0.20701851963094853</v>
      </c>
      <c r="AA106" s="15">
        <f t="shared" si="41"/>
        <v>0.48706673653027188</v>
      </c>
      <c r="AB106" s="15">
        <f t="shared" si="42"/>
        <v>0.12592554823156932</v>
      </c>
      <c r="AC106" s="15">
        <f t="shared" si="43"/>
        <v>-0.40929108689801935</v>
      </c>
      <c r="AH106" s="15">
        <f t="shared" si="44"/>
        <v>0.47447482291454307</v>
      </c>
      <c r="AI106" s="15">
        <f t="shared" si="45"/>
        <v>0.11202065474487158</v>
      </c>
      <c r="AJ106" s="18">
        <f t="shared" si="46"/>
        <v>1.6955996388992742</v>
      </c>
      <c r="AK106">
        <f t="shared" si="47"/>
        <v>1</v>
      </c>
      <c r="AL106">
        <f t="shared" si="48"/>
        <v>1</v>
      </c>
      <c r="AM106">
        <f t="shared" si="49"/>
        <v>0</v>
      </c>
      <c r="AN106">
        <f t="shared" si="50"/>
        <v>0</v>
      </c>
      <c r="AO106">
        <f t="shared" si="51"/>
        <v>0</v>
      </c>
    </row>
    <row r="107" spans="4:41" x14ac:dyDescent="0.25">
      <c r="D107" s="5">
        <v>41879</v>
      </c>
      <c r="E107" s="6">
        <v>44.6</v>
      </c>
      <c r="F107" s="6">
        <v>24.49</v>
      </c>
      <c r="G107" s="3">
        <f t="shared" si="29"/>
        <v>9.4213949315971376E-3</v>
      </c>
      <c r="H107" s="3">
        <f t="shared" si="29"/>
        <v>5.5687397708671128E-2</v>
      </c>
      <c r="I107" s="3">
        <f t="shared" si="26"/>
        <v>-2.1572406654720211E-2</v>
      </c>
      <c r="J107" s="3">
        <f t="shared" si="27"/>
        <v>2.6006575993322678E-2</v>
      </c>
      <c r="K107" s="4"/>
      <c r="L107" s="3">
        <f t="shared" si="30"/>
        <v>3.0120359350167534</v>
      </c>
      <c r="M107" s="3">
        <f t="shared" si="31"/>
        <v>1.3280054044168472</v>
      </c>
      <c r="N107" s="3">
        <f t="shared" si="28"/>
        <v>1.3280054044168472</v>
      </c>
      <c r="O107" s="4"/>
      <c r="P107" s="3">
        <f t="shared" si="32"/>
        <v>-2.3842637610368027E-2</v>
      </c>
      <c r="Q107" s="3">
        <f t="shared" si="33"/>
        <v>2.6777524327407858E-2</v>
      </c>
      <c r="R107" s="4"/>
      <c r="S107" s="3">
        <f t="shared" si="34"/>
        <v>3.0084322767448386</v>
      </c>
      <c r="T107" s="3">
        <f t="shared" si="35"/>
        <v>1.3295961590759324</v>
      </c>
      <c r="U107" s="3">
        <f t="shared" si="36"/>
        <v>1.3295961590759324</v>
      </c>
      <c r="V107" s="3">
        <f t="shared" si="37"/>
        <v>-0.15468317600797477</v>
      </c>
      <c r="W107" s="4"/>
      <c r="X107" s="3">
        <f t="shared" si="38"/>
        <v>-0.8233733542694841</v>
      </c>
      <c r="Y107" s="14">
        <f t="shared" si="39"/>
        <v>5.5622077937057916E-2</v>
      </c>
      <c r="Z107" s="15">
        <f t="shared" si="40"/>
        <v>0.4972782884559741</v>
      </c>
      <c r="AA107" s="15">
        <f t="shared" si="41"/>
        <v>-2.1572406654720211E-2</v>
      </c>
      <c r="AB107" s="15">
        <f t="shared" si="42"/>
        <v>2.6006575993322678E-2</v>
      </c>
      <c r="AC107" s="15">
        <f t="shared" si="43"/>
        <v>5.5635537746435162E-2</v>
      </c>
      <c r="AH107" s="15">
        <f t="shared" si="44"/>
        <v>-3.416432027044905E-2</v>
      </c>
      <c r="AI107" s="15">
        <f t="shared" si="45"/>
        <v>1.2101682506624939E-2</v>
      </c>
      <c r="AJ107" s="18">
        <f t="shared" si="46"/>
        <v>2.2120004306284885E-2</v>
      </c>
      <c r="AK107">
        <f t="shared" si="47"/>
        <v>1</v>
      </c>
      <c r="AL107">
        <f t="shared" si="48"/>
        <v>1</v>
      </c>
      <c r="AM107">
        <f t="shared" si="49"/>
        <v>0</v>
      </c>
      <c r="AN107">
        <f t="shared" si="50"/>
        <v>0</v>
      </c>
      <c r="AO107">
        <f t="shared" si="51"/>
        <v>0</v>
      </c>
    </row>
    <row r="108" spans="4:41" x14ac:dyDescent="0.25">
      <c r="D108" s="5">
        <v>41878</v>
      </c>
      <c r="E108" s="6">
        <v>44.59</v>
      </c>
      <c r="F108" s="6">
        <v>24.44</v>
      </c>
      <c r="G108" s="3">
        <f t="shared" si="29"/>
        <v>-0.13148669796556506</v>
      </c>
      <c r="H108" s="3">
        <f t="shared" si="29"/>
        <v>-1.1132924335376108E-2</v>
      </c>
      <c r="I108" s="3">
        <f t="shared" si="26"/>
        <v>-0.1624804995518824</v>
      </c>
      <c r="J108" s="3">
        <f t="shared" si="27"/>
        <v>-4.0813746050724561E-2</v>
      </c>
      <c r="K108" s="4"/>
      <c r="L108" s="3">
        <f t="shared" si="30"/>
        <v>3.0658461597770486</v>
      </c>
      <c r="M108" s="3">
        <f t="shared" si="31"/>
        <v>1.3046969063479963</v>
      </c>
      <c r="N108" s="3">
        <f t="shared" si="28"/>
        <v>1.3046969063479963</v>
      </c>
      <c r="O108" s="4"/>
      <c r="P108" s="3">
        <f t="shared" si="32"/>
        <v>-0.16475073050753022</v>
      </c>
      <c r="Q108" s="3">
        <f t="shared" si="33"/>
        <v>-4.0042797716639378E-2</v>
      </c>
      <c r="R108" s="4"/>
      <c r="S108" s="3">
        <f t="shared" si="34"/>
        <v>3.043745378902607</v>
      </c>
      <c r="T108" s="3">
        <f t="shared" si="35"/>
        <v>1.3141703730297445</v>
      </c>
      <c r="U108" s="3">
        <f t="shared" si="36"/>
        <v>1.3141703730297445</v>
      </c>
      <c r="V108" s="3">
        <f t="shared" si="37"/>
        <v>-0.14301366487501355</v>
      </c>
      <c r="W108" s="4"/>
      <c r="X108" s="3">
        <f t="shared" si="38"/>
        <v>-0.81779669994116189</v>
      </c>
      <c r="Y108" s="14">
        <f t="shared" si="39"/>
        <v>1.2860431342237071E-2</v>
      </c>
      <c r="Z108" s="15">
        <f t="shared" si="40"/>
        <v>0.42644883841652309</v>
      </c>
      <c r="AA108" s="15">
        <f t="shared" si="41"/>
        <v>-0.1624804995518824</v>
      </c>
      <c r="AB108" s="15">
        <f t="shared" si="42"/>
        <v>-4.0813746050724561E-2</v>
      </c>
      <c r="AC108" s="15">
        <f t="shared" si="43"/>
        <v>1.0146110480494921E-2</v>
      </c>
      <c r="AH108" s="15">
        <f t="shared" si="44"/>
        <v>-0.17507241316761124</v>
      </c>
      <c r="AI108" s="15">
        <f t="shared" si="45"/>
        <v>-5.4718639537422301E-2</v>
      </c>
      <c r="AJ108" s="18">
        <f t="shared" si="46"/>
        <v>0.23562708734791643</v>
      </c>
      <c r="AK108">
        <f t="shared" si="47"/>
        <v>1</v>
      </c>
      <c r="AL108">
        <f t="shared" si="48"/>
        <v>1</v>
      </c>
      <c r="AM108">
        <f t="shared" si="49"/>
        <v>0</v>
      </c>
      <c r="AN108">
        <f t="shared" si="50"/>
        <v>0</v>
      </c>
      <c r="AO108">
        <f t="shared" si="51"/>
        <v>0</v>
      </c>
    </row>
    <row r="109" spans="4:41" x14ac:dyDescent="0.25">
      <c r="D109" s="5">
        <v>41877</v>
      </c>
      <c r="E109" s="6">
        <v>44.73</v>
      </c>
      <c r="F109" s="6">
        <v>24.45</v>
      </c>
      <c r="G109" s="3">
        <f t="shared" si="29"/>
        <v>-0.14973490755179672</v>
      </c>
      <c r="H109" s="3">
        <f t="shared" si="29"/>
        <v>0.11178644763860131</v>
      </c>
      <c r="I109" s="3">
        <f t="shared" si="26"/>
        <v>-0.18072870913811406</v>
      </c>
      <c r="J109" s="3">
        <f t="shared" si="27"/>
        <v>8.2105625923252851E-2</v>
      </c>
      <c r="K109" s="4"/>
      <c r="L109" s="3">
        <f t="shared" si="30"/>
        <v>3.259902370513645</v>
      </c>
      <c r="M109" s="3">
        <f t="shared" si="31"/>
        <v>1.2270306117694383</v>
      </c>
      <c r="N109" s="3">
        <f t="shared" si="28"/>
        <v>1.2270306117694383</v>
      </c>
      <c r="O109" s="4"/>
      <c r="P109" s="3">
        <f t="shared" si="32"/>
        <v>-0.18299894009376189</v>
      </c>
      <c r="Q109" s="3">
        <f t="shared" si="33"/>
        <v>8.2876574257338034E-2</v>
      </c>
      <c r="R109" s="4"/>
      <c r="S109" s="3">
        <f t="shared" si="34"/>
        <v>3.1703605777167456</v>
      </c>
      <c r="T109" s="3">
        <f t="shared" si="35"/>
        <v>1.2616861400922259</v>
      </c>
      <c r="U109" s="3">
        <f t="shared" si="36"/>
        <v>1.2616861400922259</v>
      </c>
      <c r="V109" s="3">
        <f t="shared" si="37"/>
        <v>-0.10225762598459198</v>
      </c>
      <c r="W109" s="4"/>
      <c r="X109" s="3">
        <f t="shared" si="38"/>
        <v>-0.80470514253716718</v>
      </c>
      <c r="Y109" s="14">
        <f t="shared" si="39"/>
        <v>-0.13782780752903004</v>
      </c>
      <c r="Z109" s="15">
        <f t="shared" si="40"/>
        <v>0.18095426144779758</v>
      </c>
      <c r="AA109" s="15">
        <f t="shared" si="41"/>
        <v>-0.18072870913811406</v>
      </c>
      <c r="AB109" s="15">
        <f t="shared" si="42"/>
        <v>8.2105625923252851E-2</v>
      </c>
      <c r="AC109" s="15">
        <f t="shared" si="43"/>
        <v>-0.14973520675409199</v>
      </c>
      <c r="AH109" s="15">
        <f t="shared" si="44"/>
        <v>-0.1933206227538429</v>
      </c>
      <c r="AI109" s="15">
        <f t="shared" si="45"/>
        <v>6.8200732436555112E-2</v>
      </c>
      <c r="AJ109" s="18">
        <f t="shared" si="46"/>
        <v>0.70621608684535586</v>
      </c>
      <c r="AK109">
        <f t="shared" si="47"/>
        <v>1</v>
      </c>
      <c r="AL109">
        <f t="shared" si="48"/>
        <v>1</v>
      </c>
      <c r="AM109">
        <f t="shared" si="49"/>
        <v>0</v>
      </c>
      <c r="AN109">
        <f t="shared" si="50"/>
        <v>0</v>
      </c>
      <c r="AO109">
        <f t="shared" si="51"/>
        <v>0</v>
      </c>
    </row>
    <row r="110" spans="4:41" x14ac:dyDescent="0.25">
      <c r="D110" s="5">
        <v>41876</v>
      </c>
      <c r="E110" s="6">
        <v>44.89</v>
      </c>
      <c r="F110" s="6">
        <v>24.35</v>
      </c>
      <c r="G110" s="3">
        <f t="shared" si="29"/>
        <v>1.8725206151106115E-2</v>
      </c>
      <c r="H110" s="3">
        <f t="shared" si="29"/>
        <v>5.6008230452675688E-2</v>
      </c>
      <c r="I110" s="3">
        <f t="shared" si="26"/>
        <v>-1.2268595435211235E-2</v>
      </c>
      <c r="J110" s="3">
        <f t="shared" si="27"/>
        <v>2.6327408737327238E-2</v>
      </c>
      <c r="K110" s="4"/>
      <c r="L110" s="3">
        <f t="shared" si="30"/>
        <v>3.0099115307855611</v>
      </c>
      <c r="M110" s="3">
        <f t="shared" si="31"/>
        <v>1.3289427144578014</v>
      </c>
      <c r="N110" s="3">
        <f t="shared" si="28"/>
        <v>1.3289427144578014</v>
      </c>
      <c r="O110" s="4"/>
      <c r="P110" s="3">
        <f t="shared" si="32"/>
        <v>-1.4538826390859051E-2</v>
      </c>
      <c r="Q110" s="3">
        <f t="shared" si="33"/>
        <v>2.7098357071412418E-2</v>
      </c>
      <c r="R110" s="4"/>
      <c r="S110" s="3">
        <f t="shared" si="34"/>
        <v>3.0069564796385424</v>
      </c>
      <c r="T110" s="3">
        <f t="shared" si="35"/>
        <v>1.3302487172946476</v>
      </c>
      <c r="U110" s="3">
        <f t="shared" si="36"/>
        <v>1.3302487172946476</v>
      </c>
      <c r="V110" s="3">
        <f t="shared" si="37"/>
        <v>-0.15517384230889775</v>
      </c>
      <c r="W110" s="4"/>
      <c r="X110" s="3">
        <f t="shared" si="38"/>
        <v>-0.82362598148822741</v>
      </c>
      <c r="Y110" s="14">
        <f t="shared" si="39"/>
        <v>5.7416301936869057E-2</v>
      </c>
      <c r="Z110" s="15">
        <f t="shared" si="40"/>
        <v>0.50010050413471918</v>
      </c>
      <c r="AA110" s="15">
        <f t="shared" si="41"/>
        <v>-1.2268595435211235E-2</v>
      </c>
      <c r="AB110" s="15">
        <f t="shared" si="42"/>
        <v>2.6327408737327238E-2</v>
      </c>
      <c r="AC110" s="15">
        <f t="shared" si="43"/>
        <v>5.7442099058758481E-2</v>
      </c>
      <c r="AH110" s="15">
        <f t="shared" si="44"/>
        <v>-2.4860509050940074E-2</v>
      </c>
      <c r="AI110" s="15">
        <f t="shared" si="45"/>
        <v>1.2422515250629498E-2</v>
      </c>
      <c r="AJ110" s="18">
        <f t="shared" si="46"/>
        <v>1.5573436993779388E-2</v>
      </c>
      <c r="AK110">
        <f t="shared" si="47"/>
        <v>1</v>
      </c>
      <c r="AL110">
        <f t="shared" si="48"/>
        <v>1</v>
      </c>
      <c r="AM110">
        <f t="shared" si="49"/>
        <v>0</v>
      </c>
      <c r="AN110">
        <f t="shared" si="50"/>
        <v>0</v>
      </c>
      <c r="AO110">
        <f t="shared" si="51"/>
        <v>0</v>
      </c>
    </row>
    <row r="111" spans="4:41" x14ac:dyDescent="0.25">
      <c r="D111" s="5">
        <v>41873</v>
      </c>
      <c r="E111" s="6">
        <v>44.87</v>
      </c>
      <c r="F111" s="6">
        <v>24.3</v>
      </c>
      <c r="G111" s="3">
        <f t="shared" si="29"/>
        <v>-6.5436137071651357E-2</v>
      </c>
      <c r="H111" s="3">
        <f t="shared" si="29"/>
        <v>-0.25522217692621324</v>
      </c>
      <c r="I111" s="3">
        <f t="shared" si="26"/>
        <v>-9.64299386579687E-2</v>
      </c>
      <c r="J111" s="3">
        <f t="shared" si="27"/>
        <v>-0.28490299864156171</v>
      </c>
      <c r="K111" s="4"/>
      <c r="L111" s="3">
        <f t="shared" si="30"/>
        <v>3.7751000360796789</v>
      </c>
      <c r="M111" s="3">
        <f t="shared" si="31"/>
        <v>1.0595745706791582</v>
      </c>
      <c r="N111" s="3">
        <f t="shared" si="28"/>
        <v>1.0595745706791582</v>
      </c>
      <c r="O111" s="4"/>
      <c r="P111" s="3">
        <f t="shared" si="32"/>
        <v>-9.8700169613616523E-2</v>
      </c>
      <c r="Q111" s="3">
        <f t="shared" si="33"/>
        <v>-0.28413205030747651</v>
      </c>
      <c r="R111" s="4"/>
      <c r="S111" s="3">
        <f t="shared" si="34"/>
        <v>3.4853285611109919</v>
      </c>
      <c r="T111" s="3">
        <f t="shared" si="35"/>
        <v>1.1476679830509151</v>
      </c>
      <c r="U111" s="3">
        <f t="shared" si="36"/>
        <v>1.1476679830509151</v>
      </c>
      <c r="V111" s="3">
        <f t="shared" si="37"/>
        <v>-7.5411558864146855E-3</v>
      </c>
      <c r="W111" s="4"/>
      <c r="X111" s="3">
        <f t="shared" si="38"/>
        <v>-0.81080187782013513</v>
      </c>
      <c r="Y111" s="14">
        <f t="shared" si="39"/>
        <v>-0.49595567243035887</v>
      </c>
      <c r="Z111" s="15">
        <f t="shared" si="40"/>
        <v>-0.40596427750684638</v>
      </c>
      <c r="AA111" s="15">
        <f t="shared" si="41"/>
        <v>-9.64299386579687E-2</v>
      </c>
      <c r="AB111" s="15">
        <f t="shared" si="42"/>
        <v>-0.28490299864156171</v>
      </c>
      <c r="AC111" s="15">
        <f t="shared" si="43"/>
        <v>-0.54558193588348392</v>
      </c>
      <c r="AH111" s="15">
        <f t="shared" si="44"/>
        <v>-0.10902185227369754</v>
      </c>
      <c r="AI111" s="15">
        <f t="shared" si="45"/>
        <v>-0.29880789212825942</v>
      </c>
      <c r="AJ111" s="18">
        <f t="shared" si="46"/>
        <v>2.4685011954050076</v>
      </c>
      <c r="AK111">
        <f t="shared" si="47"/>
        <v>1</v>
      </c>
      <c r="AL111">
        <f t="shared" si="48"/>
        <v>0.81020823636743655</v>
      </c>
      <c r="AM111">
        <f t="shared" si="49"/>
        <v>0</v>
      </c>
      <c r="AN111">
        <f t="shared" si="50"/>
        <v>0</v>
      </c>
      <c r="AO111">
        <f t="shared" si="51"/>
        <v>0</v>
      </c>
    </row>
    <row r="112" spans="4:41" x14ac:dyDescent="0.25">
      <c r="D112" s="5">
        <v>41872</v>
      </c>
      <c r="E112" s="6">
        <v>44.94</v>
      </c>
      <c r="F112" s="6">
        <v>24.53</v>
      </c>
      <c r="G112" s="3">
        <f t="shared" si="29"/>
        <v>0.25392209536601368</v>
      </c>
      <c r="H112" s="3">
        <f t="shared" si="29"/>
        <v>0.18995894909688205</v>
      </c>
      <c r="I112" s="3">
        <f t="shared" si="26"/>
        <v>0.22292829377969633</v>
      </c>
      <c r="J112" s="3">
        <f t="shared" si="27"/>
        <v>0.1602781273815336</v>
      </c>
      <c r="K112" s="4"/>
      <c r="L112" s="3">
        <f t="shared" si="30"/>
        <v>3.2452348438794756</v>
      </c>
      <c r="M112" s="3">
        <f t="shared" si="31"/>
        <v>1.2325764366618996</v>
      </c>
      <c r="N112" s="3">
        <f t="shared" si="28"/>
        <v>1.2325764366618996</v>
      </c>
      <c r="O112" s="4"/>
      <c r="P112" s="3">
        <f t="shared" si="32"/>
        <v>0.22065806282404851</v>
      </c>
      <c r="Q112" s="3">
        <f t="shared" si="33"/>
        <v>0.16104907571561877</v>
      </c>
      <c r="R112" s="4"/>
      <c r="S112" s="3">
        <f t="shared" si="34"/>
        <v>3.1560298633195263</v>
      </c>
      <c r="T112" s="3">
        <f t="shared" si="35"/>
        <v>1.2674151301574765</v>
      </c>
      <c r="U112" s="3">
        <f t="shared" si="36"/>
        <v>1.2674151301574765</v>
      </c>
      <c r="V112" s="3">
        <f t="shared" si="37"/>
        <v>-0.10678804162833622</v>
      </c>
      <c r="W112" s="4"/>
      <c r="X112" s="3">
        <f t="shared" si="38"/>
        <v>-0.80567773539745313</v>
      </c>
      <c r="Y112" s="14">
        <f t="shared" si="39"/>
        <v>-0.1209748308233578</v>
      </c>
      <c r="Z112" s="15">
        <f t="shared" si="40"/>
        <v>0.19899237625723309</v>
      </c>
      <c r="AA112" s="15">
        <f t="shared" si="41"/>
        <v>0.22292829377969633</v>
      </c>
      <c r="AB112" s="15">
        <f t="shared" si="42"/>
        <v>0.1602781273815336</v>
      </c>
      <c r="AC112" s="15">
        <f t="shared" si="43"/>
        <v>-0.13787150001120985</v>
      </c>
      <c r="AH112" s="15">
        <f t="shared" si="44"/>
        <v>0.2103363801639675</v>
      </c>
      <c r="AI112" s="15">
        <f t="shared" si="45"/>
        <v>0.14637323389483586</v>
      </c>
      <c r="AJ112" s="18">
        <f t="shared" si="46"/>
        <v>0.62476182614660414</v>
      </c>
      <c r="AK112">
        <f t="shared" si="47"/>
        <v>1</v>
      </c>
      <c r="AL112">
        <f t="shared" si="48"/>
        <v>1</v>
      </c>
      <c r="AM112">
        <f t="shared" si="49"/>
        <v>0</v>
      </c>
      <c r="AN112">
        <f t="shared" si="50"/>
        <v>0</v>
      </c>
      <c r="AO112">
        <f t="shared" si="51"/>
        <v>0</v>
      </c>
    </row>
    <row r="113" spans="4:41" x14ac:dyDescent="0.25">
      <c r="D113" s="5">
        <v>41871</v>
      </c>
      <c r="E113" s="6">
        <v>44.67</v>
      </c>
      <c r="F113" s="6">
        <v>24.36</v>
      </c>
      <c r="G113" s="3">
        <f t="shared" si="29"/>
        <v>-0.35435738068812006</v>
      </c>
      <c r="H113" s="3">
        <f t="shared" si="29"/>
        <v>7.8443804034582454E-2</v>
      </c>
      <c r="I113" s="3">
        <f t="shared" si="26"/>
        <v>-0.38535118227443743</v>
      </c>
      <c r="J113" s="3">
        <f t="shared" si="27"/>
        <v>4.8762982319234004E-2</v>
      </c>
      <c r="K113" s="4"/>
      <c r="L113" s="3">
        <f t="shared" si="30"/>
        <v>3.6016302732334715</v>
      </c>
      <c r="M113" s="3">
        <f t="shared" si="31"/>
        <v>1.1106081681196223</v>
      </c>
      <c r="N113" s="3">
        <f t="shared" si="28"/>
        <v>1.1106081681196223</v>
      </c>
      <c r="O113" s="4"/>
      <c r="P113" s="3">
        <f t="shared" si="32"/>
        <v>-0.38762141323008525</v>
      </c>
      <c r="Q113" s="3">
        <f t="shared" si="33"/>
        <v>4.953393065331918E-2</v>
      </c>
      <c r="R113" s="4"/>
      <c r="S113" s="3">
        <f t="shared" si="34"/>
        <v>3.3938171749476269</v>
      </c>
      <c r="T113" s="3">
        <f t="shared" si="35"/>
        <v>1.1786138715800822</v>
      </c>
      <c r="U113" s="3">
        <f t="shared" si="36"/>
        <v>1.1786138715800822</v>
      </c>
      <c r="V113" s="3">
        <f t="shared" si="37"/>
        <v>-3.4148120618970879E-2</v>
      </c>
      <c r="W113" s="4"/>
      <c r="X113" s="3">
        <f t="shared" si="38"/>
        <v>-0.80411619133501433</v>
      </c>
      <c r="Y113" s="14">
        <f t="shared" si="39"/>
        <v>-0.39424732304132443</v>
      </c>
      <c r="Z113" s="15">
        <f t="shared" si="40"/>
        <v>-0.21780313613530056</v>
      </c>
      <c r="AA113" s="15">
        <f t="shared" si="41"/>
        <v>-0.38535118227443743</v>
      </c>
      <c r="AB113" s="15">
        <f t="shared" si="42"/>
        <v>4.8762982319234004E-2</v>
      </c>
      <c r="AC113" s="15">
        <f t="shared" si="43"/>
        <v>-0.4166243803209348</v>
      </c>
      <c r="AH113" s="15">
        <f t="shared" si="44"/>
        <v>-0.39794309589016624</v>
      </c>
      <c r="AI113" s="15">
        <f t="shared" si="45"/>
        <v>3.4858088832536265E-2</v>
      </c>
      <c r="AJ113" s="18">
        <f t="shared" si="46"/>
        <v>1.7460324499790598</v>
      </c>
      <c r="AK113">
        <f t="shared" si="47"/>
        <v>1</v>
      </c>
      <c r="AL113">
        <f t="shared" si="48"/>
        <v>1</v>
      </c>
      <c r="AM113">
        <f t="shared" si="49"/>
        <v>0</v>
      </c>
      <c r="AN113">
        <f t="shared" si="50"/>
        <v>0</v>
      </c>
      <c r="AO113">
        <f t="shared" si="51"/>
        <v>0</v>
      </c>
    </row>
    <row r="114" spans="4:41" x14ac:dyDescent="0.25">
      <c r="D114" s="5">
        <v>41870</v>
      </c>
      <c r="E114" s="6">
        <v>45.05</v>
      </c>
      <c r="F114" s="6">
        <v>24.29</v>
      </c>
      <c r="G114" s="3">
        <f t="shared" si="29"/>
        <v>0.47149270482603817</v>
      </c>
      <c r="H114" s="3">
        <f t="shared" si="29"/>
        <v>1.1210873146620504E-2</v>
      </c>
      <c r="I114" s="3">
        <f t="shared" si="26"/>
        <v>0.4404989032397208</v>
      </c>
      <c r="J114" s="3">
        <f t="shared" si="27"/>
        <v>-1.8469948568727947E-2</v>
      </c>
      <c r="K114" s="4"/>
      <c r="L114" s="3">
        <f t="shared" si="30"/>
        <v>3.6653014828125059</v>
      </c>
      <c r="M114" s="3">
        <f t="shared" si="31"/>
        <v>1.0913154125948377</v>
      </c>
      <c r="N114" s="3">
        <f t="shared" si="28"/>
        <v>1.0913154125948377</v>
      </c>
      <c r="O114" s="4"/>
      <c r="P114" s="3">
        <f t="shared" si="32"/>
        <v>0.43822867228407303</v>
      </c>
      <c r="Q114" s="3">
        <f t="shared" si="33"/>
        <v>-1.7699000234642766E-2</v>
      </c>
      <c r="R114" s="4"/>
      <c r="S114" s="3">
        <f t="shared" si="34"/>
        <v>3.4244248657853387</v>
      </c>
      <c r="T114" s="3">
        <f t="shared" si="35"/>
        <v>1.1680793583662588</v>
      </c>
      <c r="U114" s="3">
        <f t="shared" si="36"/>
        <v>1.1680793583662588</v>
      </c>
      <c r="V114" s="3">
        <f t="shared" si="37"/>
        <v>-2.5169910260469663E-2</v>
      </c>
      <c r="W114" s="4"/>
      <c r="X114" s="3">
        <f t="shared" si="38"/>
        <v>-0.80594895649294118</v>
      </c>
      <c r="Y114" s="14">
        <f t="shared" si="39"/>
        <v>-0.4284719081793793</v>
      </c>
      <c r="Z114" s="15">
        <f t="shared" si="40"/>
        <v>-0.28789911733860885</v>
      </c>
      <c r="AA114" s="15">
        <f t="shared" si="41"/>
        <v>0.4404989032397208</v>
      </c>
      <c r="AB114" s="15">
        <f t="shared" si="42"/>
        <v>-1.8469948568727947E-2</v>
      </c>
      <c r="AC114" s="15">
        <f t="shared" si="43"/>
        <v>-0.46444191295952675</v>
      </c>
      <c r="AH114" s="15">
        <f t="shared" si="44"/>
        <v>0.42790698962399198</v>
      </c>
      <c r="AI114" s="15">
        <f t="shared" si="45"/>
        <v>-3.2374842055425686E-2</v>
      </c>
      <c r="AJ114" s="18">
        <f t="shared" si="46"/>
        <v>1.9734276034117082</v>
      </c>
      <c r="AK114">
        <f t="shared" si="47"/>
        <v>1</v>
      </c>
      <c r="AL114">
        <f t="shared" si="48"/>
        <v>1</v>
      </c>
      <c r="AM114">
        <f t="shared" si="49"/>
        <v>0</v>
      </c>
      <c r="AN114">
        <f t="shared" si="50"/>
        <v>0</v>
      </c>
      <c r="AO114">
        <f t="shared" si="51"/>
        <v>0</v>
      </c>
    </row>
    <row r="115" spans="4:41" x14ac:dyDescent="0.25">
      <c r="D115" s="5">
        <v>41869</v>
      </c>
      <c r="E115" s="6">
        <v>44.55</v>
      </c>
      <c r="F115" s="6">
        <v>24.28</v>
      </c>
      <c r="G115" s="3">
        <f t="shared" si="29"/>
        <v>0.30393850327831817</v>
      </c>
      <c r="H115" s="3">
        <f t="shared" si="29"/>
        <v>0.22607973421927233</v>
      </c>
      <c r="I115" s="3">
        <f t="shared" si="26"/>
        <v>0.2729447016920008</v>
      </c>
      <c r="J115" s="3">
        <f t="shared" si="27"/>
        <v>0.19639891250392388</v>
      </c>
      <c r="K115" s="4"/>
      <c r="L115" s="3">
        <f t="shared" si="30"/>
        <v>3.368077255683505</v>
      </c>
      <c r="M115" s="3">
        <f t="shared" si="31"/>
        <v>1.1876212142254603</v>
      </c>
      <c r="N115" s="3">
        <f t="shared" si="28"/>
        <v>1.1876212142254603</v>
      </c>
      <c r="O115" s="4"/>
      <c r="P115" s="3">
        <f t="shared" si="32"/>
        <v>0.27067447073635298</v>
      </c>
      <c r="Q115" s="3">
        <f t="shared" si="33"/>
        <v>0.19716986083800905</v>
      </c>
      <c r="R115" s="4"/>
      <c r="S115" s="3">
        <f t="shared" si="34"/>
        <v>3.2340880084068293</v>
      </c>
      <c r="T115" s="3">
        <f t="shared" si="35"/>
        <v>1.2368247214059189</v>
      </c>
      <c r="U115" s="3">
        <f t="shared" si="36"/>
        <v>1.2368247214059189</v>
      </c>
      <c r="V115" s="3">
        <f t="shared" si="37"/>
        <v>-8.2356163754182532E-2</v>
      </c>
      <c r="W115" s="4"/>
      <c r="X115" s="3">
        <f t="shared" si="38"/>
        <v>-0.80183398250343818</v>
      </c>
      <c r="Y115" s="14">
        <f t="shared" si="39"/>
        <v>-0.21216236074374828</v>
      </c>
      <c r="Z115" s="15">
        <f t="shared" si="40"/>
        <v>5.0375113326437349E-2</v>
      </c>
      <c r="AA115" s="15">
        <f t="shared" si="41"/>
        <v>0.2729447016920008</v>
      </c>
      <c r="AB115" s="15">
        <f t="shared" si="42"/>
        <v>0.19639891250392388</v>
      </c>
      <c r="AC115" s="15">
        <f t="shared" si="43"/>
        <v>-0.23616148704598283</v>
      </c>
      <c r="AH115" s="15">
        <f t="shared" si="44"/>
        <v>0.26035278807627199</v>
      </c>
      <c r="AI115" s="15">
        <f t="shared" si="45"/>
        <v>0.18249401901722614</v>
      </c>
      <c r="AJ115" s="18">
        <f t="shared" si="46"/>
        <v>0.96722192869238222</v>
      </c>
      <c r="AK115">
        <f t="shared" si="47"/>
        <v>1</v>
      </c>
      <c r="AL115">
        <f t="shared" si="48"/>
        <v>1</v>
      </c>
      <c r="AM115">
        <f t="shared" si="49"/>
        <v>0</v>
      </c>
      <c r="AN115">
        <f t="shared" si="50"/>
        <v>0</v>
      </c>
      <c r="AO115">
        <f t="shared" si="51"/>
        <v>0</v>
      </c>
    </row>
    <row r="116" spans="4:41" x14ac:dyDescent="0.25">
      <c r="D116" s="5">
        <v>41866</v>
      </c>
      <c r="E116" s="6">
        <v>44.23</v>
      </c>
      <c r="F116" s="6">
        <v>24.08</v>
      </c>
      <c r="G116" s="3">
        <f t="shared" si="29"/>
        <v>0.49005260750228535</v>
      </c>
      <c r="H116" s="3">
        <f t="shared" si="29"/>
        <v>-0.12377842083505915</v>
      </c>
      <c r="I116" s="3">
        <f t="shared" si="26"/>
        <v>0.45905880591596798</v>
      </c>
      <c r="J116" s="3">
        <f t="shared" si="27"/>
        <v>-0.1534592425504076</v>
      </c>
      <c r="K116" s="4"/>
      <c r="L116" s="3">
        <f t="shared" si="30"/>
        <v>4.3174386340870514</v>
      </c>
      <c r="M116" s="3">
        <f t="shared" si="31"/>
        <v>0.92647524122733116</v>
      </c>
      <c r="N116" s="3">
        <f t="shared" si="28"/>
        <v>0.92647524122733116</v>
      </c>
      <c r="O116" s="4"/>
      <c r="P116" s="3">
        <f t="shared" si="32"/>
        <v>0.45678857496032022</v>
      </c>
      <c r="Q116" s="3">
        <f t="shared" si="33"/>
        <v>-0.15268829421632241</v>
      </c>
      <c r="R116" s="4"/>
      <c r="S116" s="3">
        <f t="shared" si="34"/>
        <v>3.8379972031035483</v>
      </c>
      <c r="T116" s="3">
        <f t="shared" si="35"/>
        <v>1.042210243604516</v>
      </c>
      <c r="U116" s="3">
        <f t="shared" si="36"/>
        <v>1.042210243604516</v>
      </c>
      <c r="V116" s="3">
        <f t="shared" si="37"/>
        <v>8.8847586388052235E-2</v>
      </c>
      <c r="W116" s="4"/>
      <c r="X116" s="3">
        <f t="shared" si="38"/>
        <v>-0.8655521805745563</v>
      </c>
      <c r="Y116" s="14">
        <f t="shared" si="39"/>
        <v>-0.87148040216284162</v>
      </c>
      <c r="Z116" s="15">
        <f t="shared" si="40"/>
        <v>-0.94290602017213332</v>
      </c>
      <c r="AA116" s="15">
        <f t="shared" si="41"/>
        <v>0.45905880591596798</v>
      </c>
      <c r="AB116" s="15">
        <f t="shared" si="42"/>
        <v>-0.1534592425504076</v>
      </c>
      <c r="AC116" s="15">
        <f t="shared" si="43"/>
        <v>-0.9238626129765829</v>
      </c>
      <c r="AH116" s="15">
        <f t="shared" si="44"/>
        <v>0.44646689230023917</v>
      </c>
      <c r="AI116" s="15">
        <f t="shared" si="45"/>
        <v>-0.16736413603710534</v>
      </c>
      <c r="AJ116" s="18">
        <f t="shared" si="46"/>
        <v>3.9378463091924143</v>
      </c>
      <c r="AK116">
        <f t="shared" si="47"/>
        <v>1</v>
      </c>
      <c r="AL116">
        <f t="shared" si="48"/>
        <v>0.50789183806672389</v>
      </c>
      <c r="AM116">
        <f t="shared" si="49"/>
        <v>1</v>
      </c>
      <c r="AN116">
        <f t="shared" si="50"/>
        <v>0.44646689230023917</v>
      </c>
      <c r="AO116">
        <f t="shared" si="51"/>
        <v>-0.16736413603710534</v>
      </c>
    </row>
    <row r="117" spans="4:41" x14ac:dyDescent="0.25">
      <c r="D117" s="5">
        <v>41865</v>
      </c>
      <c r="E117" s="6">
        <v>43.72</v>
      </c>
      <c r="F117" s="6">
        <v>24.19</v>
      </c>
      <c r="G117" s="3">
        <f t="shared" si="29"/>
        <v>0.18336549506087535</v>
      </c>
      <c r="H117" s="3">
        <f t="shared" si="29"/>
        <v>-0.7122785829307553</v>
      </c>
      <c r="I117" s="3">
        <f t="shared" si="26"/>
        <v>0.15237169347455801</v>
      </c>
      <c r="J117" s="3">
        <f t="shared" si="27"/>
        <v>-0.74195940464610377</v>
      </c>
      <c r="K117" s="4"/>
      <c r="L117" s="3">
        <f t="shared" si="30"/>
        <v>9.7766845722908648</v>
      </c>
      <c r="M117" s="3">
        <f t="shared" si="31"/>
        <v>0.40913665265798005</v>
      </c>
      <c r="N117" s="3">
        <f t="shared" si="28"/>
        <v>0.40913665265798005</v>
      </c>
      <c r="O117" s="4"/>
      <c r="P117" s="3">
        <f t="shared" si="32"/>
        <v>0.15010146251891018</v>
      </c>
      <c r="Q117" s="3">
        <f t="shared" si="33"/>
        <v>-0.74118845631201857</v>
      </c>
      <c r="R117" s="4"/>
      <c r="S117" s="3">
        <f t="shared" si="34"/>
        <v>7.2782006139060611</v>
      </c>
      <c r="T117" s="3">
        <f t="shared" si="35"/>
        <v>0.54958638984990582</v>
      </c>
      <c r="U117" s="3">
        <f t="shared" si="36"/>
        <v>0.54958638984990582</v>
      </c>
      <c r="V117" s="3">
        <f t="shared" si="37"/>
        <v>0.72880674276021296</v>
      </c>
      <c r="W117" s="4"/>
      <c r="X117" s="3">
        <f t="shared" si="38"/>
        <v>-2.1819711451154995</v>
      </c>
      <c r="Y117" s="14">
        <f t="shared" si="39"/>
        <v>-3.6157391540195754</v>
      </c>
      <c r="Z117" s="15">
        <f t="shared" si="40"/>
        <v>-4.2122584527511622</v>
      </c>
      <c r="AA117" s="15">
        <f t="shared" si="41"/>
        <v>0.15237169347455801</v>
      </c>
      <c r="AB117" s="15">
        <f t="shared" si="42"/>
        <v>-0.74195940464610377</v>
      </c>
      <c r="AC117" s="15">
        <f t="shared" si="43"/>
        <v>-3.5087715344203856</v>
      </c>
      <c r="AH117" s="15">
        <f t="shared" si="44"/>
        <v>0.13977977985882917</v>
      </c>
      <c r="AI117" s="15">
        <f t="shared" si="45"/>
        <v>-0.75586429813280154</v>
      </c>
      <c r="AJ117" s="18">
        <f t="shared" si="46"/>
        <v>20.149875862160826</v>
      </c>
      <c r="AK117">
        <f t="shared" si="47"/>
        <v>0.66832093769233225</v>
      </c>
      <c r="AL117">
        <f t="shared" si="48"/>
        <v>9.92561946128796E-2</v>
      </c>
      <c r="AM117">
        <f t="shared" si="49"/>
        <v>1</v>
      </c>
      <c r="AN117">
        <f t="shared" si="50"/>
        <v>0.13977977985882917</v>
      </c>
      <c r="AO117">
        <f t="shared" si="51"/>
        <v>-0.75586429813280154</v>
      </c>
    </row>
    <row r="118" spans="4:41" x14ac:dyDescent="0.25">
      <c r="D118" s="5">
        <v>41864</v>
      </c>
      <c r="E118" s="6">
        <v>43.53</v>
      </c>
      <c r="F118" s="6">
        <v>24.84</v>
      </c>
      <c r="G118" s="3">
        <f t="shared" si="29"/>
        <v>0.53758724988367101</v>
      </c>
      <c r="H118" s="3">
        <f t="shared" si="29"/>
        <v>5.4901169826543736E-2</v>
      </c>
      <c r="I118" s="3">
        <f t="shared" si="26"/>
        <v>0.50659344829735364</v>
      </c>
      <c r="J118" s="3">
        <f t="shared" si="27"/>
        <v>2.5220348111195286E-2</v>
      </c>
      <c r="K118" s="4"/>
      <c r="L118" s="3">
        <f t="shared" si="30"/>
        <v>3.7525233914789253</v>
      </c>
      <c r="M118" s="3">
        <f t="shared" si="31"/>
        <v>1.0659493846415546</v>
      </c>
      <c r="N118" s="3">
        <f t="shared" si="28"/>
        <v>1.0659493846415546</v>
      </c>
      <c r="O118" s="4"/>
      <c r="P118" s="3">
        <f t="shared" si="32"/>
        <v>0.50432321734170582</v>
      </c>
      <c r="Q118" s="3">
        <f t="shared" si="33"/>
        <v>2.5991296445280466E-2</v>
      </c>
      <c r="R118" s="4"/>
      <c r="S118" s="3">
        <f t="shared" si="34"/>
        <v>3.4814532071323017</v>
      </c>
      <c r="T118" s="3">
        <f t="shared" si="35"/>
        <v>1.1489455012077641</v>
      </c>
      <c r="U118" s="3">
        <f t="shared" si="36"/>
        <v>1.1489455012077641</v>
      </c>
      <c r="V118" s="3">
        <f t="shared" si="37"/>
        <v>-8.6536785304236474E-3</v>
      </c>
      <c r="W118" s="4"/>
      <c r="X118" s="3">
        <f t="shared" si="38"/>
        <v>-0.81044689821558502</v>
      </c>
      <c r="Y118" s="14">
        <f t="shared" si="39"/>
        <v>-0.4916858025403581</v>
      </c>
      <c r="Z118" s="15">
        <f t="shared" si="40"/>
        <v>-0.38197082192450593</v>
      </c>
      <c r="AA118" s="15">
        <f t="shared" si="41"/>
        <v>0.50659344829735364</v>
      </c>
      <c r="AB118" s="15">
        <f t="shared" si="42"/>
        <v>2.5220348111195286E-2</v>
      </c>
      <c r="AC118" s="15">
        <f t="shared" si="43"/>
        <v>-0.52903191081477141</v>
      </c>
      <c r="AH118" s="15">
        <f t="shared" si="44"/>
        <v>0.49400153468162483</v>
      </c>
      <c r="AI118" s="15">
        <f t="shared" si="45"/>
        <v>1.1315454624497547E-2</v>
      </c>
      <c r="AJ118" s="18">
        <f t="shared" si="46"/>
        <v>2.2152581517069518</v>
      </c>
      <c r="AK118">
        <f t="shared" si="47"/>
        <v>1</v>
      </c>
      <c r="AL118">
        <f t="shared" si="48"/>
        <v>0.90282931515630083</v>
      </c>
      <c r="AM118">
        <f t="shared" si="49"/>
        <v>0</v>
      </c>
      <c r="AN118">
        <f t="shared" si="50"/>
        <v>0</v>
      </c>
      <c r="AO118">
        <f t="shared" si="51"/>
        <v>0</v>
      </c>
    </row>
    <row r="119" spans="4:41" x14ac:dyDescent="0.25">
      <c r="D119" s="5">
        <v>41863</v>
      </c>
      <c r="E119" s="6">
        <v>42.98</v>
      </c>
      <c r="F119" s="6">
        <v>24.79</v>
      </c>
      <c r="G119" s="3">
        <f t="shared" si="29"/>
        <v>0.31512423816221313</v>
      </c>
      <c r="H119" s="3">
        <f t="shared" si="29"/>
        <v>-8.7559308403701255E-2</v>
      </c>
      <c r="I119" s="3">
        <f t="shared" si="26"/>
        <v>0.28413043657589576</v>
      </c>
      <c r="J119" s="3">
        <f t="shared" si="27"/>
        <v>-0.11724013011904971</v>
      </c>
      <c r="K119" s="4"/>
      <c r="L119" s="3">
        <f t="shared" si="30"/>
        <v>3.5916557772593936</v>
      </c>
      <c r="M119" s="3">
        <f t="shared" si="31"/>
        <v>1.1136924716800654</v>
      </c>
      <c r="N119" s="3">
        <f t="shared" si="28"/>
        <v>1.1136924716800654</v>
      </c>
      <c r="O119" s="4"/>
      <c r="P119" s="3">
        <f t="shared" si="32"/>
        <v>0.28186020562024794</v>
      </c>
      <c r="Q119" s="3">
        <f t="shared" si="33"/>
        <v>-0.11646918178496453</v>
      </c>
      <c r="R119" s="4"/>
      <c r="S119" s="3">
        <f t="shared" si="34"/>
        <v>3.3739577761719906</v>
      </c>
      <c r="T119" s="3">
        <f t="shared" si="35"/>
        <v>1.1855512917942623</v>
      </c>
      <c r="U119" s="3">
        <f t="shared" si="36"/>
        <v>1.1855512917942623</v>
      </c>
      <c r="V119" s="3">
        <f t="shared" si="37"/>
        <v>-4.001692751054442E-2</v>
      </c>
      <c r="W119" s="4"/>
      <c r="X119" s="3">
        <f t="shared" si="38"/>
        <v>-0.80315370323041524</v>
      </c>
      <c r="Y119" s="14">
        <f t="shared" si="39"/>
        <v>-0.37192856276196801</v>
      </c>
      <c r="Z119" s="15">
        <f t="shared" si="40"/>
        <v>-0.20671001146659618</v>
      </c>
      <c r="AA119" s="15">
        <f t="shared" si="41"/>
        <v>0.28413043657589576</v>
      </c>
      <c r="AB119" s="15">
        <f t="shared" si="42"/>
        <v>-0.11724013011904971</v>
      </c>
      <c r="AC119" s="15">
        <f t="shared" si="43"/>
        <v>-0.4090814014842003</v>
      </c>
      <c r="AH119" s="15">
        <f t="shared" si="44"/>
        <v>0.27153852296016695</v>
      </c>
      <c r="AI119" s="15">
        <f t="shared" si="45"/>
        <v>-0.13114502360574745</v>
      </c>
      <c r="AJ119" s="18">
        <f t="shared" si="46"/>
        <v>1.7998980232205737</v>
      </c>
      <c r="AK119">
        <f t="shared" si="47"/>
        <v>1</v>
      </c>
      <c r="AL119">
        <f t="shared" si="48"/>
        <v>1</v>
      </c>
      <c r="AM119">
        <f t="shared" si="49"/>
        <v>0</v>
      </c>
      <c r="AN119">
        <f t="shared" si="50"/>
        <v>0</v>
      </c>
      <c r="AO119">
        <f t="shared" si="51"/>
        <v>0</v>
      </c>
    </row>
    <row r="120" spans="4:41" x14ac:dyDescent="0.25">
      <c r="D120" s="5">
        <v>41862</v>
      </c>
      <c r="E120" s="6">
        <v>42.66</v>
      </c>
      <c r="F120" s="6">
        <v>24.87</v>
      </c>
      <c r="G120" s="3">
        <f t="shared" si="29"/>
        <v>0</v>
      </c>
      <c r="H120" s="3">
        <f t="shared" si="29"/>
        <v>0.22067288204296634</v>
      </c>
      <c r="I120" s="3">
        <f t="shared" si="26"/>
        <v>-3.099380158631735E-2</v>
      </c>
      <c r="J120" s="3">
        <f t="shared" si="27"/>
        <v>0.1909920603276179</v>
      </c>
      <c r="K120" s="4"/>
      <c r="L120" s="3">
        <f t="shared" si="30"/>
        <v>3.4385620770686378</v>
      </c>
      <c r="M120" s="3">
        <f t="shared" si="31"/>
        <v>1.1632769484301375</v>
      </c>
      <c r="N120" s="3">
        <f t="shared" si="28"/>
        <v>1.1632769484301375</v>
      </c>
      <c r="O120" s="4"/>
      <c r="P120" s="3">
        <f t="shared" si="32"/>
        <v>-3.3264032541965166E-2</v>
      </c>
      <c r="Q120" s="3">
        <f t="shared" si="33"/>
        <v>0.19176300866170307</v>
      </c>
      <c r="R120" s="4"/>
      <c r="S120" s="3">
        <f t="shared" si="34"/>
        <v>3.2817798201956832</v>
      </c>
      <c r="T120" s="3">
        <f t="shared" si="35"/>
        <v>1.2188508124111421</v>
      </c>
      <c r="U120" s="3">
        <f t="shared" si="36"/>
        <v>1.2188508124111421</v>
      </c>
      <c r="V120" s="3">
        <f t="shared" si="37"/>
        <v>-6.7717344532924884E-2</v>
      </c>
      <c r="W120" s="4"/>
      <c r="X120" s="3">
        <f t="shared" si="38"/>
        <v>-0.80116042140348664</v>
      </c>
      <c r="Y120" s="14">
        <f t="shared" si="39"/>
        <v>-0.26715278178369573</v>
      </c>
      <c r="Z120" s="15">
        <f t="shared" si="40"/>
        <v>-3.2470282198137856E-2</v>
      </c>
      <c r="AA120" s="15">
        <f t="shared" si="41"/>
        <v>-3.099380158631735E-2</v>
      </c>
      <c r="AB120" s="15">
        <f t="shared" si="42"/>
        <v>0.1909920603276179</v>
      </c>
      <c r="AC120" s="15">
        <f t="shared" si="43"/>
        <v>-0.29148690720360859</v>
      </c>
      <c r="AH120" s="15">
        <f t="shared" si="44"/>
        <v>-4.3585715202046189E-2</v>
      </c>
      <c r="AI120" s="15">
        <f t="shared" si="45"/>
        <v>0.17708716684092016</v>
      </c>
      <c r="AJ120" s="18">
        <f t="shared" si="46"/>
        <v>1.1436560831774605</v>
      </c>
      <c r="AK120">
        <f t="shared" si="47"/>
        <v>1</v>
      </c>
      <c r="AL120">
        <f t="shared" si="48"/>
        <v>1</v>
      </c>
      <c r="AM120">
        <f t="shared" si="49"/>
        <v>0</v>
      </c>
      <c r="AN120">
        <f t="shared" si="50"/>
        <v>0</v>
      </c>
      <c r="AO120">
        <f t="shared" si="51"/>
        <v>0</v>
      </c>
    </row>
    <row r="121" spans="4:41" x14ac:dyDescent="0.25">
      <c r="D121" s="5">
        <v>41859</v>
      </c>
      <c r="E121" s="6">
        <v>42.66</v>
      </c>
      <c r="F121" s="6">
        <v>24.67</v>
      </c>
      <c r="G121" s="3">
        <f t="shared" si="29"/>
        <v>-2.9522136331694725E-2</v>
      </c>
      <c r="H121" s="3">
        <f t="shared" si="29"/>
        <v>0.18887346938775698</v>
      </c>
      <c r="I121" s="3">
        <f t="shared" si="26"/>
        <v>-6.0515937918012075E-2</v>
      </c>
      <c r="J121" s="3">
        <f t="shared" si="27"/>
        <v>0.15919264767240854</v>
      </c>
      <c r="K121" s="4"/>
      <c r="L121" s="3">
        <f t="shared" si="30"/>
        <v>3.3445664940176414</v>
      </c>
      <c r="M121" s="3">
        <f t="shared" si="31"/>
        <v>1.1959696442437964</v>
      </c>
      <c r="N121" s="3">
        <f t="shared" si="28"/>
        <v>1.1959696442437964</v>
      </c>
      <c r="O121" s="4"/>
      <c r="P121" s="3">
        <f t="shared" si="32"/>
        <v>-6.2786168873659898E-2</v>
      </c>
      <c r="Q121" s="3">
        <f t="shared" si="33"/>
        <v>0.15996359600649371</v>
      </c>
      <c r="R121" s="4"/>
      <c r="S121" s="3">
        <f t="shared" si="34"/>
        <v>3.2223685312181058</v>
      </c>
      <c r="T121" s="3">
        <f t="shared" si="35"/>
        <v>1.2413229465370732</v>
      </c>
      <c r="U121" s="3">
        <f t="shared" si="36"/>
        <v>1.2413229465370732</v>
      </c>
      <c r="V121" s="3">
        <f t="shared" si="37"/>
        <v>-8.5986449607222681E-2</v>
      </c>
      <c r="W121" s="4"/>
      <c r="X121" s="3">
        <f t="shared" si="38"/>
        <v>-0.80218866174121062</v>
      </c>
      <c r="Y121" s="14">
        <f t="shared" si="39"/>
        <v>-0.19856618468836928</v>
      </c>
      <c r="Z121" s="15">
        <f t="shared" si="40"/>
        <v>7.8394902465233063E-2</v>
      </c>
      <c r="AA121" s="15">
        <f t="shared" si="41"/>
        <v>-6.0515937918012075E-2</v>
      </c>
      <c r="AB121" s="15">
        <f t="shared" si="42"/>
        <v>0.15919264767240854</v>
      </c>
      <c r="AC121" s="15">
        <f t="shared" si="43"/>
        <v>-0.21753575040020051</v>
      </c>
      <c r="AH121" s="15">
        <f t="shared" si="44"/>
        <v>-7.3107851533740914E-2</v>
      </c>
      <c r="AI121" s="15">
        <f t="shared" si="45"/>
        <v>0.1452877541857108</v>
      </c>
      <c r="AJ121" s="18">
        <f t="shared" si="46"/>
        <v>0.89250804268463324</v>
      </c>
      <c r="AK121">
        <f t="shared" si="47"/>
        <v>1</v>
      </c>
      <c r="AL121">
        <f t="shared" si="48"/>
        <v>1</v>
      </c>
      <c r="AM121">
        <f t="shared" si="49"/>
        <v>0</v>
      </c>
      <c r="AN121">
        <f t="shared" si="50"/>
        <v>0</v>
      </c>
      <c r="AO121">
        <f t="shared" si="51"/>
        <v>0</v>
      </c>
    </row>
    <row r="122" spans="4:41" x14ac:dyDescent="0.25">
      <c r="D122" s="5">
        <v>41858</v>
      </c>
      <c r="E122" s="6">
        <v>42.69</v>
      </c>
      <c r="F122" s="6">
        <v>24.5</v>
      </c>
      <c r="G122" s="3">
        <f t="shared" si="29"/>
        <v>0.47772565742714679</v>
      </c>
      <c r="H122" s="3">
        <f t="shared" si="29"/>
        <v>-7.7549857549857854E-2</v>
      </c>
      <c r="I122" s="3">
        <f t="shared" si="26"/>
        <v>0.44673185584082942</v>
      </c>
      <c r="J122" s="3">
        <f t="shared" si="27"/>
        <v>-0.1072306792652063</v>
      </c>
      <c r="K122" s="4"/>
      <c r="L122" s="3">
        <f t="shared" si="30"/>
        <v>4.0248388781657187</v>
      </c>
      <c r="M122" s="3">
        <f t="shared" si="31"/>
        <v>0.99382860310248278</v>
      </c>
      <c r="N122" s="3">
        <f t="shared" si="28"/>
        <v>0.99382860310248278</v>
      </c>
      <c r="O122" s="4"/>
      <c r="P122" s="3">
        <f t="shared" si="32"/>
        <v>0.44446162488518159</v>
      </c>
      <c r="Q122" s="3">
        <f t="shared" si="33"/>
        <v>-0.10645973093112113</v>
      </c>
      <c r="R122" s="4"/>
      <c r="S122" s="3">
        <f t="shared" si="34"/>
        <v>3.6523087085243566</v>
      </c>
      <c r="T122" s="3">
        <f t="shared" si="35"/>
        <v>1.0951976733686679</v>
      </c>
      <c r="U122" s="3">
        <f t="shared" si="36"/>
        <v>1.0951976733686679</v>
      </c>
      <c r="V122" s="3">
        <f t="shared" si="37"/>
        <v>3.9256090420547451E-2</v>
      </c>
      <c r="W122" s="4"/>
      <c r="X122" s="3">
        <f t="shared" si="38"/>
        <v>-0.83155241777501421</v>
      </c>
      <c r="Y122" s="14">
        <f t="shared" si="39"/>
        <v>-0.67690454620207419</v>
      </c>
      <c r="Z122" s="15">
        <f t="shared" si="40"/>
        <v>-0.66219626881193561</v>
      </c>
      <c r="AA122" s="15">
        <f t="shared" si="41"/>
        <v>0.44673185584082942</v>
      </c>
      <c r="AB122" s="15">
        <f t="shared" si="42"/>
        <v>-0.1072306792652063</v>
      </c>
      <c r="AC122" s="15">
        <f t="shared" si="43"/>
        <v>-0.72422781648874512</v>
      </c>
      <c r="AH122" s="15">
        <f t="shared" si="44"/>
        <v>0.43413994222510061</v>
      </c>
      <c r="AI122" s="15">
        <f t="shared" si="45"/>
        <v>-0.12113557275190404</v>
      </c>
      <c r="AJ122" s="18">
        <f t="shared" si="46"/>
        <v>3.063603126292989</v>
      </c>
      <c r="AK122">
        <f t="shared" si="47"/>
        <v>1</v>
      </c>
      <c r="AL122">
        <f t="shared" si="48"/>
        <v>0.65282607359786626</v>
      </c>
      <c r="AM122">
        <f t="shared" si="49"/>
        <v>1</v>
      </c>
      <c r="AN122">
        <f t="shared" si="50"/>
        <v>0.43413994222510061</v>
      </c>
      <c r="AO122">
        <f t="shared" si="51"/>
        <v>-0.12113557275190404</v>
      </c>
    </row>
    <row r="123" spans="4:41" x14ac:dyDescent="0.25">
      <c r="D123" s="5">
        <v>41857</v>
      </c>
      <c r="E123" s="6">
        <v>42.21</v>
      </c>
      <c r="F123" s="6">
        <v>24.57</v>
      </c>
      <c r="G123" s="3">
        <f t="shared" si="29"/>
        <v>-0.32588857545839039</v>
      </c>
      <c r="H123" s="3">
        <f t="shared" si="29"/>
        <v>-4.4242177976431402E-2</v>
      </c>
      <c r="I123" s="3">
        <f t="shared" si="26"/>
        <v>-0.35688237704470777</v>
      </c>
      <c r="J123" s="3">
        <f t="shared" si="27"/>
        <v>-7.3922999691779845E-2</v>
      </c>
      <c r="K123" s="4"/>
      <c r="L123" s="3">
        <f t="shared" si="30"/>
        <v>3.3201227512250533</v>
      </c>
      <c r="M123" s="3">
        <f t="shared" si="31"/>
        <v>1.2047747326583291</v>
      </c>
      <c r="N123" s="3">
        <f t="shared" si="28"/>
        <v>1.2047747326583291</v>
      </c>
      <c r="O123" s="4"/>
      <c r="P123" s="3">
        <f t="shared" si="32"/>
        <v>-0.35915260800035553</v>
      </c>
      <c r="Q123" s="3">
        <f t="shared" si="33"/>
        <v>-7.3152051357694675E-2</v>
      </c>
      <c r="R123" s="4"/>
      <c r="S123" s="3">
        <f t="shared" si="34"/>
        <v>3.2099493186108146</v>
      </c>
      <c r="T123" s="3">
        <f t="shared" si="35"/>
        <v>1.2461255935751345</v>
      </c>
      <c r="U123" s="3">
        <f t="shared" si="36"/>
        <v>1.2461255935751345</v>
      </c>
      <c r="V123" s="3">
        <f t="shared" si="37"/>
        <v>-8.9847925095476455E-2</v>
      </c>
      <c r="W123" s="4"/>
      <c r="X123" s="3">
        <f t="shared" si="38"/>
        <v>-0.80264838229169189</v>
      </c>
      <c r="Y123" s="14">
        <f t="shared" si="39"/>
        <v>-0.18412204825560319</v>
      </c>
      <c r="Z123" s="15">
        <f t="shared" si="40"/>
        <v>0.10773622836584901</v>
      </c>
      <c r="AA123" s="15">
        <f t="shared" si="41"/>
        <v>-0.35688237704470777</v>
      </c>
      <c r="AB123" s="15">
        <f t="shared" si="42"/>
        <v>-7.3922999691779845E-2</v>
      </c>
      <c r="AC123" s="15">
        <f t="shared" si="43"/>
        <v>-0.1980784836328634</v>
      </c>
      <c r="AH123" s="15">
        <f t="shared" si="44"/>
        <v>-0.36947429066043658</v>
      </c>
      <c r="AI123" s="15">
        <f t="shared" si="45"/>
        <v>-8.7827893178477584E-2</v>
      </c>
      <c r="AJ123" s="18">
        <f t="shared" si="46"/>
        <v>1.0280912760776517</v>
      </c>
      <c r="AK123">
        <f t="shared" si="47"/>
        <v>1</v>
      </c>
      <c r="AL123">
        <f t="shared" si="48"/>
        <v>1</v>
      </c>
      <c r="AM123">
        <f t="shared" si="49"/>
        <v>0</v>
      </c>
      <c r="AN123">
        <f t="shared" si="50"/>
        <v>0</v>
      </c>
      <c r="AO123">
        <f t="shared" si="51"/>
        <v>0</v>
      </c>
    </row>
    <row r="124" spans="4:41" x14ac:dyDescent="0.25">
      <c r="D124" s="5">
        <v>41856</v>
      </c>
      <c r="E124" s="6">
        <v>42.54</v>
      </c>
      <c r="F124" s="6">
        <v>24.61</v>
      </c>
      <c r="G124" s="3">
        <f t="shared" si="29"/>
        <v>-0.28444781695073462</v>
      </c>
      <c r="H124" s="3">
        <f t="shared" si="29"/>
        <v>-0.21942765014107138</v>
      </c>
      <c r="I124" s="3">
        <f t="shared" si="26"/>
        <v>-0.31544161853705199</v>
      </c>
      <c r="J124" s="3">
        <f t="shared" si="27"/>
        <v>-0.24910847185641982</v>
      </c>
      <c r="K124" s="4"/>
      <c r="L124" s="3">
        <f t="shared" si="30"/>
        <v>3.5696111001545914</v>
      </c>
      <c r="M124" s="3">
        <f t="shared" si="31"/>
        <v>1.1205702491867446</v>
      </c>
      <c r="N124" s="3">
        <f t="shared" si="28"/>
        <v>1.1205702491867446</v>
      </c>
      <c r="O124" s="4"/>
      <c r="P124" s="3">
        <f t="shared" si="32"/>
        <v>-0.31771184949269982</v>
      </c>
      <c r="Q124" s="3">
        <f t="shared" si="33"/>
        <v>-0.24833752352233465</v>
      </c>
      <c r="R124" s="4"/>
      <c r="S124" s="3">
        <f t="shared" si="34"/>
        <v>3.3602514432992825</v>
      </c>
      <c r="T124" s="3">
        <f t="shared" si="35"/>
        <v>1.1903871086720155</v>
      </c>
      <c r="U124" s="3">
        <f t="shared" si="36"/>
        <v>1.1903871086720155</v>
      </c>
      <c r="V124" s="3">
        <f t="shared" si="37"/>
        <v>-4.4087574475604185E-2</v>
      </c>
      <c r="W124" s="4"/>
      <c r="X124" s="3">
        <f t="shared" si="38"/>
        <v>-0.80259617690352769</v>
      </c>
      <c r="Y124" s="14">
        <f t="shared" si="39"/>
        <v>-0.35647272909636823</v>
      </c>
      <c r="Z124" s="15">
        <f t="shared" si="40"/>
        <v>-0.18208336691916538</v>
      </c>
      <c r="AA124" s="15">
        <f t="shared" si="41"/>
        <v>-0.31544161853705199</v>
      </c>
      <c r="AB124" s="15">
        <f t="shared" si="42"/>
        <v>-0.24910847185641982</v>
      </c>
      <c r="AC124" s="15">
        <f t="shared" si="43"/>
        <v>-0.39236000072373606</v>
      </c>
      <c r="AH124" s="15">
        <f t="shared" si="44"/>
        <v>-0.3280335321527808</v>
      </c>
      <c r="AI124" s="15">
        <f t="shared" si="45"/>
        <v>-0.26301336534311759</v>
      </c>
      <c r="AJ124" s="18">
        <f t="shared" si="46"/>
        <v>1.8895801806438031</v>
      </c>
      <c r="AK124">
        <f t="shared" si="47"/>
        <v>1</v>
      </c>
      <c r="AL124">
        <f t="shared" si="48"/>
        <v>1</v>
      </c>
      <c r="AM124">
        <f t="shared" si="49"/>
        <v>0</v>
      </c>
      <c r="AN124">
        <f t="shared" si="50"/>
        <v>0</v>
      </c>
      <c r="AO124">
        <f t="shared" si="51"/>
        <v>0</v>
      </c>
    </row>
    <row r="125" spans="4:41" x14ac:dyDescent="0.25">
      <c r="D125" s="5">
        <v>41855</v>
      </c>
      <c r="E125" s="6">
        <v>42.83</v>
      </c>
      <c r="F125" s="6">
        <v>24.81</v>
      </c>
      <c r="G125" s="3">
        <f t="shared" si="29"/>
        <v>0.49622017481691472</v>
      </c>
      <c r="H125" s="3">
        <f t="shared" si="29"/>
        <v>0.18780032467532262</v>
      </c>
      <c r="I125" s="3">
        <f t="shared" si="26"/>
        <v>0.46522637323059735</v>
      </c>
      <c r="J125" s="3">
        <f t="shared" si="27"/>
        <v>0.15811950295997418</v>
      </c>
      <c r="K125" s="4"/>
      <c r="L125" s="3">
        <f t="shared" si="30"/>
        <v>3.5595894935136805</v>
      </c>
      <c r="M125" s="3">
        <f t="shared" si="31"/>
        <v>1.1237250832684049</v>
      </c>
      <c r="N125" s="3">
        <f t="shared" si="28"/>
        <v>1.1237250832684049</v>
      </c>
      <c r="O125" s="4"/>
      <c r="P125" s="3">
        <f t="shared" si="32"/>
        <v>0.46295614227494952</v>
      </c>
      <c r="Q125" s="3">
        <f t="shared" si="33"/>
        <v>0.15889045129405935</v>
      </c>
      <c r="R125" s="4"/>
      <c r="S125" s="3">
        <f t="shared" si="34"/>
        <v>3.3576602844852501</v>
      </c>
      <c r="T125" s="3">
        <f t="shared" si="35"/>
        <v>1.191305748971333</v>
      </c>
      <c r="U125" s="3">
        <f t="shared" si="36"/>
        <v>1.191305748971333</v>
      </c>
      <c r="V125" s="3">
        <f t="shared" si="37"/>
        <v>-4.4858989023399687E-2</v>
      </c>
      <c r="W125" s="4"/>
      <c r="X125" s="3">
        <f t="shared" si="38"/>
        <v>-0.80250071918252641</v>
      </c>
      <c r="Y125" s="14">
        <f t="shared" si="39"/>
        <v>-0.35354602212358732</v>
      </c>
      <c r="Z125" s="15">
        <f t="shared" si="40"/>
        <v>-0.17083765922979566</v>
      </c>
      <c r="AA125" s="15">
        <f t="shared" si="41"/>
        <v>0.46522637323059735</v>
      </c>
      <c r="AB125" s="15">
        <f t="shared" si="42"/>
        <v>0.15811950295997418</v>
      </c>
      <c r="AC125" s="15">
        <f t="shared" si="43"/>
        <v>-0.38473520533748407</v>
      </c>
      <c r="AH125" s="15">
        <f t="shared" si="44"/>
        <v>0.45263445961486853</v>
      </c>
      <c r="AI125" s="15">
        <f t="shared" si="45"/>
        <v>0.14421460947327644</v>
      </c>
      <c r="AJ125" s="18">
        <f t="shared" si="46"/>
        <v>1.5808348662319942</v>
      </c>
      <c r="AK125">
        <f t="shared" si="47"/>
        <v>1</v>
      </c>
      <c r="AL125">
        <f t="shared" si="48"/>
        <v>1</v>
      </c>
      <c r="AM125">
        <f t="shared" si="49"/>
        <v>0</v>
      </c>
      <c r="AN125">
        <f t="shared" si="50"/>
        <v>0</v>
      </c>
      <c r="AO125">
        <f t="shared" si="51"/>
        <v>0</v>
      </c>
    </row>
    <row r="126" spans="4:41" x14ac:dyDescent="0.25">
      <c r="D126" s="5">
        <v>41852</v>
      </c>
      <c r="E126" s="6">
        <v>42.33</v>
      </c>
      <c r="F126" s="6">
        <v>24.64</v>
      </c>
      <c r="G126" s="3">
        <f t="shared" si="29"/>
        <v>-0.28584936649460263</v>
      </c>
      <c r="H126" s="3">
        <f t="shared" si="29"/>
        <v>-0.25173301166063577</v>
      </c>
      <c r="I126" s="3">
        <f t="shared" si="26"/>
        <v>-0.31684316808092</v>
      </c>
      <c r="J126" s="3">
        <f t="shared" si="27"/>
        <v>-0.28141383337598425</v>
      </c>
      <c r="K126" s="4"/>
      <c r="L126" s="3">
        <f t="shared" si="30"/>
        <v>3.7035359393198428</v>
      </c>
      <c r="M126" s="3">
        <f t="shared" si="31"/>
        <v>1.0800489223103376</v>
      </c>
      <c r="N126" s="3">
        <f t="shared" si="28"/>
        <v>1.0800489223103376</v>
      </c>
      <c r="O126" s="4"/>
      <c r="P126" s="3">
        <f t="shared" si="32"/>
        <v>-0.31911339903656777</v>
      </c>
      <c r="Q126" s="3">
        <f t="shared" si="33"/>
        <v>-0.28064288504189905</v>
      </c>
      <c r="R126" s="4"/>
      <c r="S126" s="3">
        <f t="shared" si="34"/>
        <v>3.4439267525028838</v>
      </c>
      <c r="T126" s="3">
        <f t="shared" si="35"/>
        <v>1.1614648880360154</v>
      </c>
      <c r="U126" s="3">
        <f t="shared" si="36"/>
        <v>1.1614648880360154</v>
      </c>
      <c r="V126" s="3">
        <f t="shared" si="37"/>
        <v>-1.9491139965355231E-2</v>
      </c>
      <c r="W126" s="4"/>
      <c r="X126" s="3">
        <f t="shared" si="38"/>
        <v>-0.80733165208619129</v>
      </c>
      <c r="Y126" s="14">
        <f t="shared" si="39"/>
        <v>-0.45016956460245161</v>
      </c>
      <c r="Z126" s="15">
        <f t="shared" si="40"/>
        <v>-0.32940883990913727</v>
      </c>
      <c r="AA126" s="15">
        <f t="shared" si="41"/>
        <v>-0.31684316808092</v>
      </c>
      <c r="AB126" s="15">
        <f t="shared" si="42"/>
        <v>-0.28141383337598425</v>
      </c>
      <c r="AC126" s="15">
        <f t="shared" si="43"/>
        <v>-0.49288395446605326</v>
      </c>
      <c r="AH126" s="15">
        <f t="shared" si="44"/>
        <v>-0.32943508169664881</v>
      </c>
      <c r="AI126" s="15">
        <f t="shared" si="45"/>
        <v>-0.29531872686268196</v>
      </c>
      <c r="AJ126" s="18">
        <f t="shared" si="46"/>
        <v>2.3054010959404581</v>
      </c>
      <c r="AK126">
        <f t="shared" si="47"/>
        <v>1</v>
      </c>
      <c r="AL126">
        <f t="shared" si="48"/>
        <v>0.8675279991502417</v>
      </c>
      <c r="AM126">
        <f t="shared" si="49"/>
        <v>0</v>
      </c>
      <c r="AN126">
        <f t="shared" si="50"/>
        <v>0</v>
      </c>
      <c r="AO126">
        <f t="shared" si="51"/>
        <v>0</v>
      </c>
    </row>
    <row r="127" spans="4:41" x14ac:dyDescent="0.25">
      <c r="D127" s="5">
        <v>41851</v>
      </c>
      <c r="E127" s="6">
        <v>42.62</v>
      </c>
      <c r="F127" s="6">
        <v>24.87</v>
      </c>
      <c r="G127" s="3">
        <f t="shared" si="29"/>
        <v>-0.40994888475836599</v>
      </c>
      <c r="H127" s="3">
        <f t="shared" si="29"/>
        <v>-0.42026128266033314</v>
      </c>
      <c r="I127" s="3">
        <f t="shared" si="26"/>
        <v>-0.44094268634468337</v>
      </c>
      <c r="J127" s="3">
        <f t="shared" si="27"/>
        <v>-0.44994210437568161</v>
      </c>
      <c r="K127" s="4"/>
      <c r="L127" s="3">
        <f t="shared" si="30"/>
        <v>4.7632196620934826</v>
      </c>
      <c r="M127" s="3">
        <f t="shared" si="31"/>
        <v>0.83976811563671616</v>
      </c>
      <c r="N127" s="3">
        <f t="shared" si="28"/>
        <v>0.83976811563671616</v>
      </c>
      <c r="O127" s="4"/>
      <c r="P127" s="3">
        <f t="shared" si="32"/>
        <v>-0.44321291730033119</v>
      </c>
      <c r="Q127" s="3">
        <f t="shared" si="33"/>
        <v>-0.44917115604159641</v>
      </c>
      <c r="R127" s="4"/>
      <c r="S127" s="3">
        <f t="shared" si="34"/>
        <v>4.1117112293874598</v>
      </c>
      <c r="T127" s="3">
        <f t="shared" si="35"/>
        <v>0.97283096424937854</v>
      </c>
      <c r="U127" s="3">
        <f t="shared" si="36"/>
        <v>0.97283096424937854</v>
      </c>
      <c r="V127" s="3">
        <f t="shared" si="37"/>
        <v>0.15773706625532569</v>
      </c>
      <c r="W127" s="4"/>
      <c r="X127" s="3">
        <f t="shared" si="38"/>
        <v>-0.93219284660213741</v>
      </c>
      <c r="Y127" s="14">
        <f t="shared" si="39"/>
        <v>-1.1464863924937245</v>
      </c>
      <c r="Z127" s="15">
        <f t="shared" si="40"/>
        <v>-1.3359521063630786</v>
      </c>
      <c r="AA127" s="15">
        <f t="shared" si="41"/>
        <v>-0.44094268634468337</v>
      </c>
      <c r="AB127" s="15">
        <f t="shared" si="42"/>
        <v>-0.44994210437568161</v>
      </c>
      <c r="AC127" s="15">
        <f t="shared" si="43"/>
        <v>-1.2100576846646238</v>
      </c>
      <c r="AH127" s="15">
        <f t="shared" si="44"/>
        <v>-0.45353459996041218</v>
      </c>
      <c r="AI127" s="15">
        <f t="shared" si="45"/>
        <v>-0.46384699786237932</v>
      </c>
      <c r="AJ127" s="18">
        <f t="shared" si="46"/>
        <v>5.5642258487242309</v>
      </c>
      <c r="AK127">
        <f t="shared" si="47"/>
        <v>1</v>
      </c>
      <c r="AL127">
        <f t="shared" si="48"/>
        <v>0.35943904046572106</v>
      </c>
      <c r="AM127">
        <f t="shared" si="49"/>
        <v>1</v>
      </c>
      <c r="AN127">
        <f t="shared" si="50"/>
        <v>-0.45353459996041218</v>
      </c>
      <c r="AO127">
        <f t="shared" si="51"/>
        <v>-0.46384699786237932</v>
      </c>
    </row>
    <row r="128" spans="4:41" x14ac:dyDescent="0.25">
      <c r="D128" s="5">
        <v>41850</v>
      </c>
      <c r="E128" s="6">
        <v>43.04</v>
      </c>
      <c r="F128" s="6">
        <v>25.26</v>
      </c>
      <c r="G128" s="3">
        <f t="shared" si="29"/>
        <v>-0.29079372404245912</v>
      </c>
      <c r="H128" s="3">
        <f t="shared" si="29"/>
        <v>-8.5935280189422009E-2</v>
      </c>
      <c r="I128" s="3">
        <f t="shared" si="26"/>
        <v>-0.32178752562877649</v>
      </c>
      <c r="J128" s="3">
        <f t="shared" si="27"/>
        <v>-0.11561610190477045</v>
      </c>
      <c r="K128" s="4"/>
      <c r="L128" s="3">
        <f t="shared" si="30"/>
        <v>3.2721897432985063</v>
      </c>
      <c r="M128" s="3">
        <f t="shared" si="31"/>
        <v>1.2224229992139239</v>
      </c>
      <c r="N128" s="3">
        <f t="shared" si="28"/>
        <v>1.2224229992139239</v>
      </c>
      <c r="O128" s="4"/>
      <c r="P128" s="3">
        <f t="shared" si="32"/>
        <v>-0.32405775658442426</v>
      </c>
      <c r="Q128" s="3">
        <f t="shared" si="33"/>
        <v>-0.11484515357068528</v>
      </c>
      <c r="R128" s="4"/>
      <c r="S128" s="3">
        <f t="shared" si="34"/>
        <v>3.1768249488048101</v>
      </c>
      <c r="T128" s="3">
        <f t="shared" si="35"/>
        <v>1.2591187945388322</v>
      </c>
      <c r="U128" s="3">
        <f t="shared" si="36"/>
        <v>1.2591187945388322</v>
      </c>
      <c r="V128" s="3">
        <f t="shared" si="37"/>
        <v>-0.10022072069681975</v>
      </c>
      <c r="W128" s="4"/>
      <c r="X128" s="3">
        <f t="shared" si="38"/>
        <v>-0.80430664019382547</v>
      </c>
      <c r="Y128" s="14">
        <f t="shared" si="39"/>
        <v>-0.14541334013990451</v>
      </c>
      <c r="Z128" s="15">
        <f t="shared" si="40"/>
        <v>0.16590562212848886</v>
      </c>
      <c r="AA128" s="15">
        <f t="shared" si="41"/>
        <v>-0.32178752562877649</v>
      </c>
      <c r="AB128" s="15">
        <f t="shared" si="42"/>
        <v>-0.11561610190477045</v>
      </c>
      <c r="AC128" s="15">
        <f t="shared" si="43"/>
        <v>-0.15964673201233939</v>
      </c>
      <c r="AH128" s="15">
        <f t="shared" si="44"/>
        <v>-0.33437943924450531</v>
      </c>
      <c r="AI128" s="15">
        <f t="shared" si="45"/>
        <v>-0.12952099539146819</v>
      </c>
      <c r="AJ128" s="18">
        <f t="shared" si="46"/>
        <v>0.91715642918904716</v>
      </c>
      <c r="AK128">
        <f t="shared" si="47"/>
        <v>1</v>
      </c>
      <c r="AL128">
        <f t="shared" si="48"/>
        <v>1</v>
      </c>
      <c r="AM128">
        <f t="shared" si="49"/>
        <v>0</v>
      </c>
      <c r="AN128">
        <f t="shared" si="50"/>
        <v>0</v>
      </c>
      <c r="AO128">
        <f t="shared" si="51"/>
        <v>0</v>
      </c>
    </row>
    <row r="129" spans="4:41" x14ac:dyDescent="0.25">
      <c r="D129" s="5">
        <v>41849</v>
      </c>
      <c r="E129" s="6">
        <v>43.34</v>
      </c>
      <c r="F129" s="6">
        <v>25.34</v>
      </c>
      <c r="G129" s="3">
        <f t="shared" si="29"/>
        <v>-7.7402118839242931E-2</v>
      </c>
      <c r="H129" s="3">
        <f t="shared" si="29"/>
        <v>-0.22372602739726119</v>
      </c>
      <c r="I129" s="3">
        <f t="shared" si="26"/>
        <v>-0.10839592042556029</v>
      </c>
      <c r="J129" s="3">
        <f t="shared" si="27"/>
        <v>-0.25340684911260963</v>
      </c>
      <c r="K129" s="4"/>
      <c r="L129" s="3">
        <f t="shared" si="30"/>
        <v>3.5956284946910468</v>
      </c>
      <c r="M129" s="3">
        <f t="shared" si="31"/>
        <v>1.1124619815161685</v>
      </c>
      <c r="N129" s="3">
        <f t="shared" si="28"/>
        <v>1.1124619815161685</v>
      </c>
      <c r="O129" s="4"/>
      <c r="P129" s="3">
        <f t="shared" si="32"/>
        <v>-0.1106661513812081</v>
      </c>
      <c r="Q129" s="3">
        <f t="shared" si="33"/>
        <v>-0.25263590077852444</v>
      </c>
      <c r="R129" s="4"/>
      <c r="S129" s="3">
        <f t="shared" si="34"/>
        <v>3.3726265169980243</v>
      </c>
      <c r="T129" s="3">
        <f t="shared" si="35"/>
        <v>1.1860192582368714</v>
      </c>
      <c r="U129" s="3">
        <f t="shared" si="36"/>
        <v>1.1860192582368714</v>
      </c>
      <c r="V129" s="3">
        <f t="shared" si="37"/>
        <v>-4.0411572794774031E-2</v>
      </c>
      <c r="W129" s="4"/>
      <c r="X129" s="3">
        <f t="shared" si="38"/>
        <v>-0.80309569699908678</v>
      </c>
      <c r="Y129" s="14">
        <f t="shared" si="39"/>
        <v>-0.37042925121355275</v>
      </c>
      <c r="Z129" s="15">
        <f t="shared" si="40"/>
        <v>-0.21113195186680489</v>
      </c>
      <c r="AA129" s="15">
        <f t="shared" si="41"/>
        <v>-0.10839592042556029</v>
      </c>
      <c r="AB129" s="15">
        <f t="shared" si="42"/>
        <v>-0.25340684911260963</v>
      </c>
      <c r="AC129" s="15">
        <f t="shared" si="43"/>
        <v>-0.41208738060162986</v>
      </c>
      <c r="AH129" s="15">
        <f t="shared" si="44"/>
        <v>-0.12098783404128913</v>
      </c>
      <c r="AI129" s="15">
        <f t="shared" si="45"/>
        <v>-0.2673117425993074</v>
      </c>
      <c r="AJ129" s="18">
        <f t="shared" si="46"/>
        <v>1.9262606603869112</v>
      </c>
      <c r="AK129">
        <f t="shared" si="47"/>
        <v>1</v>
      </c>
      <c r="AL129">
        <f t="shared" si="48"/>
        <v>1</v>
      </c>
      <c r="AM129">
        <f t="shared" si="49"/>
        <v>0</v>
      </c>
      <c r="AN129">
        <f t="shared" si="50"/>
        <v>0</v>
      </c>
      <c r="AO129">
        <f t="shared" si="51"/>
        <v>0</v>
      </c>
    </row>
    <row r="130" spans="4:41" x14ac:dyDescent="0.25">
      <c r="D130" s="5">
        <v>41848</v>
      </c>
      <c r="E130" s="6">
        <v>43.42</v>
      </c>
      <c r="F130" s="6">
        <v>25.55</v>
      </c>
      <c r="G130" s="3">
        <f t="shared" si="29"/>
        <v>-0.50660523321956874</v>
      </c>
      <c r="H130" s="3">
        <f t="shared" si="29"/>
        <v>-5.3164062500000754E-2</v>
      </c>
      <c r="I130" s="3">
        <f t="shared" ref="I130:I193" si="52">G130-$B$16</f>
        <v>-0.53759903480588611</v>
      </c>
      <c r="J130" s="3">
        <f t="shared" ref="J130:J193" si="53">H130-$B$17</f>
        <v>-8.2844884215349204E-2</v>
      </c>
      <c r="K130" s="4"/>
      <c r="L130" s="3">
        <f t="shared" si="30"/>
        <v>3.7495471440890236</v>
      </c>
      <c r="M130" s="3">
        <f t="shared" si="31"/>
        <v>1.0667954945721387</v>
      </c>
      <c r="N130" s="3">
        <f t="shared" ref="N130:N193" si="54">$B$24/L130</f>
        <v>1.0667954945721387</v>
      </c>
      <c r="O130" s="4"/>
      <c r="P130" s="3">
        <f t="shared" si="32"/>
        <v>-0.53986926576153393</v>
      </c>
      <c r="Q130" s="3">
        <f t="shared" si="33"/>
        <v>-8.2073935881264021E-2</v>
      </c>
      <c r="R130" s="4"/>
      <c r="S130" s="3">
        <f t="shared" si="34"/>
        <v>3.4900674384431065</v>
      </c>
      <c r="T130" s="3">
        <f t="shared" si="35"/>
        <v>1.146109658495416</v>
      </c>
      <c r="U130" s="3">
        <f t="shared" si="36"/>
        <v>1.146109658495416</v>
      </c>
      <c r="V130" s="3">
        <f t="shared" si="37"/>
        <v>-6.1824158781309535E-3</v>
      </c>
      <c r="W130" s="4"/>
      <c r="X130" s="3">
        <f t="shared" si="38"/>
        <v>-0.81124426633543489</v>
      </c>
      <c r="Y130" s="14">
        <f t="shared" si="39"/>
        <v>-0.50117254576599457</v>
      </c>
      <c r="Z130" s="15">
        <f t="shared" si="40"/>
        <v>-0.37879703406747711</v>
      </c>
      <c r="AA130" s="15">
        <f t="shared" si="41"/>
        <v>-0.53759903480588611</v>
      </c>
      <c r="AB130" s="15">
        <f t="shared" si="42"/>
        <v>-8.2844884215349204E-2</v>
      </c>
      <c r="AC130" s="15">
        <f t="shared" si="43"/>
        <v>-0.52684502675770883</v>
      </c>
      <c r="AH130" s="15">
        <f t="shared" si="44"/>
        <v>-0.55019094842161498</v>
      </c>
      <c r="AI130" s="15">
        <f t="shared" si="45"/>
        <v>-9.6749777702046943E-2</v>
      </c>
      <c r="AJ130" s="18">
        <f t="shared" si="46"/>
        <v>2.3227254707425988</v>
      </c>
      <c r="AK130">
        <f t="shared" si="47"/>
        <v>1</v>
      </c>
      <c r="AL130">
        <f t="shared" si="48"/>
        <v>0.86105741948082215</v>
      </c>
      <c r="AM130">
        <f t="shared" si="49"/>
        <v>0</v>
      </c>
      <c r="AN130">
        <f t="shared" si="50"/>
        <v>0</v>
      </c>
      <c r="AO130">
        <f t="shared" si="51"/>
        <v>0</v>
      </c>
    </row>
    <row r="131" spans="4:41" x14ac:dyDescent="0.25">
      <c r="D131" s="5">
        <v>41845</v>
      </c>
      <c r="E131" s="6">
        <v>43.95</v>
      </c>
      <c r="F131" s="6">
        <v>25.6</v>
      </c>
      <c r="G131" s="3">
        <f t="shared" ref="G131:H194" si="55">(E131-E132)/E132*E$2</f>
        <v>9.580387685290899E-2</v>
      </c>
      <c r="H131" s="3">
        <f t="shared" si="55"/>
        <v>0.14967792615868089</v>
      </c>
      <c r="I131" s="3">
        <f t="shared" si="52"/>
        <v>6.4810075266591632E-2</v>
      </c>
      <c r="J131" s="3">
        <f t="shared" si="53"/>
        <v>0.11999710444333245</v>
      </c>
      <c r="K131" s="4"/>
      <c r="L131" s="3">
        <f t="shared" ref="L131:L194" si="56">(I131^2*$B$19+J131^2*$C$20+2*I131*J131*$C$19)*0.5+$B$13*0.5</f>
        <v>3.1296411841853229</v>
      </c>
      <c r="M131" s="3">
        <f t="shared" ref="M131:M194" si="57">$B$24/L131</f>
        <v>1.2781017901389997</v>
      </c>
      <c r="N131" s="3">
        <f t="shared" si="54"/>
        <v>1.2781017901389997</v>
      </c>
      <c r="O131" s="4"/>
      <c r="P131" s="3">
        <f t="shared" ref="P131:P194" si="58">G131-$B$29</f>
        <v>6.2539844310943823E-2</v>
      </c>
      <c r="Q131" s="3">
        <f t="shared" ref="Q131:Q194" si="59">H131-$B$30</f>
        <v>0.12076805277741762</v>
      </c>
      <c r="R131" s="4"/>
      <c r="S131" s="3">
        <f t="shared" ref="S131:S194" si="60">(P131^2*$B$37+Q131^2*$C$38+2*P131*Q131*$C$37)*0.5+$B$13*0.5</f>
        <v>3.0833325367525175</v>
      </c>
      <c r="T131" s="3">
        <f t="shared" ref="T131:T194" si="61">$B$24/S131</f>
        <v>1.2972976324548344</v>
      </c>
      <c r="U131" s="3">
        <f t="shared" ref="U131:U194" si="62">$B$24/S131</f>
        <v>1.2972976324548344</v>
      </c>
      <c r="V131" s="3">
        <f t="shared" ref="V131:V194" si="63">(EXP(GAMMALN($B$24-$B$39))/EXP(GAMMALN($B$24))/S131^(-$B$39)-1)/$B$39</f>
        <v>-0.13009162644683769</v>
      </c>
      <c r="W131" s="4"/>
      <c r="X131" s="3">
        <f t="shared" ref="X131:X194" si="64">0.5*$B$43*LN(0.5*$B$43)-0.5*$B$43*T131-($B$43*0.5+1)*V131-GAMMALN($B$43*0.5)</f>
        <v>-0.81257990016265857</v>
      </c>
      <c r="Y131" s="14">
        <f t="shared" ref="Y131:Y194" si="65">GAMMALN($B$43/2+1)-GAMMALN($B$43/2)-LN(PI())-LN($B$43)-0.5*LN($B$35*$C$36-$C$35*$B$36)-($B$43/2+1)*LN(SUMPRODUCT(MMULT(P131:Q131,$B$37:$C$38),P131:Q131)/$B$43+1)</f>
        <v>-3.4691171032260423E-2</v>
      </c>
      <c r="Z131" s="15">
        <f t="shared" ref="Z131:Z194" si="66">GAMMALN($B$13/2+1)-GAMMALN($B$13/2)-LN(PI())-LN($B$13)-0.5*LN($B$14*$C$15-$C$14*$B$15)-($B$13/2+1)*LN(SUMPRODUCT(MMULT(I131:J131,$B$19:$C$20),I131:J131)/$B$13+1)</f>
        <v>0.34406980902692008</v>
      </c>
      <c r="AA131" s="15">
        <f t="shared" ref="AA131:AA194" si="67">G131-$B$3</f>
        <v>6.4810075266591632E-2</v>
      </c>
      <c r="AB131" s="15">
        <f t="shared" ref="AB131:AB194" si="68">H131-$B$4</f>
        <v>0.11999710444333245</v>
      </c>
      <c r="AC131" s="15">
        <f t="shared" ref="AC131:AC194" si="69">GAMMALN($B$13/2+1)-GAMMALN($B$13/2)-LN(PI())-LN($B$13)-0.5*LN($B$9*$C$10-$C$9*$B$10)-($B$13/2+1)*LN(SUMPRODUCT(MMULT(AA131:AB131,MINVERSE($B$9:$C$10)),AA131:AB131)/$B$13+1)</f>
        <v>-4.3122375078881878E-2</v>
      </c>
      <c r="AH131" s="15">
        <f t="shared" ref="AH131:AH194" si="70">G131-$B$70</f>
        <v>5.22181616508628E-2</v>
      </c>
      <c r="AI131" s="15">
        <f t="shared" ref="AI131:AI194" si="71">H131-$B$70</f>
        <v>0.10609221095663471</v>
      </c>
      <c r="AJ131" s="18">
        <f t="shared" ref="AJ131:AJ194" si="72">SUMPRODUCT(MMULT(AH131:AI131,$B$73:$C$74),AH131:AI131)</f>
        <v>0.30045403019459083</v>
      </c>
      <c r="AK131">
        <f t="shared" ref="AK131:AK194" si="73">IF(SQRT(AJ131)&lt;=$B$75,1,$B$75/SQRT(AJ131))</f>
        <v>1</v>
      </c>
      <c r="AL131">
        <f t="shared" ref="AL131:AL194" si="74">IF(AJ131&lt;=$B$77,1,$B$77/AJ131)</f>
        <v>1</v>
      </c>
      <c r="AM131">
        <f t="shared" ref="AM131:AM194" si="75">IF(AJ131&gt;B$83,1,0)</f>
        <v>0</v>
      </c>
      <c r="AN131">
        <f t="shared" ref="AN131:AN194" si="76">AM131*AH131</f>
        <v>0</v>
      </c>
      <c r="AO131">
        <f t="shared" ref="AO131:AO194" si="77">AM131*AI131</f>
        <v>0</v>
      </c>
    </row>
    <row r="132" spans="4:41" x14ac:dyDescent="0.25">
      <c r="D132" s="5">
        <v>41844</v>
      </c>
      <c r="E132" s="6">
        <v>43.85</v>
      </c>
      <c r="F132" s="6">
        <v>25.46</v>
      </c>
      <c r="G132" s="3">
        <f t="shared" si="55"/>
        <v>-0.43612277138343569</v>
      </c>
      <c r="H132" s="3">
        <f t="shared" si="55"/>
        <v>0.16131963650731165</v>
      </c>
      <c r="I132" s="3">
        <f t="shared" si="52"/>
        <v>-0.46711657296975306</v>
      </c>
      <c r="J132" s="3">
        <f t="shared" si="53"/>
        <v>0.13163881479196321</v>
      </c>
      <c r="K132" s="4"/>
      <c r="L132" s="3">
        <f t="shared" si="56"/>
        <v>4.2231845754086699</v>
      </c>
      <c r="M132" s="3">
        <f t="shared" si="57"/>
        <v>0.94715254059501464</v>
      </c>
      <c r="N132" s="3">
        <f t="shared" si="54"/>
        <v>0.94715254059501464</v>
      </c>
      <c r="O132" s="4"/>
      <c r="P132" s="3">
        <f t="shared" si="58"/>
        <v>-0.46938680392540089</v>
      </c>
      <c r="Q132" s="3">
        <f t="shared" si="59"/>
        <v>0.13240976312604838</v>
      </c>
      <c r="R132" s="4"/>
      <c r="S132" s="3">
        <f t="shared" si="60"/>
        <v>3.7947927479652765</v>
      </c>
      <c r="T132" s="3">
        <f t="shared" si="61"/>
        <v>1.0540760103815296</v>
      </c>
      <c r="U132" s="3">
        <f t="shared" si="62"/>
        <v>1.0540760103815296</v>
      </c>
      <c r="V132" s="3">
        <f t="shared" si="63"/>
        <v>7.7526620856360751E-2</v>
      </c>
      <c r="W132" s="4"/>
      <c r="X132" s="3">
        <f t="shared" si="64"/>
        <v>-0.85673255816534333</v>
      </c>
      <c r="Y132" s="14">
        <f t="shared" si="65"/>
        <v>-0.82680880664468881</v>
      </c>
      <c r="Z132" s="15">
        <f t="shared" si="66"/>
        <v>-0.85461467830719706</v>
      </c>
      <c r="AA132" s="15">
        <f t="shared" si="67"/>
        <v>-0.46711657296975306</v>
      </c>
      <c r="AB132" s="15">
        <f t="shared" si="68"/>
        <v>0.13163881479196321</v>
      </c>
      <c r="AC132" s="15">
        <f t="shared" si="69"/>
        <v>-0.86063632113922228</v>
      </c>
      <c r="AH132" s="15">
        <f t="shared" si="70"/>
        <v>-0.47970848658548187</v>
      </c>
      <c r="AI132" s="15">
        <f t="shared" si="71"/>
        <v>0.11773392130526547</v>
      </c>
      <c r="AJ132" s="18">
        <f t="shared" si="72"/>
        <v>3.4901834899373396</v>
      </c>
      <c r="AK132">
        <f t="shared" si="73"/>
        <v>1</v>
      </c>
      <c r="AL132">
        <f t="shared" si="74"/>
        <v>0.57303577469960087</v>
      </c>
      <c r="AM132">
        <f t="shared" si="75"/>
        <v>1</v>
      </c>
      <c r="AN132">
        <f t="shared" si="76"/>
        <v>-0.47970848658548187</v>
      </c>
      <c r="AO132">
        <f t="shared" si="77"/>
        <v>0.11773392130526547</v>
      </c>
    </row>
    <row r="133" spans="4:41" x14ac:dyDescent="0.25">
      <c r="D133" s="5">
        <v>41843</v>
      </c>
      <c r="E133" s="6">
        <v>44.31</v>
      </c>
      <c r="F133" s="6">
        <v>25.31</v>
      </c>
      <c r="G133" s="3">
        <f t="shared" si="55"/>
        <v>3.7957985091483258E-2</v>
      </c>
      <c r="H133" s="3">
        <f t="shared" si="55"/>
        <v>-0.2873103987490222</v>
      </c>
      <c r="I133" s="3">
        <f t="shared" si="52"/>
        <v>6.9641835051659079E-3</v>
      </c>
      <c r="J133" s="3">
        <f t="shared" si="53"/>
        <v>-0.31699122046437067</v>
      </c>
      <c r="K133" s="4"/>
      <c r="L133" s="3">
        <f t="shared" si="56"/>
        <v>4.1222816272344289</v>
      </c>
      <c r="M133" s="3">
        <f t="shared" si="57"/>
        <v>0.97033642087271321</v>
      </c>
      <c r="N133" s="3">
        <f t="shared" si="54"/>
        <v>0.97033642087271321</v>
      </c>
      <c r="O133" s="4"/>
      <c r="P133" s="3">
        <f t="shared" si="58"/>
        <v>4.693952549518092E-3</v>
      </c>
      <c r="Q133" s="3">
        <f t="shared" si="59"/>
        <v>-0.31622027213028547</v>
      </c>
      <c r="R133" s="4"/>
      <c r="S133" s="3">
        <f t="shared" si="60"/>
        <v>3.7041392211733566</v>
      </c>
      <c r="T133" s="3">
        <f t="shared" si="61"/>
        <v>1.0798730180376221</v>
      </c>
      <c r="U133" s="3">
        <f t="shared" si="62"/>
        <v>1.0798730180376221</v>
      </c>
      <c r="V133" s="3">
        <f t="shared" si="63"/>
        <v>5.3347567934292073E-2</v>
      </c>
      <c r="W133" s="4"/>
      <c r="X133" s="3">
        <f t="shared" si="64"/>
        <v>-0.83998201239369386</v>
      </c>
      <c r="Y133" s="14">
        <f t="shared" si="65"/>
        <v>-0.73190046238094053</v>
      </c>
      <c r="Z133" s="15">
        <f t="shared" si="66"/>
        <v>-0.75788396198325381</v>
      </c>
      <c r="AA133" s="15">
        <f t="shared" si="67"/>
        <v>6.9641835051659079E-3</v>
      </c>
      <c r="AB133" s="15">
        <f t="shared" si="68"/>
        <v>-0.31699122046437067</v>
      </c>
      <c r="AC133" s="15">
        <f t="shared" si="69"/>
        <v>-0.79182361320588301</v>
      </c>
      <c r="AH133" s="15">
        <f t="shared" si="70"/>
        <v>-5.6277301105629313E-3</v>
      </c>
      <c r="AI133" s="15">
        <f t="shared" si="71"/>
        <v>-0.33089611395106838</v>
      </c>
      <c r="AJ133" s="18">
        <f t="shared" si="72"/>
        <v>3.482681569182009</v>
      </c>
      <c r="AK133">
        <f t="shared" si="73"/>
        <v>1</v>
      </c>
      <c r="AL133">
        <f t="shared" si="74"/>
        <v>0.57427013072278899</v>
      </c>
      <c r="AM133">
        <f t="shared" si="75"/>
        <v>1</v>
      </c>
      <c r="AN133">
        <f t="shared" si="76"/>
        <v>-5.6277301105629313E-3</v>
      </c>
      <c r="AO133">
        <f t="shared" si="77"/>
        <v>-0.33089611395106838</v>
      </c>
    </row>
    <row r="134" spans="4:41" x14ac:dyDescent="0.25">
      <c r="D134" s="5">
        <v>41842</v>
      </c>
      <c r="E134" s="6">
        <v>44.27</v>
      </c>
      <c r="F134" s="6">
        <v>25.58</v>
      </c>
      <c r="G134" s="3">
        <f t="shared" si="55"/>
        <v>-9.4873532068635129E-3</v>
      </c>
      <c r="H134" s="3">
        <f t="shared" si="55"/>
        <v>0.1068288854003117</v>
      </c>
      <c r="I134" s="3">
        <f t="shared" si="52"/>
        <v>-4.048115479318086E-2</v>
      </c>
      <c r="J134" s="3">
        <f t="shared" si="53"/>
        <v>7.7148063684963242E-2</v>
      </c>
      <c r="K134" s="4"/>
      <c r="L134" s="3">
        <f t="shared" si="56"/>
        <v>3.0881315129250564</v>
      </c>
      <c r="M134" s="3">
        <f t="shared" si="57"/>
        <v>1.2952816236155786</v>
      </c>
      <c r="N134" s="3">
        <f t="shared" si="54"/>
        <v>1.2952816236155786</v>
      </c>
      <c r="O134" s="4"/>
      <c r="P134" s="3">
        <f t="shared" si="58"/>
        <v>-4.2751385748828682E-2</v>
      </c>
      <c r="Q134" s="3">
        <f t="shared" si="59"/>
        <v>7.7919012019048425E-2</v>
      </c>
      <c r="R134" s="4"/>
      <c r="S134" s="3">
        <f t="shared" si="60"/>
        <v>3.057940830695844</v>
      </c>
      <c r="T134" s="3">
        <f t="shared" si="61"/>
        <v>1.3080697833809254</v>
      </c>
      <c r="U134" s="3">
        <f t="shared" si="62"/>
        <v>1.3080697833809254</v>
      </c>
      <c r="V134" s="3">
        <f t="shared" si="63"/>
        <v>-0.13836076165785194</v>
      </c>
      <c r="W134" s="4"/>
      <c r="X134" s="3">
        <f t="shared" si="64"/>
        <v>-0.81580284797847646</v>
      </c>
      <c r="Y134" s="14">
        <f t="shared" si="65"/>
        <v>-4.237513459310796E-3</v>
      </c>
      <c r="Z134" s="15">
        <f t="shared" si="66"/>
        <v>0.39747837183514689</v>
      </c>
      <c r="AA134" s="15">
        <f t="shared" si="67"/>
        <v>-4.048115479318086E-2</v>
      </c>
      <c r="AB134" s="15">
        <f t="shared" si="68"/>
        <v>7.7148063684963242E-2</v>
      </c>
      <c r="AC134" s="15">
        <f t="shared" si="69"/>
        <v>-8.5427616909672793E-3</v>
      </c>
      <c r="AH134" s="15">
        <f t="shared" si="70"/>
        <v>-5.3073068408909699E-2</v>
      </c>
      <c r="AI134" s="15">
        <f t="shared" si="71"/>
        <v>6.3243170198265503E-2</v>
      </c>
      <c r="AJ134" s="18">
        <f t="shared" si="72"/>
        <v>0.20700955947193103</v>
      </c>
      <c r="AK134">
        <f t="shared" si="73"/>
        <v>1</v>
      </c>
      <c r="AL134">
        <f t="shared" si="74"/>
        <v>1</v>
      </c>
      <c r="AM134">
        <f t="shared" si="75"/>
        <v>0</v>
      </c>
      <c r="AN134">
        <f t="shared" si="76"/>
        <v>0</v>
      </c>
      <c r="AO134">
        <f t="shared" si="77"/>
        <v>0</v>
      </c>
    </row>
    <row r="135" spans="4:41" x14ac:dyDescent="0.25">
      <c r="D135" s="5">
        <v>41841</v>
      </c>
      <c r="E135" s="6">
        <v>44.28</v>
      </c>
      <c r="F135" s="6">
        <v>25.48</v>
      </c>
      <c r="G135" s="3">
        <f t="shared" si="55"/>
        <v>0.14279401767504962</v>
      </c>
      <c r="H135" s="3">
        <f t="shared" si="55"/>
        <v>-6.3946750195769966E-2</v>
      </c>
      <c r="I135" s="3">
        <f t="shared" si="52"/>
        <v>0.11180021608873228</v>
      </c>
      <c r="J135" s="3">
        <f t="shared" si="53"/>
        <v>-9.3627571911118423E-2</v>
      </c>
      <c r="K135" s="4"/>
      <c r="L135" s="3">
        <f t="shared" si="56"/>
        <v>3.1941348698150502</v>
      </c>
      <c r="M135" s="3">
        <f t="shared" si="57"/>
        <v>1.2522952733776116</v>
      </c>
      <c r="N135" s="3">
        <f t="shared" si="54"/>
        <v>1.2522952733776116</v>
      </c>
      <c r="O135" s="4"/>
      <c r="P135" s="3">
        <f t="shared" si="58"/>
        <v>0.10952998513308446</v>
      </c>
      <c r="Q135" s="3">
        <f t="shared" si="59"/>
        <v>-9.285662357703324E-2</v>
      </c>
      <c r="R135" s="4"/>
      <c r="S135" s="3">
        <f t="shared" si="60"/>
        <v>3.120804804972094</v>
      </c>
      <c r="T135" s="3">
        <f t="shared" si="61"/>
        <v>1.281720661807225</v>
      </c>
      <c r="U135" s="3">
        <f t="shared" si="62"/>
        <v>1.281720661807225</v>
      </c>
      <c r="V135" s="3">
        <f t="shared" si="63"/>
        <v>-0.11801186193705071</v>
      </c>
      <c r="W135" s="4"/>
      <c r="X135" s="3">
        <f t="shared" si="64"/>
        <v>-0.80860296033147128</v>
      </c>
      <c r="Y135" s="14">
        <f t="shared" si="65"/>
        <v>-7.933284704444693E-2</v>
      </c>
      <c r="Z135" s="15">
        <f t="shared" si="66"/>
        <v>0.26247815081863407</v>
      </c>
      <c r="AA135" s="15">
        <f t="shared" si="67"/>
        <v>0.11180021608873228</v>
      </c>
      <c r="AB135" s="15">
        <f t="shared" si="68"/>
        <v>-9.3627571911118423E-2</v>
      </c>
      <c r="AC135" s="15">
        <f t="shared" si="69"/>
        <v>-9.6262694313355351E-2</v>
      </c>
      <c r="AH135" s="15">
        <f t="shared" si="70"/>
        <v>9.920830247300344E-2</v>
      </c>
      <c r="AI135" s="15">
        <f t="shared" si="71"/>
        <v>-0.10753246539781616</v>
      </c>
      <c r="AJ135" s="18">
        <f t="shared" si="72"/>
        <v>0.62947160938241131</v>
      </c>
      <c r="AK135">
        <f t="shared" si="73"/>
        <v>1</v>
      </c>
      <c r="AL135">
        <f t="shared" si="74"/>
        <v>1</v>
      </c>
      <c r="AM135">
        <f t="shared" si="75"/>
        <v>0</v>
      </c>
      <c r="AN135">
        <f t="shared" si="76"/>
        <v>0</v>
      </c>
      <c r="AO135">
        <f t="shared" si="77"/>
        <v>0</v>
      </c>
    </row>
    <row r="136" spans="4:41" x14ac:dyDescent="0.25">
      <c r="D136" s="5">
        <v>41838</v>
      </c>
      <c r="E136" s="6">
        <v>44.13</v>
      </c>
      <c r="F136" s="6">
        <v>25.54</v>
      </c>
      <c r="G136" s="3">
        <f t="shared" si="55"/>
        <v>0.1432810368349304</v>
      </c>
      <c r="H136" s="3">
        <f t="shared" si="55"/>
        <v>0.30172604908946693</v>
      </c>
      <c r="I136" s="3">
        <f t="shared" si="52"/>
        <v>0.11228723524861306</v>
      </c>
      <c r="J136" s="3">
        <f t="shared" si="53"/>
        <v>0.27204522737411846</v>
      </c>
      <c r="K136" s="4"/>
      <c r="L136" s="3">
        <f t="shared" si="56"/>
        <v>3.6896091112691258</v>
      </c>
      <c r="M136" s="3">
        <f t="shared" si="57"/>
        <v>1.0841256836077435</v>
      </c>
      <c r="N136" s="3">
        <f t="shared" si="54"/>
        <v>1.0841256836077435</v>
      </c>
      <c r="O136" s="4"/>
      <c r="P136" s="3">
        <f t="shared" si="58"/>
        <v>0.11001700429296524</v>
      </c>
      <c r="Q136" s="3">
        <f t="shared" si="59"/>
        <v>0.27281617570820366</v>
      </c>
      <c r="R136" s="4"/>
      <c r="S136" s="3">
        <f t="shared" si="60"/>
        <v>3.4391876455778023</v>
      </c>
      <c r="T136" s="3">
        <f t="shared" si="61"/>
        <v>1.163065355024552</v>
      </c>
      <c r="U136" s="3">
        <f t="shared" si="62"/>
        <v>1.163065355024552</v>
      </c>
      <c r="V136" s="3">
        <f t="shared" si="63"/>
        <v>-2.0868161422216147E-2</v>
      </c>
      <c r="W136" s="4"/>
      <c r="X136" s="3">
        <f t="shared" si="64"/>
        <v>-0.80698053493609234</v>
      </c>
      <c r="Y136" s="14">
        <f t="shared" si="65"/>
        <v>-0.44490460829697309</v>
      </c>
      <c r="Z136" s="15">
        <f t="shared" si="66"/>
        <v>-0.31433883175578325</v>
      </c>
      <c r="AA136" s="15">
        <f t="shared" si="67"/>
        <v>0.11228723524861306</v>
      </c>
      <c r="AB136" s="15">
        <f t="shared" si="68"/>
        <v>0.27204522737411846</v>
      </c>
      <c r="AC136" s="15">
        <f t="shared" si="69"/>
        <v>-0.48254739604936214</v>
      </c>
      <c r="AH136" s="15">
        <f t="shared" si="70"/>
        <v>9.9695321632884221E-2</v>
      </c>
      <c r="AI136" s="15">
        <f t="shared" si="71"/>
        <v>0.25814033388742075</v>
      </c>
      <c r="AJ136" s="18">
        <f t="shared" si="72"/>
        <v>1.8302326704046641</v>
      </c>
      <c r="AK136">
        <f t="shared" si="73"/>
        <v>1</v>
      </c>
      <c r="AL136">
        <f t="shared" si="74"/>
        <v>1</v>
      </c>
      <c r="AM136">
        <f t="shared" si="75"/>
        <v>0</v>
      </c>
      <c r="AN136">
        <f t="shared" si="76"/>
        <v>0</v>
      </c>
      <c r="AO136">
        <f t="shared" si="77"/>
        <v>0</v>
      </c>
    </row>
    <row r="137" spans="4:41" x14ac:dyDescent="0.25">
      <c r="D137" s="5">
        <v>41837</v>
      </c>
      <c r="E137" s="6">
        <v>43.98</v>
      </c>
      <c r="F137" s="6">
        <v>25.26</v>
      </c>
      <c r="G137" s="3">
        <f t="shared" si="55"/>
        <v>0.43428669882839005</v>
      </c>
      <c r="H137" s="3">
        <f t="shared" si="55"/>
        <v>-0.37200312377977129</v>
      </c>
      <c r="I137" s="3">
        <f t="shared" si="52"/>
        <v>0.40329289724207268</v>
      </c>
      <c r="J137" s="3">
        <f t="shared" si="53"/>
        <v>-0.40168394549511977</v>
      </c>
      <c r="K137" s="4"/>
      <c r="L137" s="3">
        <f t="shared" si="56"/>
        <v>6.1902813220940667</v>
      </c>
      <c r="M137" s="3">
        <f t="shared" si="57"/>
        <v>0.64617418690219852</v>
      </c>
      <c r="N137" s="3">
        <f t="shared" si="54"/>
        <v>0.64617418690219852</v>
      </c>
      <c r="O137" s="4"/>
      <c r="P137" s="3">
        <f t="shared" si="58"/>
        <v>0.40102266628642491</v>
      </c>
      <c r="Q137" s="3">
        <f t="shared" si="59"/>
        <v>-0.40091299716103457</v>
      </c>
      <c r="R137" s="4"/>
      <c r="S137" s="3">
        <f t="shared" si="60"/>
        <v>5.0211379058213339</v>
      </c>
      <c r="T137" s="3">
        <f t="shared" si="61"/>
        <v>0.79663217283128951</v>
      </c>
      <c r="U137" s="3">
        <f t="shared" si="62"/>
        <v>0.79663217283128951</v>
      </c>
      <c r="V137" s="3">
        <f t="shared" si="63"/>
        <v>0.35755949761906436</v>
      </c>
      <c r="W137" s="4"/>
      <c r="X137" s="3">
        <f t="shared" si="64"/>
        <v>-1.2404783731099105</v>
      </c>
      <c r="Y137" s="14">
        <f t="shared" si="65"/>
        <v>-1.9737643677444898</v>
      </c>
      <c r="Z137" s="15">
        <f t="shared" si="66"/>
        <v>-2.3841788836044771</v>
      </c>
      <c r="AA137" s="15">
        <f t="shared" si="67"/>
        <v>0.40329289724207268</v>
      </c>
      <c r="AB137" s="15">
        <f t="shared" si="68"/>
        <v>-0.40168394549511977</v>
      </c>
      <c r="AC137" s="15">
        <f t="shared" si="69"/>
        <v>-2.0088836064090247</v>
      </c>
      <c r="AH137" s="15">
        <f t="shared" si="70"/>
        <v>0.39070098362634387</v>
      </c>
      <c r="AI137" s="15">
        <f t="shared" si="71"/>
        <v>-0.41558883898181748</v>
      </c>
      <c r="AJ137" s="18">
        <f t="shared" si="72"/>
        <v>9.5022768020785495</v>
      </c>
      <c r="AK137">
        <f t="shared" si="73"/>
        <v>0.97321191214467173</v>
      </c>
      <c r="AL137">
        <f t="shared" si="74"/>
        <v>0.21047587243117519</v>
      </c>
      <c r="AM137">
        <f t="shared" si="75"/>
        <v>1</v>
      </c>
      <c r="AN137">
        <f t="shared" si="76"/>
        <v>0.39070098362634387</v>
      </c>
      <c r="AO137">
        <f t="shared" si="77"/>
        <v>-0.41558883898181748</v>
      </c>
    </row>
    <row r="138" spans="4:41" x14ac:dyDescent="0.25">
      <c r="D138" s="5">
        <v>41836</v>
      </c>
      <c r="E138" s="6">
        <v>43.53</v>
      </c>
      <c r="F138" s="6">
        <v>25.61</v>
      </c>
      <c r="G138" s="3">
        <f t="shared" si="55"/>
        <v>1.613456583969465</v>
      </c>
      <c r="H138" s="3">
        <f t="shared" si="55"/>
        <v>0.33352569169960333</v>
      </c>
      <c r="I138" s="3">
        <f t="shared" si="52"/>
        <v>1.5824627823831476</v>
      </c>
      <c r="J138" s="3">
        <f t="shared" si="53"/>
        <v>0.30384486998425486</v>
      </c>
      <c r="K138" s="4"/>
      <c r="L138" s="3">
        <f t="shared" si="56"/>
        <v>9.3354122976638969</v>
      </c>
      <c r="M138" s="3">
        <f t="shared" si="57"/>
        <v>0.42847598718280111</v>
      </c>
      <c r="N138" s="3">
        <f t="shared" si="54"/>
        <v>0.42847598718280111</v>
      </c>
      <c r="O138" s="4"/>
      <c r="P138" s="3">
        <f t="shared" si="58"/>
        <v>1.5801925514274999</v>
      </c>
      <c r="Q138" s="3">
        <f t="shared" si="59"/>
        <v>0.30461581831834006</v>
      </c>
      <c r="R138" s="4"/>
      <c r="S138" s="3">
        <f t="shared" si="60"/>
        <v>7.0848241432720851</v>
      </c>
      <c r="T138" s="3">
        <f t="shared" si="61"/>
        <v>0.56458705524801112</v>
      </c>
      <c r="U138" s="3">
        <f t="shared" si="62"/>
        <v>0.56458705524801112</v>
      </c>
      <c r="V138" s="3">
        <f t="shared" si="63"/>
        <v>0.70187620504702508</v>
      </c>
      <c r="W138" s="4"/>
      <c r="X138" s="3">
        <f t="shared" si="64"/>
        <v>-2.100267046725635</v>
      </c>
      <c r="Y138" s="14">
        <f t="shared" si="65"/>
        <v>-3.4924868569502152</v>
      </c>
      <c r="Z138" s="15">
        <f t="shared" si="66"/>
        <v>-4.0275165211367954</v>
      </c>
      <c r="AA138" s="15">
        <f t="shared" si="67"/>
        <v>1.5824627823831476</v>
      </c>
      <c r="AB138" s="15">
        <f t="shared" si="68"/>
        <v>0.30384486998425486</v>
      </c>
      <c r="AC138" s="15">
        <f t="shared" si="69"/>
        <v>-3.3518382390559305</v>
      </c>
      <c r="AH138" s="15">
        <f t="shared" si="70"/>
        <v>1.5698708687674188</v>
      </c>
      <c r="AI138" s="15">
        <f t="shared" si="71"/>
        <v>0.28993997649755715</v>
      </c>
      <c r="AJ138" s="18">
        <f t="shared" si="72"/>
        <v>18.823269780586333</v>
      </c>
      <c r="AK138">
        <f t="shared" si="73"/>
        <v>0.69147060300804608</v>
      </c>
      <c r="AL138">
        <f t="shared" si="74"/>
        <v>0.10625146551651353</v>
      </c>
      <c r="AM138">
        <f t="shared" si="75"/>
        <v>1</v>
      </c>
      <c r="AN138">
        <f t="shared" si="76"/>
        <v>1.5698708687674188</v>
      </c>
      <c r="AO138">
        <f t="shared" si="77"/>
        <v>0.28993997649755715</v>
      </c>
    </row>
    <row r="139" spans="4:41" x14ac:dyDescent="0.25">
      <c r="D139" s="5">
        <v>41835</v>
      </c>
      <c r="E139" s="6">
        <v>41.92</v>
      </c>
      <c r="F139" s="6">
        <v>25.3</v>
      </c>
      <c r="G139" s="3">
        <f t="shared" si="55"/>
        <v>0.30281114848630897</v>
      </c>
      <c r="H139" s="3">
        <f t="shared" si="55"/>
        <v>0.23877192982456402</v>
      </c>
      <c r="I139" s="3">
        <f t="shared" si="52"/>
        <v>0.2718173468999916</v>
      </c>
      <c r="J139" s="3">
        <f t="shared" si="53"/>
        <v>0.20909110810921558</v>
      </c>
      <c r="K139" s="4"/>
      <c r="L139" s="3">
        <f t="shared" si="56"/>
        <v>3.4052201504936326</v>
      </c>
      <c r="M139" s="3">
        <f t="shared" si="57"/>
        <v>1.174667076788015</v>
      </c>
      <c r="N139" s="3">
        <f t="shared" si="54"/>
        <v>1.174667076788015</v>
      </c>
      <c r="O139" s="4"/>
      <c r="P139" s="3">
        <f t="shared" si="58"/>
        <v>0.26954711594434377</v>
      </c>
      <c r="Q139" s="3">
        <f t="shared" si="59"/>
        <v>0.20986205644330075</v>
      </c>
      <c r="R139" s="4"/>
      <c r="S139" s="3">
        <f t="shared" si="60"/>
        <v>3.2576574662374544</v>
      </c>
      <c r="T139" s="3">
        <f t="shared" si="61"/>
        <v>1.2278761783447847</v>
      </c>
      <c r="U139" s="3">
        <f t="shared" si="62"/>
        <v>1.2278761783447847</v>
      </c>
      <c r="V139" s="3">
        <f t="shared" si="63"/>
        <v>-7.5094826744726006E-2</v>
      </c>
      <c r="W139" s="4"/>
      <c r="X139" s="3">
        <f t="shared" si="64"/>
        <v>-0.80134885914811949</v>
      </c>
      <c r="Y139" s="14">
        <f t="shared" si="65"/>
        <v>-0.23940641353707598</v>
      </c>
      <c r="Z139" s="15">
        <f t="shared" si="66"/>
        <v>6.5048800851479349E-3</v>
      </c>
      <c r="AA139" s="15">
        <f t="shared" si="67"/>
        <v>0.2718173468999916</v>
      </c>
      <c r="AB139" s="15">
        <f t="shared" si="68"/>
        <v>0.20909110810921558</v>
      </c>
      <c r="AC139" s="15">
        <f t="shared" si="69"/>
        <v>-0.2654112884672068</v>
      </c>
      <c r="AH139" s="15">
        <f t="shared" si="70"/>
        <v>0.25922543328426279</v>
      </c>
      <c r="AI139" s="15">
        <f t="shared" si="71"/>
        <v>0.19518621462251784</v>
      </c>
      <c r="AJ139" s="18">
        <f t="shared" si="72"/>
        <v>1.0674505759466071</v>
      </c>
      <c r="AK139">
        <f t="shared" si="73"/>
        <v>1</v>
      </c>
      <c r="AL139">
        <f t="shared" si="74"/>
        <v>1</v>
      </c>
      <c r="AM139">
        <f t="shared" si="75"/>
        <v>0</v>
      </c>
      <c r="AN139">
        <f t="shared" si="76"/>
        <v>0</v>
      </c>
      <c r="AO139">
        <f t="shared" si="77"/>
        <v>0</v>
      </c>
    </row>
    <row r="140" spans="4:41" x14ac:dyDescent="0.25">
      <c r="D140" s="5">
        <v>41834</v>
      </c>
      <c r="E140" s="6">
        <v>41.62</v>
      </c>
      <c r="F140" s="6">
        <v>25.08</v>
      </c>
      <c r="G140" s="3">
        <f t="shared" si="55"/>
        <v>5.0529227808512878E-2</v>
      </c>
      <c r="H140" s="3">
        <f t="shared" si="55"/>
        <v>-7.5761431411531119E-2</v>
      </c>
      <c r="I140" s="3">
        <f t="shared" si="52"/>
        <v>1.9535426222195527E-2</v>
      </c>
      <c r="J140" s="3">
        <f t="shared" si="53"/>
        <v>-0.10544225312687958</v>
      </c>
      <c r="K140" s="4"/>
      <c r="L140" s="3">
        <f t="shared" si="56"/>
        <v>3.1353571101304669</v>
      </c>
      <c r="M140" s="3">
        <f t="shared" si="57"/>
        <v>1.2757717413036738</v>
      </c>
      <c r="N140" s="3">
        <f t="shared" si="54"/>
        <v>1.2757717413036738</v>
      </c>
      <c r="O140" s="4"/>
      <c r="P140" s="3">
        <f t="shared" si="58"/>
        <v>1.7265195266547712E-2</v>
      </c>
      <c r="Q140" s="3">
        <f t="shared" si="59"/>
        <v>-0.10467130479279439</v>
      </c>
      <c r="R140" s="4"/>
      <c r="S140" s="3">
        <f t="shared" si="60"/>
        <v>3.0835587477796071</v>
      </c>
      <c r="T140" s="3">
        <f t="shared" si="61"/>
        <v>1.2972024622136027</v>
      </c>
      <c r="U140" s="3">
        <f t="shared" si="62"/>
        <v>1.2972024622136027</v>
      </c>
      <c r="V140" s="3">
        <f t="shared" si="63"/>
        <v>-0.13001826433600705</v>
      </c>
      <c r="W140" s="4"/>
      <c r="X140" s="3">
        <f t="shared" si="64"/>
        <v>-0.81255313471786916</v>
      </c>
      <c r="Y140" s="14">
        <f t="shared" si="65"/>
        <v>-3.4961734190902816E-2</v>
      </c>
      <c r="Z140" s="15">
        <f t="shared" si="66"/>
        <v>0.33677093708780803</v>
      </c>
      <c r="AA140" s="15">
        <f t="shared" si="67"/>
        <v>1.9535426222195527E-2</v>
      </c>
      <c r="AB140" s="15">
        <f t="shared" si="68"/>
        <v>-0.10544225312687958</v>
      </c>
      <c r="AC140" s="15">
        <f t="shared" si="69"/>
        <v>-4.7860694288167596E-2</v>
      </c>
      <c r="AH140" s="15">
        <f t="shared" si="70"/>
        <v>6.9435126064666883E-3</v>
      </c>
      <c r="AI140" s="15">
        <f t="shared" si="71"/>
        <v>-0.11934714661357732</v>
      </c>
      <c r="AJ140" s="18">
        <f t="shared" si="72"/>
        <v>0.47013420411075962</v>
      </c>
      <c r="AK140">
        <f t="shared" si="73"/>
        <v>1</v>
      </c>
      <c r="AL140">
        <f t="shared" si="74"/>
        <v>1</v>
      </c>
      <c r="AM140">
        <f t="shared" si="75"/>
        <v>0</v>
      </c>
      <c r="AN140">
        <f t="shared" si="76"/>
        <v>0</v>
      </c>
      <c r="AO140">
        <f t="shared" si="77"/>
        <v>0</v>
      </c>
    </row>
    <row r="141" spans="4:41" x14ac:dyDescent="0.25">
      <c r="D141" s="5">
        <v>41831</v>
      </c>
      <c r="E141" s="6">
        <v>41.57</v>
      </c>
      <c r="F141" s="6">
        <v>25.15</v>
      </c>
      <c r="G141" s="3">
        <f t="shared" si="55"/>
        <v>0.40816128248724654</v>
      </c>
      <c r="H141" s="3">
        <f t="shared" si="55"/>
        <v>7.5972886762360761E-2</v>
      </c>
      <c r="I141" s="3">
        <f t="shared" si="52"/>
        <v>0.37716748090092916</v>
      </c>
      <c r="J141" s="3">
        <f t="shared" si="53"/>
        <v>4.6292065047012311E-2</v>
      </c>
      <c r="K141" s="4"/>
      <c r="L141" s="3">
        <f t="shared" si="56"/>
        <v>3.3798300667215662</v>
      </c>
      <c r="M141" s="3">
        <f t="shared" si="57"/>
        <v>1.1834914540185739</v>
      </c>
      <c r="N141" s="3">
        <f t="shared" si="54"/>
        <v>1.1834914540185739</v>
      </c>
      <c r="O141" s="4"/>
      <c r="P141" s="3">
        <f t="shared" si="58"/>
        <v>0.3748972499452814</v>
      </c>
      <c r="Q141" s="3">
        <f t="shared" si="59"/>
        <v>4.7063013381097488E-2</v>
      </c>
      <c r="R141" s="4"/>
      <c r="S141" s="3">
        <f t="shared" si="60"/>
        <v>3.2422323068035332</v>
      </c>
      <c r="T141" s="3">
        <f t="shared" si="61"/>
        <v>1.233717889864449</v>
      </c>
      <c r="U141" s="3">
        <f t="shared" si="62"/>
        <v>1.233717889864449</v>
      </c>
      <c r="V141" s="3">
        <f t="shared" si="63"/>
        <v>-7.984108227554465E-2</v>
      </c>
      <c r="W141" s="4"/>
      <c r="X141" s="3">
        <f t="shared" si="64"/>
        <v>-0.80163216499808798</v>
      </c>
      <c r="Y141" s="14">
        <f t="shared" si="65"/>
        <v>-0.22159141318795372</v>
      </c>
      <c r="Z141" s="15">
        <f t="shared" si="66"/>
        <v>3.6441521935048626E-2</v>
      </c>
      <c r="AA141" s="15">
        <f t="shared" si="67"/>
        <v>0.37716748090092916</v>
      </c>
      <c r="AB141" s="15">
        <f t="shared" si="68"/>
        <v>4.6292065047012311E-2</v>
      </c>
      <c r="AC141" s="15">
        <f t="shared" si="69"/>
        <v>-0.24543990603227828</v>
      </c>
      <c r="AH141" s="15">
        <f t="shared" si="70"/>
        <v>0.36457556728520035</v>
      </c>
      <c r="AI141" s="15">
        <f t="shared" si="71"/>
        <v>3.2387171560314572E-2</v>
      </c>
      <c r="AJ141" s="18">
        <f t="shared" si="72"/>
        <v>1.1016214648436227</v>
      </c>
      <c r="AK141">
        <f t="shared" si="73"/>
        <v>1</v>
      </c>
      <c r="AL141">
        <f t="shared" si="74"/>
        <v>1</v>
      </c>
      <c r="AM141">
        <f t="shared" si="75"/>
        <v>0</v>
      </c>
      <c r="AN141">
        <f t="shared" si="76"/>
        <v>0</v>
      </c>
      <c r="AO141">
        <f t="shared" si="77"/>
        <v>0</v>
      </c>
    </row>
    <row r="142" spans="4:41" x14ac:dyDescent="0.25">
      <c r="D142" s="5">
        <v>41830</v>
      </c>
      <c r="E142" s="6">
        <v>41.17</v>
      </c>
      <c r="F142" s="6">
        <v>25.08</v>
      </c>
      <c r="G142" s="3">
        <f t="shared" si="55"/>
        <v>2.0417982989067589E-2</v>
      </c>
      <c r="H142" s="3">
        <f t="shared" si="55"/>
        <v>0</v>
      </c>
      <c r="I142" s="3">
        <f t="shared" si="52"/>
        <v>-1.0575818597249761E-2</v>
      </c>
      <c r="J142" s="3">
        <f t="shared" si="53"/>
        <v>-2.968082171534845E-2</v>
      </c>
      <c r="K142" s="4"/>
      <c r="L142" s="3">
        <f t="shared" si="56"/>
        <v>3.0083605536278171</v>
      </c>
      <c r="M142" s="3">
        <f t="shared" si="57"/>
        <v>1.3296278583284684</v>
      </c>
      <c r="N142" s="3">
        <f t="shared" si="54"/>
        <v>1.3296278583284684</v>
      </c>
      <c r="O142" s="4"/>
      <c r="P142" s="3">
        <f t="shared" si="58"/>
        <v>-1.2846049552897577E-2</v>
      </c>
      <c r="Q142" s="3">
        <f t="shared" si="59"/>
        <v>-2.890987338126327E-2</v>
      </c>
      <c r="R142" s="4"/>
      <c r="S142" s="3">
        <f t="shared" si="60"/>
        <v>3.0048704842777463</v>
      </c>
      <c r="T142" s="3">
        <f t="shared" si="61"/>
        <v>1.3311721822717575</v>
      </c>
      <c r="U142" s="3">
        <f t="shared" si="62"/>
        <v>1.3311721822717575</v>
      </c>
      <c r="V142" s="3">
        <f t="shared" si="63"/>
        <v>-0.1558677954172083</v>
      </c>
      <c r="W142" s="4"/>
      <c r="X142" s="3">
        <f t="shared" si="64"/>
        <v>-0.82398578502874598</v>
      </c>
      <c r="Y142" s="14">
        <f t="shared" si="65"/>
        <v>5.995336671623841E-2</v>
      </c>
      <c r="Z142" s="15">
        <f t="shared" si="66"/>
        <v>0.50216219515875538</v>
      </c>
      <c r="AA142" s="15">
        <f t="shared" si="67"/>
        <v>-1.0575818597249761E-2</v>
      </c>
      <c r="AB142" s="15">
        <f t="shared" si="68"/>
        <v>-2.968082171534845E-2</v>
      </c>
      <c r="AC142" s="15">
        <f t="shared" si="69"/>
        <v>5.8761542115373044E-2</v>
      </c>
      <c r="AH142" s="15">
        <f t="shared" si="70"/>
        <v>-2.31677322129786E-2</v>
      </c>
      <c r="AI142" s="15">
        <f t="shared" si="71"/>
        <v>-4.3585715202046189E-2</v>
      </c>
      <c r="AJ142" s="18">
        <f t="shared" si="72"/>
        <v>5.0268447503743693E-2</v>
      </c>
      <c r="AK142">
        <f t="shared" si="73"/>
        <v>1</v>
      </c>
      <c r="AL142">
        <f t="shared" si="74"/>
        <v>1</v>
      </c>
      <c r="AM142">
        <f t="shared" si="75"/>
        <v>0</v>
      </c>
      <c r="AN142">
        <f t="shared" si="76"/>
        <v>0</v>
      </c>
      <c r="AO142">
        <f t="shared" si="77"/>
        <v>0</v>
      </c>
    </row>
    <row r="143" spans="4:41" x14ac:dyDescent="0.25">
      <c r="D143" s="5">
        <v>41829</v>
      </c>
      <c r="E143" s="6">
        <v>41.15</v>
      </c>
      <c r="F143" s="6">
        <v>25.08</v>
      </c>
      <c r="G143" s="3">
        <f t="shared" si="55"/>
        <v>-0.11199951526902512</v>
      </c>
      <c r="H143" s="3">
        <f t="shared" si="55"/>
        <v>0.40758397409955199</v>
      </c>
      <c r="I143" s="3">
        <f t="shared" si="52"/>
        <v>-0.14299331685534247</v>
      </c>
      <c r="J143" s="3">
        <f t="shared" si="53"/>
        <v>0.37790315238420352</v>
      </c>
      <c r="K143" s="4"/>
      <c r="L143" s="3">
        <f t="shared" si="56"/>
        <v>4.9397419292570337</v>
      </c>
      <c r="M143" s="3">
        <f t="shared" si="57"/>
        <v>0.80975890183834431</v>
      </c>
      <c r="N143" s="3">
        <f t="shared" si="54"/>
        <v>0.80975890183834431</v>
      </c>
      <c r="O143" s="4"/>
      <c r="P143" s="3">
        <f t="shared" si="58"/>
        <v>-0.14526354781099027</v>
      </c>
      <c r="Q143" s="3">
        <f t="shared" si="59"/>
        <v>0.37867410071828872</v>
      </c>
      <c r="R143" s="4"/>
      <c r="S143" s="3">
        <f t="shared" si="60"/>
        <v>4.2395943309455131</v>
      </c>
      <c r="T143" s="3">
        <f t="shared" si="61"/>
        <v>0.94348649605537172</v>
      </c>
      <c r="U143" s="3">
        <f t="shared" si="62"/>
        <v>0.94348649605537172</v>
      </c>
      <c r="V143" s="3">
        <f t="shared" si="63"/>
        <v>0.18836588491444317</v>
      </c>
      <c r="W143" s="4"/>
      <c r="X143" s="3">
        <f t="shared" si="64"/>
        <v>-0.96871849686790279</v>
      </c>
      <c r="Y143" s="14">
        <f t="shared" si="65"/>
        <v>-1.2704794431842545</v>
      </c>
      <c r="Z143" s="15">
        <f t="shared" si="66"/>
        <v>-1.4815091047888422</v>
      </c>
      <c r="AA143" s="15">
        <f t="shared" si="67"/>
        <v>-0.14299331685534247</v>
      </c>
      <c r="AB143" s="15">
        <f t="shared" si="68"/>
        <v>0.37790315238420352</v>
      </c>
      <c r="AC143" s="15">
        <f t="shared" si="69"/>
        <v>-1.3179586459237085</v>
      </c>
      <c r="AH143" s="15">
        <f t="shared" si="70"/>
        <v>-0.15558523047107131</v>
      </c>
      <c r="AI143" s="15">
        <f t="shared" si="71"/>
        <v>0.36399825889750581</v>
      </c>
      <c r="AJ143" s="18">
        <f t="shared" si="72"/>
        <v>5.3580022670116545</v>
      </c>
      <c r="AK143">
        <f t="shared" si="73"/>
        <v>1</v>
      </c>
      <c r="AL143">
        <f t="shared" si="74"/>
        <v>0.37327345162089115</v>
      </c>
      <c r="AM143">
        <f t="shared" si="75"/>
        <v>1</v>
      </c>
      <c r="AN143">
        <f t="shared" si="76"/>
        <v>-0.15558523047107131</v>
      </c>
      <c r="AO143">
        <f t="shared" si="77"/>
        <v>0.36399825889750581</v>
      </c>
    </row>
    <row r="144" spans="4:41" x14ac:dyDescent="0.25">
      <c r="D144" s="5">
        <v>41828</v>
      </c>
      <c r="E144" s="6">
        <v>41.26</v>
      </c>
      <c r="F144" s="6">
        <v>24.71</v>
      </c>
      <c r="G144" s="3">
        <f t="shared" si="55"/>
        <v>-0.21273450687243878</v>
      </c>
      <c r="H144" s="3">
        <f t="shared" si="55"/>
        <v>-0.1751186168073986</v>
      </c>
      <c r="I144" s="3">
        <f t="shared" si="52"/>
        <v>-0.24372830845875612</v>
      </c>
      <c r="J144" s="3">
        <f t="shared" si="53"/>
        <v>-0.20479943852274704</v>
      </c>
      <c r="K144" s="4"/>
      <c r="L144" s="3">
        <f t="shared" si="56"/>
        <v>3.3776213252010505</v>
      </c>
      <c r="M144" s="3">
        <f t="shared" si="57"/>
        <v>1.1842653793529987</v>
      </c>
      <c r="N144" s="3">
        <f t="shared" si="54"/>
        <v>1.1842653793529987</v>
      </c>
      <c r="O144" s="4"/>
      <c r="P144" s="3">
        <f t="shared" si="58"/>
        <v>-0.24599853941440394</v>
      </c>
      <c r="Q144" s="3">
        <f t="shared" si="59"/>
        <v>-0.20402849018866187</v>
      </c>
      <c r="R144" s="4"/>
      <c r="S144" s="3">
        <f t="shared" si="60"/>
        <v>3.2383150835465324</v>
      </c>
      <c r="T144" s="3">
        <f t="shared" si="61"/>
        <v>1.235210254963605</v>
      </c>
      <c r="U144" s="3">
        <f t="shared" si="62"/>
        <v>1.235210254963605</v>
      </c>
      <c r="V144" s="3">
        <f t="shared" si="63"/>
        <v>-8.1049990098280844E-2</v>
      </c>
      <c r="W144" s="4"/>
      <c r="X144" s="3">
        <f t="shared" si="64"/>
        <v>-0.80172469309345473</v>
      </c>
      <c r="Y144" s="14">
        <f t="shared" si="65"/>
        <v>-0.21705823700481286</v>
      </c>
      <c r="Z144" s="15">
        <f t="shared" si="66"/>
        <v>3.9056403162980091E-2</v>
      </c>
      <c r="AA144" s="15">
        <f t="shared" si="67"/>
        <v>-0.24372830845875612</v>
      </c>
      <c r="AB144" s="15">
        <f t="shared" si="68"/>
        <v>-0.20479943852274704</v>
      </c>
      <c r="AC144" s="15">
        <f t="shared" si="69"/>
        <v>-0.24369782604432988</v>
      </c>
      <c r="AH144" s="15">
        <f t="shared" si="70"/>
        <v>-0.25632022207448496</v>
      </c>
      <c r="AI144" s="15">
        <f t="shared" si="71"/>
        <v>-0.21870433200944478</v>
      </c>
      <c r="AJ144" s="18">
        <f t="shared" si="72"/>
        <v>1.2805507488107635</v>
      </c>
      <c r="AK144">
        <f t="shared" si="73"/>
        <v>1</v>
      </c>
      <c r="AL144">
        <f t="shared" si="74"/>
        <v>1</v>
      </c>
      <c r="AM144">
        <f t="shared" si="75"/>
        <v>0</v>
      </c>
      <c r="AN144">
        <f t="shared" si="76"/>
        <v>0</v>
      </c>
      <c r="AO144">
        <f t="shared" si="77"/>
        <v>0</v>
      </c>
    </row>
    <row r="145" spans="4:41" x14ac:dyDescent="0.25">
      <c r="D145" s="5">
        <v>41827</v>
      </c>
      <c r="E145" s="6">
        <v>41.47</v>
      </c>
      <c r="F145" s="6">
        <v>24.87</v>
      </c>
      <c r="G145" s="3">
        <f t="shared" si="55"/>
        <v>0.19335998062015272</v>
      </c>
      <c r="H145" s="3">
        <f t="shared" si="55"/>
        <v>4.3850181232383149E-2</v>
      </c>
      <c r="I145" s="3">
        <f t="shared" si="52"/>
        <v>0.16236617903383538</v>
      </c>
      <c r="J145" s="3">
        <f t="shared" si="53"/>
        <v>1.4169359517034699E-2</v>
      </c>
      <c r="K145" s="4"/>
      <c r="L145" s="3">
        <f t="shared" si="56"/>
        <v>3.0733635475466348</v>
      </c>
      <c r="M145" s="3">
        <f t="shared" si="57"/>
        <v>1.3015056429601597</v>
      </c>
      <c r="N145" s="3">
        <f t="shared" si="54"/>
        <v>1.3015056429601597</v>
      </c>
      <c r="O145" s="4"/>
      <c r="P145" s="3">
        <f t="shared" si="58"/>
        <v>0.16009594807818756</v>
      </c>
      <c r="Q145" s="3">
        <f t="shared" si="59"/>
        <v>1.4940307851119879E-2</v>
      </c>
      <c r="R145" s="4"/>
      <c r="S145" s="3">
        <f t="shared" si="60"/>
        <v>3.0458237983567957</v>
      </c>
      <c r="T145" s="3">
        <f t="shared" si="61"/>
        <v>1.313273605045038</v>
      </c>
      <c r="U145" s="3">
        <f t="shared" si="62"/>
        <v>1.313273605045038</v>
      </c>
      <c r="V145" s="3">
        <f t="shared" si="63"/>
        <v>-0.14233105833150184</v>
      </c>
      <c r="W145" s="4"/>
      <c r="X145" s="3">
        <f t="shared" si="64"/>
        <v>-0.81749602817422096</v>
      </c>
      <c r="Y145" s="14">
        <f t="shared" si="65"/>
        <v>1.0353775370966253E-2</v>
      </c>
      <c r="Z145" s="15">
        <f t="shared" si="66"/>
        <v>0.41665293062371539</v>
      </c>
      <c r="AA145" s="15">
        <f t="shared" si="67"/>
        <v>0.16236617903383538</v>
      </c>
      <c r="AB145" s="15">
        <f t="shared" si="68"/>
        <v>1.4169359517034699E-2</v>
      </c>
      <c r="AC145" s="15">
        <f t="shared" si="69"/>
        <v>3.8321382167290155E-3</v>
      </c>
      <c r="AH145" s="15">
        <f t="shared" si="70"/>
        <v>0.14977426541810654</v>
      </c>
      <c r="AI145" s="15">
        <f t="shared" si="71"/>
        <v>2.6446603033696003E-4</v>
      </c>
      <c r="AJ145" s="18">
        <f t="shared" si="72"/>
        <v>0.21063223024624131</v>
      </c>
      <c r="AK145">
        <f t="shared" si="73"/>
        <v>1</v>
      </c>
      <c r="AL145">
        <f t="shared" si="74"/>
        <v>1</v>
      </c>
      <c r="AM145">
        <f t="shared" si="75"/>
        <v>0</v>
      </c>
      <c r="AN145">
        <f t="shared" si="76"/>
        <v>0</v>
      </c>
      <c r="AO145">
        <f t="shared" si="77"/>
        <v>0</v>
      </c>
    </row>
    <row r="146" spans="4:41" x14ac:dyDescent="0.25">
      <c r="D146" s="5">
        <v>41823</v>
      </c>
      <c r="E146" s="6">
        <v>41.28</v>
      </c>
      <c r="F146" s="6">
        <v>24.83</v>
      </c>
      <c r="G146" s="3">
        <f t="shared" si="55"/>
        <v>-0.10152247462542434</v>
      </c>
      <c r="H146" s="3">
        <f t="shared" si="55"/>
        <v>0.17653830563436995</v>
      </c>
      <c r="I146" s="3">
        <f t="shared" si="52"/>
        <v>-0.1325162762117417</v>
      </c>
      <c r="J146" s="3">
        <f t="shared" si="53"/>
        <v>0.14685748391902151</v>
      </c>
      <c r="K146" s="4"/>
      <c r="L146" s="3">
        <f t="shared" si="56"/>
        <v>3.4010903310437506</v>
      </c>
      <c r="M146" s="3">
        <f t="shared" si="57"/>
        <v>1.1760934320060978</v>
      </c>
      <c r="N146" s="3">
        <f t="shared" si="54"/>
        <v>1.1760934320060978</v>
      </c>
      <c r="O146" s="4"/>
      <c r="P146" s="3">
        <f t="shared" si="58"/>
        <v>-0.13478650716738949</v>
      </c>
      <c r="Q146" s="3">
        <f t="shared" si="59"/>
        <v>0.14762843225310668</v>
      </c>
      <c r="R146" s="4"/>
      <c r="S146" s="3">
        <f t="shared" si="60"/>
        <v>3.2598634481346469</v>
      </c>
      <c r="T146" s="3">
        <f t="shared" si="61"/>
        <v>1.2270452623679291</v>
      </c>
      <c r="U146" s="3">
        <f t="shared" si="62"/>
        <v>1.2270452623679291</v>
      </c>
      <c r="V146" s="3">
        <f t="shared" si="63"/>
        <v>-7.4417892823586129E-2</v>
      </c>
      <c r="W146" s="4"/>
      <c r="X146" s="3">
        <f t="shared" si="64"/>
        <v>-0.80131881605818078</v>
      </c>
      <c r="Y146" s="14">
        <f t="shared" si="65"/>
        <v>-0.24194953823784993</v>
      </c>
      <c r="Z146" s="15">
        <f t="shared" si="66"/>
        <v>1.1358987129367226E-2</v>
      </c>
      <c r="AA146" s="15">
        <f t="shared" si="67"/>
        <v>-0.1325162762117417</v>
      </c>
      <c r="AB146" s="15">
        <f t="shared" si="68"/>
        <v>0.14685748391902151</v>
      </c>
      <c r="AC146" s="15">
        <f t="shared" si="69"/>
        <v>-0.26216962971084107</v>
      </c>
      <c r="AH146" s="15">
        <f t="shared" si="70"/>
        <v>-0.14510818982747054</v>
      </c>
      <c r="AI146" s="15">
        <f t="shared" si="71"/>
        <v>0.13295259043232377</v>
      </c>
      <c r="AJ146" s="18">
        <f t="shared" si="72"/>
        <v>1.0652875894209899</v>
      </c>
      <c r="AK146">
        <f t="shared" si="73"/>
        <v>1</v>
      </c>
      <c r="AL146">
        <f t="shared" si="74"/>
        <v>1</v>
      </c>
      <c r="AM146">
        <f t="shared" si="75"/>
        <v>0</v>
      </c>
      <c r="AN146">
        <f t="shared" si="76"/>
        <v>0</v>
      </c>
      <c r="AO146">
        <f t="shared" si="77"/>
        <v>0</v>
      </c>
    </row>
    <row r="147" spans="4:41" x14ac:dyDescent="0.25">
      <c r="D147" s="5">
        <v>41822</v>
      </c>
      <c r="E147" s="6">
        <v>41.38</v>
      </c>
      <c r="F147" s="6">
        <v>24.67</v>
      </c>
      <c r="G147" s="3">
        <f t="shared" si="55"/>
        <v>3.047883917775206E-2</v>
      </c>
      <c r="H147" s="3">
        <f t="shared" si="55"/>
        <v>0.15535262943334754</v>
      </c>
      <c r="I147" s="3">
        <f t="shared" si="52"/>
        <v>-5.1496240856528999E-4</v>
      </c>
      <c r="J147" s="3">
        <f t="shared" si="53"/>
        <v>0.1256718077179991</v>
      </c>
      <c r="K147" s="4"/>
      <c r="L147" s="3">
        <f t="shared" si="56"/>
        <v>3.1748179728280244</v>
      </c>
      <c r="M147" s="3">
        <f t="shared" si="57"/>
        <v>1.2599147523525358</v>
      </c>
      <c r="N147" s="3">
        <f t="shared" si="54"/>
        <v>1.2599147523525358</v>
      </c>
      <c r="O147" s="4"/>
      <c r="P147" s="3">
        <f t="shared" si="58"/>
        <v>-2.7851933642131059E-3</v>
      </c>
      <c r="Q147" s="3">
        <f t="shared" si="59"/>
        <v>0.12644275605208427</v>
      </c>
      <c r="R147" s="4"/>
      <c r="S147" s="3">
        <f t="shared" si="60"/>
        <v>3.1129953223546436</v>
      </c>
      <c r="T147" s="3">
        <f t="shared" si="61"/>
        <v>1.2849360778911911</v>
      </c>
      <c r="U147" s="3">
        <f t="shared" si="62"/>
        <v>1.2849360778911911</v>
      </c>
      <c r="V147" s="3">
        <f t="shared" si="63"/>
        <v>-0.12051736208329444</v>
      </c>
      <c r="W147" s="4"/>
      <c r="X147" s="3">
        <f t="shared" si="64"/>
        <v>-0.80935689353565921</v>
      </c>
      <c r="Y147" s="14">
        <f t="shared" si="65"/>
        <v>-7.0058564473046897E-2</v>
      </c>
      <c r="Z147" s="15">
        <f t="shared" si="66"/>
        <v>0.28674205315409518</v>
      </c>
      <c r="AA147" s="15">
        <f t="shared" si="67"/>
        <v>-5.1496240856528999E-4</v>
      </c>
      <c r="AB147" s="15">
        <f t="shared" si="68"/>
        <v>0.1256718077179991</v>
      </c>
      <c r="AC147" s="15">
        <f t="shared" si="69"/>
        <v>-8.0420240331117221E-2</v>
      </c>
      <c r="AH147" s="15">
        <f t="shared" si="70"/>
        <v>-1.3106876024294129E-2</v>
      </c>
      <c r="AI147" s="15">
        <f t="shared" si="71"/>
        <v>0.11176691423130136</v>
      </c>
      <c r="AJ147" s="18">
        <f t="shared" si="72"/>
        <v>0.42501313891332421</v>
      </c>
      <c r="AK147">
        <f t="shared" si="73"/>
        <v>1</v>
      </c>
      <c r="AL147">
        <f t="shared" si="74"/>
        <v>1</v>
      </c>
      <c r="AM147">
        <f t="shared" si="75"/>
        <v>0</v>
      </c>
      <c r="AN147">
        <f t="shared" si="76"/>
        <v>0</v>
      </c>
      <c r="AO147">
        <f t="shared" si="77"/>
        <v>0</v>
      </c>
    </row>
    <row r="148" spans="4:41" x14ac:dyDescent="0.25">
      <c r="D148" s="5">
        <v>41821</v>
      </c>
      <c r="E148" s="6">
        <v>41.35</v>
      </c>
      <c r="F148" s="6">
        <v>24.53</v>
      </c>
      <c r="G148" s="3">
        <f t="shared" si="55"/>
        <v>0.17342642059252236</v>
      </c>
      <c r="H148" s="3">
        <f t="shared" si="55"/>
        <v>0.24633484162896199</v>
      </c>
      <c r="I148" s="3">
        <f t="shared" si="52"/>
        <v>0.14243261900620502</v>
      </c>
      <c r="J148" s="3">
        <f t="shared" si="53"/>
        <v>0.21665401991361355</v>
      </c>
      <c r="K148" s="4"/>
      <c r="L148" s="3">
        <f t="shared" si="56"/>
        <v>3.4132806361735821</v>
      </c>
      <c r="M148" s="3">
        <f t="shared" si="57"/>
        <v>1.1718930924133308</v>
      </c>
      <c r="N148" s="3">
        <f t="shared" si="54"/>
        <v>1.1718930924133308</v>
      </c>
      <c r="O148" s="4"/>
      <c r="P148" s="3">
        <f t="shared" si="58"/>
        <v>0.1401623880505572</v>
      </c>
      <c r="Q148" s="3">
        <f t="shared" si="59"/>
        <v>0.21742496824769872</v>
      </c>
      <c r="R148" s="4"/>
      <c r="S148" s="3">
        <f t="shared" si="60"/>
        <v>3.2632865461284082</v>
      </c>
      <c r="T148" s="3">
        <f t="shared" si="61"/>
        <v>1.2257581255760808</v>
      </c>
      <c r="U148" s="3">
        <f t="shared" si="62"/>
        <v>1.2257581255760808</v>
      </c>
      <c r="V148" s="3">
        <f t="shared" si="63"/>
        <v>-7.3368377476734636E-2</v>
      </c>
      <c r="W148" s="4"/>
      <c r="X148" s="3">
        <f t="shared" si="64"/>
        <v>-0.80127734130120998</v>
      </c>
      <c r="Y148" s="14">
        <f t="shared" si="65"/>
        <v>-0.24589350368679075</v>
      </c>
      <c r="Z148" s="15">
        <f t="shared" si="66"/>
        <v>-2.9523184245238143E-3</v>
      </c>
      <c r="AA148" s="15">
        <f t="shared" si="67"/>
        <v>0.14243261900620502</v>
      </c>
      <c r="AB148" s="15">
        <f t="shared" si="68"/>
        <v>0.21665401991361355</v>
      </c>
      <c r="AC148" s="15">
        <f t="shared" si="69"/>
        <v>-0.27173072514266128</v>
      </c>
      <c r="AH148" s="15">
        <f t="shared" si="70"/>
        <v>0.12984070539047618</v>
      </c>
      <c r="AI148" s="15">
        <f t="shared" si="71"/>
        <v>0.20274912642691581</v>
      </c>
      <c r="AJ148" s="18">
        <f t="shared" si="72"/>
        <v>1.0675121172261393</v>
      </c>
      <c r="AK148">
        <f t="shared" si="73"/>
        <v>1</v>
      </c>
      <c r="AL148">
        <f t="shared" si="74"/>
        <v>1</v>
      </c>
      <c r="AM148">
        <f t="shared" si="75"/>
        <v>0</v>
      </c>
      <c r="AN148">
        <f t="shared" si="76"/>
        <v>0</v>
      </c>
      <c r="AO148">
        <f t="shared" si="77"/>
        <v>0</v>
      </c>
    </row>
    <row r="149" spans="4:41" x14ac:dyDescent="0.25">
      <c r="D149" s="5">
        <v>41820</v>
      </c>
      <c r="E149" s="6">
        <v>41.18</v>
      </c>
      <c r="F149" s="6">
        <v>24.31</v>
      </c>
      <c r="G149" s="3">
        <f t="shared" si="55"/>
        <v>-0.54375359539788981</v>
      </c>
      <c r="H149" s="3">
        <f t="shared" si="55"/>
        <v>0.16899834437085934</v>
      </c>
      <c r="I149" s="3">
        <f t="shared" si="52"/>
        <v>-0.57474739698420718</v>
      </c>
      <c r="J149" s="3">
        <f t="shared" si="53"/>
        <v>0.13931752265551089</v>
      </c>
      <c r="K149" s="4"/>
      <c r="L149" s="3">
        <f t="shared" si="56"/>
        <v>4.7048082666220647</v>
      </c>
      <c r="M149" s="3">
        <f t="shared" si="57"/>
        <v>0.85019405113226865</v>
      </c>
      <c r="N149" s="3">
        <f t="shared" si="54"/>
        <v>0.85019405113226865</v>
      </c>
      <c r="O149" s="4"/>
      <c r="P149" s="3">
        <f t="shared" si="58"/>
        <v>-0.577017627939855</v>
      </c>
      <c r="Q149" s="3">
        <f t="shared" si="59"/>
        <v>0.14008847098959606</v>
      </c>
      <c r="R149" s="4"/>
      <c r="S149" s="3">
        <f t="shared" si="60"/>
        <v>4.1068940930569173</v>
      </c>
      <c r="T149" s="3">
        <f t="shared" si="61"/>
        <v>0.973972035646687</v>
      </c>
      <c r="U149" s="3">
        <f t="shared" si="62"/>
        <v>0.973972035646687</v>
      </c>
      <c r="V149" s="3">
        <f t="shared" si="63"/>
        <v>0.15656479616765751</v>
      </c>
      <c r="W149" s="4"/>
      <c r="X149" s="3">
        <f t="shared" si="64"/>
        <v>-0.93087733412977958</v>
      </c>
      <c r="Y149" s="14">
        <f t="shared" si="65"/>
        <v>-1.1417616191517344</v>
      </c>
      <c r="Z149" s="15">
        <f t="shared" si="66"/>
        <v>-1.2865968345058199</v>
      </c>
      <c r="AA149" s="15">
        <f t="shared" si="67"/>
        <v>-0.57474739698420718</v>
      </c>
      <c r="AB149" s="15">
        <f t="shared" si="68"/>
        <v>0.13931752265551089</v>
      </c>
      <c r="AC149" s="15">
        <f t="shared" si="69"/>
        <v>-1.1737025065135387</v>
      </c>
      <c r="AH149" s="15">
        <f t="shared" si="70"/>
        <v>-0.58733931059993605</v>
      </c>
      <c r="AI149" s="15">
        <f t="shared" si="71"/>
        <v>0.12541262916881316</v>
      </c>
      <c r="AJ149" s="18">
        <f t="shared" si="72"/>
        <v>4.8988714763379626</v>
      </c>
      <c r="AK149">
        <f t="shared" si="73"/>
        <v>1</v>
      </c>
      <c r="AL149">
        <f t="shared" si="74"/>
        <v>0.40825729143134276</v>
      </c>
      <c r="AM149">
        <f t="shared" si="75"/>
        <v>1</v>
      </c>
      <c r="AN149">
        <f t="shared" si="76"/>
        <v>-0.58733931059993605</v>
      </c>
      <c r="AO149">
        <f t="shared" si="77"/>
        <v>0.12541262916881316</v>
      </c>
    </row>
    <row r="150" spans="4:41" x14ac:dyDescent="0.25">
      <c r="D150" s="5">
        <v>41817</v>
      </c>
      <c r="E150" s="6">
        <v>41.72</v>
      </c>
      <c r="F150" s="6">
        <v>24.16</v>
      </c>
      <c r="G150" s="3">
        <f t="shared" si="55"/>
        <v>0.53022330097086967</v>
      </c>
      <c r="H150" s="3">
        <f t="shared" si="55"/>
        <v>5.6449605972626271E-2</v>
      </c>
      <c r="I150" s="3">
        <f t="shared" si="52"/>
        <v>0.4992294993845523</v>
      </c>
      <c r="J150" s="3">
        <f t="shared" si="53"/>
        <v>2.6768784257277821E-2</v>
      </c>
      <c r="K150" s="4"/>
      <c r="L150" s="3">
        <f t="shared" si="56"/>
        <v>3.7266387509477799</v>
      </c>
      <c r="M150" s="3">
        <f t="shared" si="57"/>
        <v>1.0733532996678836</v>
      </c>
      <c r="N150" s="3">
        <f t="shared" si="54"/>
        <v>1.0733532996678836</v>
      </c>
      <c r="O150" s="4"/>
      <c r="P150" s="3">
        <f t="shared" si="58"/>
        <v>0.49695926842890448</v>
      </c>
      <c r="Q150" s="3">
        <f t="shared" si="59"/>
        <v>2.7539732591363001E-2</v>
      </c>
      <c r="R150" s="4"/>
      <c r="S150" s="3">
        <f t="shared" si="60"/>
        <v>3.464832297863587</v>
      </c>
      <c r="T150" s="3">
        <f t="shared" si="61"/>
        <v>1.154457028834093</v>
      </c>
      <c r="U150" s="3">
        <f t="shared" si="62"/>
        <v>1.154457028834093</v>
      </c>
      <c r="V150" s="3">
        <f t="shared" si="63"/>
        <v>-1.3439235536649718E-2</v>
      </c>
      <c r="W150" s="4"/>
      <c r="X150" s="3">
        <f t="shared" si="64"/>
        <v>-0.80899448633945492</v>
      </c>
      <c r="Y150" s="14">
        <f t="shared" si="65"/>
        <v>-0.47333579110827162</v>
      </c>
      <c r="Z150" s="15">
        <f t="shared" si="66"/>
        <v>-0.35428350253092522</v>
      </c>
      <c r="AA150" s="15">
        <f t="shared" si="67"/>
        <v>0.4992294993845523</v>
      </c>
      <c r="AB150" s="15">
        <f t="shared" si="68"/>
        <v>2.6768784257277821E-2</v>
      </c>
      <c r="AC150" s="15">
        <f t="shared" si="69"/>
        <v>-0.50997228232448821</v>
      </c>
      <c r="AH150" s="15">
        <f t="shared" si="70"/>
        <v>0.48663758576882349</v>
      </c>
      <c r="AI150" s="15">
        <f t="shared" si="71"/>
        <v>1.2863890770580082E-2</v>
      </c>
      <c r="AJ150" s="18">
        <f t="shared" si="72"/>
        <v>2.1380287472056332</v>
      </c>
      <c r="AK150">
        <f t="shared" si="73"/>
        <v>1</v>
      </c>
      <c r="AL150">
        <f t="shared" si="74"/>
        <v>0.93544111725062895</v>
      </c>
      <c r="AM150">
        <f t="shared" si="75"/>
        <v>0</v>
      </c>
      <c r="AN150">
        <f t="shared" si="76"/>
        <v>0</v>
      </c>
      <c r="AO150">
        <f t="shared" si="77"/>
        <v>0</v>
      </c>
    </row>
    <row r="151" spans="4:41" x14ac:dyDescent="0.25">
      <c r="D151" s="5">
        <v>41816</v>
      </c>
      <c r="E151" s="6">
        <v>41.2</v>
      </c>
      <c r="F151" s="6">
        <v>24.11</v>
      </c>
      <c r="G151" s="3">
        <f t="shared" si="55"/>
        <v>-0.31373403999035887</v>
      </c>
      <c r="H151" s="3">
        <f t="shared" si="55"/>
        <v>-7.8800661703887831E-2</v>
      </c>
      <c r="I151" s="3">
        <f t="shared" si="52"/>
        <v>-0.34472784157667624</v>
      </c>
      <c r="J151" s="3">
        <f t="shared" si="53"/>
        <v>-0.10848148341923627</v>
      </c>
      <c r="K151" s="4"/>
      <c r="L151" s="3">
        <f t="shared" si="56"/>
        <v>3.3020700447515461</v>
      </c>
      <c r="M151" s="3">
        <f t="shared" si="57"/>
        <v>1.2113613417612912</v>
      </c>
      <c r="N151" s="3">
        <f t="shared" si="54"/>
        <v>1.2113613417612912</v>
      </c>
      <c r="O151" s="4"/>
      <c r="P151" s="3">
        <f t="shared" si="58"/>
        <v>-0.34699807253232406</v>
      </c>
      <c r="Q151" s="3">
        <f t="shared" si="59"/>
        <v>-0.1077105350851511</v>
      </c>
      <c r="R151" s="4"/>
      <c r="S151" s="3">
        <f t="shared" si="60"/>
        <v>3.1968202921812447</v>
      </c>
      <c r="T151" s="3">
        <f t="shared" si="61"/>
        <v>1.2512433087912902</v>
      </c>
      <c r="U151" s="3">
        <f t="shared" si="62"/>
        <v>1.2512433087912902</v>
      </c>
      <c r="V151" s="3">
        <f t="shared" si="63"/>
        <v>-9.3946378746379011E-2</v>
      </c>
      <c r="W151" s="4"/>
      <c r="X151" s="3">
        <f t="shared" si="64"/>
        <v>-0.80322965896105547</v>
      </c>
      <c r="Y151" s="14">
        <f t="shared" si="65"/>
        <v>-0.16881168153184045</v>
      </c>
      <c r="Z151" s="15">
        <f t="shared" si="66"/>
        <v>0.12954501799178991</v>
      </c>
      <c r="AA151" s="15">
        <f t="shared" si="67"/>
        <v>-0.34472784157667624</v>
      </c>
      <c r="AB151" s="15">
        <f t="shared" si="68"/>
        <v>-0.10848148341923627</v>
      </c>
      <c r="AC151" s="15">
        <f t="shared" si="69"/>
        <v>-0.1836474869366905</v>
      </c>
      <c r="AH151" s="15">
        <f t="shared" si="70"/>
        <v>-0.35731975519240505</v>
      </c>
      <c r="AI151" s="15">
        <f t="shared" si="71"/>
        <v>-0.12238637690593401</v>
      </c>
      <c r="AJ151" s="18">
        <f t="shared" si="72"/>
        <v>1.0023834079370137</v>
      </c>
      <c r="AK151">
        <f t="shared" si="73"/>
        <v>1</v>
      </c>
      <c r="AL151">
        <f t="shared" si="74"/>
        <v>1</v>
      </c>
      <c r="AM151">
        <f t="shared" si="75"/>
        <v>0</v>
      </c>
      <c r="AN151">
        <f t="shared" si="76"/>
        <v>0</v>
      </c>
      <c r="AO151">
        <f t="shared" si="77"/>
        <v>0</v>
      </c>
    </row>
    <row r="152" spans="4:41" x14ac:dyDescent="0.25">
      <c r="D152" s="5">
        <v>41815</v>
      </c>
      <c r="E152" s="6">
        <v>41.51</v>
      </c>
      <c r="F152" s="6">
        <v>24.18</v>
      </c>
      <c r="G152" s="3">
        <f t="shared" si="55"/>
        <v>0.28529711375212341</v>
      </c>
      <c r="H152" s="3">
        <f t="shared" si="55"/>
        <v>0.20414999999999967</v>
      </c>
      <c r="I152" s="3">
        <f t="shared" si="52"/>
        <v>0.25430331216580604</v>
      </c>
      <c r="J152" s="3">
        <f t="shared" si="53"/>
        <v>0.17446917828465122</v>
      </c>
      <c r="K152" s="4"/>
      <c r="L152" s="3">
        <f t="shared" si="56"/>
        <v>3.2978004120354281</v>
      </c>
      <c r="M152" s="3">
        <f t="shared" si="57"/>
        <v>1.2129296804627328</v>
      </c>
      <c r="N152" s="3">
        <f t="shared" si="54"/>
        <v>1.2129296804627328</v>
      </c>
      <c r="O152" s="4"/>
      <c r="P152" s="3">
        <f t="shared" si="58"/>
        <v>0.25203308121015822</v>
      </c>
      <c r="Q152" s="3">
        <f t="shared" si="59"/>
        <v>0.17524012661873639</v>
      </c>
      <c r="R152" s="4"/>
      <c r="S152" s="3">
        <f t="shared" si="60"/>
        <v>3.1894370035506685</v>
      </c>
      <c r="T152" s="3">
        <f t="shared" si="61"/>
        <v>1.2541398358227378</v>
      </c>
      <c r="U152" s="3">
        <f t="shared" si="62"/>
        <v>1.2541398358227378</v>
      </c>
      <c r="V152" s="3">
        <f t="shared" si="63"/>
        <v>-9.6258600557064256E-2</v>
      </c>
      <c r="W152" s="4"/>
      <c r="X152" s="3">
        <f t="shared" si="64"/>
        <v>-0.80360015466970713</v>
      </c>
      <c r="Y152" s="14">
        <f t="shared" si="65"/>
        <v>-0.16018323298950182</v>
      </c>
      <c r="Z152" s="15">
        <f t="shared" si="66"/>
        <v>0.13472043267873907</v>
      </c>
      <c r="AA152" s="15">
        <f t="shared" si="67"/>
        <v>0.25430331216580604</v>
      </c>
      <c r="AB152" s="15">
        <f t="shared" si="68"/>
        <v>0.17446917828465122</v>
      </c>
      <c r="AC152" s="15">
        <f t="shared" si="69"/>
        <v>-0.1802267958381544</v>
      </c>
      <c r="AH152" s="15">
        <f t="shared" si="70"/>
        <v>0.24171139855007723</v>
      </c>
      <c r="AI152" s="15">
        <f t="shared" si="71"/>
        <v>0.16056428479795348</v>
      </c>
      <c r="AJ152" s="18">
        <f t="shared" si="72"/>
        <v>0.77320578937591933</v>
      </c>
      <c r="AK152">
        <f t="shared" si="73"/>
        <v>1</v>
      </c>
      <c r="AL152">
        <f t="shared" si="74"/>
        <v>1</v>
      </c>
      <c r="AM152">
        <f t="shared" si="75"/>
        <v>0</v>
      </c>
      <c r="AN152">
        <f t="shared" si="76"/>
        <v>0</v>
      </c>
      <c r="AO152">
        <f t="shared" si="77"/>
        <v>0</v>
      </c>
    </row>
    <row r="153" spans="4:41" x14ac:dyDescent="0.25">
      <c r="D153" s="5">
        <v>41814</v>
      </c>
      <c r="E153" s="6">
        <v>41.23</v>
      </c>
      <c r="F153" s="6">
        <v>24</v>
      </c>
      <c r="G153" s="3">
        <f t="shared" si="55"/>
        <v>-0.24312515071135959</v>
      </c>
      <c r="H153" s="3">
        <f t="shared" si="55"/>
        <v>-0.18026490066225181</v>
      </c>
      <c r="I153" s="3">
        <f t="shared" si="52"/>
        <v>-0.27411895229767697</v>
      </c>
      <c r="J153" s="3">
        <f t="shared" si="53"/>
        <v>-0.20994572237760026</v>
      </c>
      <c r="K153" s="4"/>
      <c r="L153" s="3">
        <f t="shared" si="56"/>
        <v>3.4092350137603034</v>
      </c>
      <c r="M153" s="3">
        <f t="shared" si="57"/>
        <v>1.1732837378048917</v>
      </c>
      <c r="N153" s="3">
        <f t="shared" si="54"/>
        <v>1.1732837378048917</v>
      </c>
      <c r="O153" s="4"/>
      <c r="P153" s="3">
        <f t="shared" si="58"/>
        <v>-0.27638918325332473</v>
      </c>
      <c r="Q153" s="3">
        <f t="shared" si="59"/>
        <v>-0.20917477404351509</v>
      </c>
      <c r="R153" s="4"/>
      <c r="S153" s="3">
        <f t="shared" si="60"/>
        <v>3.2589301659602272</v>
      </c>
      <c r="T153" s="3">
        <f t="shared" si="61"/>
        <v>1.2273966597321733</v>
      </c>
      <c r="U153" s="3">
        <f t="shared" si="62"/>
        <v>1.2273966597321733</v>
      </c>
      <c r="V153" s="3">
        <f t="shared" si="63"/>
        <v>-7.4704226546984387E-2</v>
      </c>
      <c r="W153" s="4"/>
      <c r="X153" s="3">
        <f t="shared" si="64"/>
        <v>-0.80133120869040453</v>
      </c>
      <c r="Y153" s="14">
        <f t="shared" si="65"/>
        <v>-0.24087376261487348</v>
      </c>
      <c r="Z153" s="15">
        <f t="shared" si="66"/>
        <v>1.7915304371503016E-3</v>
      </c>
      <c r="AA153" s="15">
        <f t="shared" si="67"/>
        <v>-0.27411895229767697</v>
      </c>
      <c r="AB153" s="15">
        <f t="shared" si="68"/>
        <v>-0.20994572237760026</v>
      </c>
      <c r="AC153" s="15">
        <f t="shared" si="69"/>
        <v>-0.26856019715082319</v>
      </c>
      <c r="AH153" s="15">
        <f t="shared" si="70"/>
        <v>-0.28671086591340578</v>
      </c>
      <c r="AI153" s="15">
        <f t="shared" si="71"/>
        <v>-0.223850615864298</v>
      </c>
      <c r="AJ153" s="18">
        <f t="shared" si="72"/>
        <v>1.3826471712163522</v>
      </c>
      <c r="AK153">
        <f t="shared" si="73"/>
        <v>1</v>
      </c>
      <c r="AL153">
        <f t="shared" si="74"/>
        <v>1</v>
      </c>
      <c r="AM153">
        <f t="shared" si="75"/>
        <v>0</v>
      </c>
      <c r="AN153">
        <f t="shared" si="76"/>
        <v>0</v>
      </c>
      <c r="AO153">
        <f t="shared" si="77"/>
        <v>0</v>
      </c>
    </row>
    <row r="154" spans="4:41" x14ac:dyDescent="0.25">
      <c r="D154" s="5">
        <v>41813</v>
      </c>
      <c r="E154" s="6">
        <v>41.47</v>
      </c>
      <c r="F154" s="6">
        <v>24.16</v>
      </c>
      <c r="G154" s="3">
        <f t="shared" si="55"/>
        <v>0.31640184645286917</v>
      </c>
      <c r="H154" s="3">
        <f t="shared" si="55"/>
        <v>-0.14568135034993712</v>
      </c>
      <c r="I154" s="3">
        <f t="shared" si="52"/>
        <v>0.2854080448665518</v>
      </c>
      <c r="J154" s="3">
        <f t="shared" si="53"/>
        <v>-0.17536217206528557</v>
      </c>
      <c r="K154" s="4"/>
      <c r="L154" s="3">
        <f t="shared" si="56"/>
        <v>3.8738883676350016</v>
      </c>
      <c r="M154" s="3">
        <f t="shared" si="57"/>
        <v>1.0325542763231428</v>
      </c>
      <c r="N154" s="3">
        <f t="shared" si="54"/>
        <v>1.0325542763231428</v>
      </c>
      <c r="O154" s="4"/>
      <c r="P154" s="3">
        <f t="shared" si="58"/>
        <v>0.28313781391090398</v>
      </c>
      <c r="Q154" s="3">
        <f t="shared" si="59"/>
        <v>-0.1745912237312004</v>
      </c>
      <c r="R154" s="4"/>
      <c r="S154" s="3">
        <f t="shared" si="60"/>
        <v>3.5522485203329186</v>
      </c>
      <c r="T154" s="3">
        <f t="shared" si="61"/>
        <v>1.1260473407488725</v>
      </c>
      <c r="U154" s="3">
        <f t="shared" si="62"/>
        <v>1.1260473407488725</v>
      </c>
      <c r="V154" s="3">
        <f t="shared" si="63"/>
        <v>1.1477318426766914E-2</v>
      </c>
      <c r="W154" s="4"/>
      <c r="X154" s="3">
        <f t="shared" si="64"/>
        <v>-0.81787303178785153</v>
      </c>
      <c r="Y154" s="14">
        <f t="shared" si="65"/>
        <v>-0.56917846404101702</v>
      </c>
      <c r="Z154" s="15">
        <f t="shared" si="66"/>
        <v>-0.50929174473643068</v>
      </c>
      <c r="AA154" s="15">
        <f t="shared" si="67"/>
        <v>0.2854080448665518</v>
      </c>
      <c r="AB154" s="15">
        <f t="shared" si="68"/>
        <v>-0.17536217206528557</v>
      </c>
      <c r="AC154" s="15">
        <f t="shared" si="69"/>
        <v>-0.61720498133143853</v>
      </c>
      <c r="AH154" s="15">
        <f t="shared" si="70"/>
        <v>0.27281613125082299</v>
      </c>
      <c r="AI154" s="15">
        <f t="shared" si="71"/>
        <v>-0.1892670655519833</v>
      </c>
      <c r="AJ154" s="18">
        <f t="shared" si="72"/>
        <v>2.6529591211424606</v>
      </c>
      <c r="AK154">
        <f t="shared" si="73"/>
        <v>1</v>
      </c>
      <c r="AL154">
        <f t="shared" si="74"/>
        <v>0.75387516681324784</v>
      </c>
      <c r="AM154">
        <f t="shared" si="75"/>
        <v>0</v>
      </c>
      <c r="AN154">
        <f t="shared" si="76"/>
        <v>0</v>
      </c>
      <c r="AO154">
        <f t="shared" si="77"/>
        <v>0</v>
      </c>
    </row>
    <row r="155" spans="4:41" x14ac:dyDescent="0.25">
      <c r="D155" s="5">
        <v>41810</v>
      </c>
      <c r="E155" s="6">
        <v>41.16</v>
      </c>
      <c r="F155" s="6">
        <v>24.29</v>
      </c>
      <c r="G155" s="3">
        <f t="shared" si="55"/>
        <v>0.17423030007318305</v>
      </c>
      <c r="H155" s="3">
        <f t="shared" si="55"/>
        <v>0.13514273893255813</v>
      </c>
      <c r="I155" s="3">
        <f t="shared" si="52"/>
        <v>0.1432364984868657</v>
      </c>
      <c r="J155" s="3">
        <f t="shared" si="53"/>
        <v>0.10546191721720968</v>
      </c>
      <c r="K155" s="4"/>
      <c r="L155" s="3">
        <f t="shared" si="56"/>
        <v>3.1049977186052145</v>
      </c>
      <c r="M155" s="3">
        <f t="shared" si="57"/>
        <v>1.2882457130425289</v>
      </c>
      <c r="N155" s="3">
        <f t="shared" si="54"/>
        <v>1.2882457130425289</v>
      </c>
      <c r="O155" s="4"/>
      <c r="P155" s="3">
        <f t="shared" si="58"/>
        <v>0.14096626753121788</v>
      </c>
      <c r="Q155" s="3">
        <f t="shared" si="59"/>
        <v>0.10623286555129485</v>
      </c>
      <c r="R155" s="4"/>
      <c r="S155" s="3">
        <f t="shared" si="60"/>
        <v>3.0669071698226942</v>
      </c>
      <c r="T155" s="3">
        <f t="shared" si="61"/>
        <v>1.3042455407058344</v>
      </c>
      <c r="U155" s="3">
        <f t="shared" si="62"/>
        <v>1.3042455407058344</v>
      </c>
      <c r="V155" s="3">
        <f t="shared" si="63"/>
        <v>-0.13543294278606233</v>
      </c>
      <c r="W155" s="4"/>
      <c r="X155" s="3">
        <f t="shared" si="64"/>
        <v>-0.81461492090719601</v>
      </c>
      <c r="Y155" s="14">
        <f t="shared" si="65"/>
        <v>-1.5010287449919238E-2</v>
      </c>
      <c r="Z155" s="15">
        <f t="shared" si="66"/>
        <v>0.37569132784189874</v>
      </c>
      <c r="AA155" s="15">
        <f t="shared" si="67"/>
        <v>0.1432364984868657</v>
      </c>
      <c r="AB155" s="15">
        <f t="shared" si="68"/>
        <v>0.10546191721720968</v>
      </c>
      <c r="AC155" s="15">
        <f t="shared" si="69"/>
        <v>-2.2629221726653104E-2</v>
      </c>
      <c r="AH155" s="15">
        <f t="shared" si="70"/>
        <v>0.13064458487113687</v>
      </c>
      <c r="AI155" s="15">
        <f t="shared" si="71"/>
        <v>9.1557023730511944E-2</v>
      </c>
      <c r="AJ155" s="18">
        <f t="shared" si="72"/>
        <v>0.24347820087946193</v>
      </c>
      <c r="AK155">
        <f t="shared" si="73"/>
        <v>1</v>
      </c>
      <c r="AL155">
        <f t="shared" si="74"/>
        <v>1</v>
      </c>
      <c r="AM155">
        <f t="shared" si="75"/>
        <v>0</v>
      </c>
      <c r="AN155">
        <f t="shared" si="76"/>
        <v>0</v>
      </c>
      <c r="AO155">
        <f t="shared" si="77"/>
        <v>0</v>
      </c>
    </row>
    <row r="156" spans="4:41" x14ac:dyDescent="0.25">
      <c r="D156" s="5">
        <v>41809</v>
      </c>
      <c r="E156" s="6">
        <v>40.99</v>
      </c>
      <c r="F156" s="6">
        <v>24.17</v>
      </c>
      <c r="G156" s="3">
        <f t="shared" si="55"/>
        <v>-0.1429953805008515</v>
      </c>
      <c r="H156" s="3">
        <f t="shared" si="55"/>
        <v>9.0394354503945631E-2</v>
      </c>
      <c r="I156" s="3">
        <f t="shared" si="52"/>
        <v>-0.17398918208716885</v>
      </c>
      <c r="J156" s="3">
        <f t="shared" si="53"/>
        <v>6.0713532788597181E-2</v>
      </c>
      <c r="K156" s="4"/>
      <c r="L156" s="3">
        <f t="shared" si="56"/>
        <v>3.1950408419180403</v>
      </c>
      <c r="M156" s="3">
        <f t="shared" si="57"/>
        <v>1.2519401778910371</v>
      </c>
      <c r="N156" s="3">
        <f t="shared" si="54"/>
        <v>1.2519401778910371</v>
      </c>
      <c r="O156" s="4"/>
      <c r="P156" s="3">
        <f t="shared" si="58"/>
        <v>-0.17625941304281667</v>
      </c>
      <c r="Q156" s="3">
        <f t="shared" si="59"/>
        <v>6.1484481122682358E-2</v>
      </c>
      <c r="R156" s="4"/>
      <c r="S156" s="3">
        <f t="shared" si="60"/>
        <v>3.1285282583426799</v>
      </c>
      <c r="T156" s="3">
        <f t="shared" si="61"/>
        <v>1.2785564552065056</v>
      </c>
      <c r="U156" s="3">
        <f t="shared" si="62"/>
        <v>1.2785564552065056</v>
      </c>
      <c r="V156" s="3">
        <f t="shared" si="63"/>
        <v>-0.11554012070313924</v>
      </c>
      <c r="W156" s="4"/>
      <c r="X156" s="3">
        <f t="shared" si="64"/>
        <v>-0.80789538893037616</v>
      </c>
      <c r="Y156" s="14">
        <f t="shared" si="65"/>
        <v>-8.8489859006586902E-2</v>
      </c>
      <c r="Z156" s="15">
        <f t="shared" si="66"/>
        <v>0.26134376710475665</v>
      </c>
      <c r="AA156" s="15">
        <f t="shared" si="67"/>
        <v>-0.17398918208716885</v>
      </c>
      <c r="AB156" s="15">
        <f t="shared" si="68"/>
        <v>6.0713532788597181E-2</v>
      </c>
      <c r="AC156" s="15">
        <f t="shared" si="69"/>
        <v>-9.700417511318285E-2</v>
      </c>
      <c r="AH156" s="15">
        <f t="shared" si="70"/>
        <v>-0.18658109570289769</v>
      </c>
      <c r="AI156" s="15">
        <f t="shared" si="71"/>
        <v>4.6808639301899442E-2</v>
      </c>
      <c r="AJ156" s="18">
        <f t="shared" si="72"/>
        <v>0.5339622549295191</v>
      </c>
      <c r="AK156">
        <f t="shared" si="73"/>
        <v>1</v>
      </c>
      <c r="AL156">
        <f t="shared" si="74"/>
        <v>1</v>
      </c>
      <c r="AM156">
        <f t="shared" si="75"/>
        <v>0</v>
      </c>
      <c r="AN156">
        <f t="shared" si="76"/>
        <v>0</v>
      </c>
      <c r="AO156">
        <f t="shared" si="77"/>
        <v>0</v>
      </c>
    </row>
    <row r="157" spans="4:41" x14ac:dyDescent="0.25">
      <c r="D157" s="5">
        <v>41808</v>
      </c>
      <c r="E157" s="6">
        <v>41.13</v>
      </c>
      <c r="F157" s="6">
        <v>24.09</v>
      </c>
      <c r="G157" s="3">
        <f t="shared" si="55"/>
        <v>-3.0619533527690701E-2</v>
      </c>
      <c r="H157" s="3">
        <f t="shared" si="55"/>
        <v>0.13627033792240414</v>
      </c>
      <c r="I157" s="3">
        <f t="shared" si="52"/>
        <v>-6.1613335114008051E-2</v>
      </c>
      <c r="J157" s="3">
        <f t="shared" si="53"/>
        <v>0.1065895162070557</v>
      </c>
      <c r="K157" s="4"/>
      <c r="L157" s="3">
        <f t="shared" si="56"/>
        <v>3.1736880308188544</v>
      </c>
      <c r="M157" s="3">
        <f t="shared" si="57"/>
        <v>1.2603633253038882</v>
      </c>
      <c r="N157" s="3">
        <f t="shared" si="54"/>
        <v>1.2603633253038882</v>
      </c>
      <c r="O157" s="4"/>
      <c r="P157" s="3">
        <f t="shared" si="58"/>
        <v>-6.3883566069655867E-2</v>
      </c>
      <c r="Q157" s="3">
        <f t="shared" si="59"/>
        <v>0.10736046454114087</v>
      </c>
      <c r="R157" s="4"/>
      <c r="S157" s="3">
        <f t="shared" si="60"/>
        <v>3.1131409434622386</v>
      </c>
      <c r="T157" s="3">
        <f t="shared" si="61"/>
        <v>1.2848759733799437</v>
      </c>
      <c r="U157" s="3">
        <f t="shared" si="62"/>
        <v>1.2848759733799437</v>
      </c>
      <c r="V157" s="3">
        <f t="shared" si="63"/>
        <v>-0.12047058528641408</v>
      </c>
      <c r="W157" s="4"/>
      <c r="X157" s="3">
        <f t="shared" si="64"/>
        <v>-0.80934247886692434</v>
      </c>
      <c r="Y157" s="14">
        <f t="shared" si="65"/>
        <v>-7.0231640095283099E-2</v>
      </c>
      <c r="Z157" s="15">
        <f t="shared" si="66"/>
        <v>0.28816593716139088</v>
      </c>
      <c r="AA157" s="15">
        <f t="shared" si="67"/>
        <v>-6.1613335114008051E-2</v>
      </c>
      <c r="AB157" s="15">
        <f t="shared" si="68"/>
        <v>0.1065895162070557</v>
      </c>
      <c r="AC157" s="15">
        <f t="shared" si="69"/>
        <v>-7.9491590512362653E-2</v>
      </c>
      <c r="AH157" s="15">
        <f t="shared" si="70"/>
        <v>-7.4205248729736883E-2</v>
      </c>
      <c r="AI157" s="15">
        <f t="shared" si="71"/>
        <v>9.2684622720357962E-2</v>
      </c>
      <c r="AJ157" s="18">
        <f t="shared" si="72"/>
        <v>0.43433843347788759</v>
      </c>
      <c r="AK157">
        <f t="shared" si="73"/>
        <v>1</v>
      </c>
      <c r="AL157">
        <f t="shared" si="74"/>
        <v>1</v>
      </c>
      <c r="AM157">
        <f t="shared" si="75"/>
        <v>0</v>
      </c>
      <c r="AN157">
        <f t="shared" si="76"/>
        <v>0</v>
      </c>
      <c r="AO157">
        <f t="shared" si="77"/>
        <v>0</v>
      </c>
    </row>
    <row r="158" spans="4:41" x14ac:dyDescent="0.25">
      <c r="D158" s="5">
        <v>41807</v>
      </c>
      <c r="E158" s="6">
        <v>41.16</v>
      </c>
      <c r="F158" s="6">
        <v>23.97</v>
      </c>
      <c r="G158" s="3">
        <f t="shared" si="55"/>
        <v>0.18452415812591477</v>
      </c>
      <c r="H158" s="3">
        <f t="shared" si="55"/>
        <v>-3.4025000000001283E-2</v>
      </c>
      <c r="I158" s="3">
        <f t="shared" si="52"/>
        <v>0.15353035653959743</v>
      </c>
      <c r="J158" s="3">
        <f t="shared" si="53"/>
        <v>-6.3705821715349734E-2</v>
      </c>
      <c r="K158" s="4"/>
      <c r="L158" s="3">
        <f t="shared" si="56"/>
        <v>3.1735494420908092</v>
      </c>
      <c r="M158" s="3">
        <f t="shared" si="57"/>
        <v>1.2604183653003702</v>
      </c>
      <c r="N158" s="3">
        <f t="shared" si="54"/>
        <v>1.2604183653003702</v>
      </c>
      <c r="O158" s="4"/>
      <c r="P158" s="3">
        <f t="shared" si="58"/>
        <v>0.15126012558394961</v>
      </c>
      <c r="Q158" s="3">
        <f t="shared" si="59"/>
        <v>-6.293487338126455E-2</v>
      </c>
      <c r="R158" s="4"/>
      <c r="S158" s="3">
        <f t="shared" si="60"/>
        <v>3.1083059583538022</v>
      </c>
      <c r="T158" s="3">
        <f t="shared" si="61"/>
        <v>1.2868746042356944</v>
      </c>
      <c r="U158" s="3">
        <f t="shared" si="62"/>
        <v>1.2868746042356944</v>
      </c>
      <c r="V158" s="3">
        <f t="shared" si="63"/>
        <v>-0.1220248627842313</v>
      </c>
      <c r="W158" s="4"/>
      <c r="X158" s="3">
        <f t="shared" si="64"/>
        <v>-0.80982835862895386</v>
      </c>
      <c r="Y158" s="14">
        <f t="shared" si="65"/>
        <v>-6.4482230365665472E-2</v>
      </c>
      <c r="Z158" s="15">
        <f t="shared" si="66"/>
        <v>0.2883406131254253</v>
      </c>
      <c r="AA158" s="15">
        <f t="shared" si="67"/>
        <v>0.15353035653959743</v>
      </c>
      <c r="AB158" s="15">
        <f t="shared" si="68"/>
        <v>-6.3705821715349734E-2</v>
      </c>
      <c r="AC158" s="15">
        <f t="shared" si="69"/>
        <v>-7.9377675665561032E-2</v>
      </c>
      <c r="AH158" s="15">
        <f t="shared" si="70"/>
        <v>0.14093844292386859</v>
      </c>
      <c r="AI158" s="15">
        <f t="shared" si="71"/>
        <v>-7.7610715202047473E-2</v>
      </c>
      <c r="AJ158" s="18">
        <f t="shared" si="72"/>
        <v>0.5503884271317725</v>
      </c>
      <c r="AK158">
        <f t="shared" si="73"/>
        <v>1</v>
      </c>
      <c r="AL158">
        <f t="shared" si="74"/>
        <v>1</v>
      </c>
      <c r="AM158">
        <f t="shared" si="75"/>
        <v>0</v>
      </c>
      <c r="AN158">
        <f t="shared" si="76"/>
        <v>0</v>
      </c>
      <c r="AO158">
        <f t="shared" si="77"/>
        <v>0</v>
      </c>
    </row>
    <row r="159" spans="4:41" x14ac:dyDescent="0.25">
      <c r="D159" s="5">
        <v>41806</v>
      </c>
      <c r="E159" s="6">
        <v>40.98</v>
      </c>
      <c r="F159" s="6">
        <v>24</v>
      </c>
      <c r="G159" s="3">
        <f t="shared" si="55"/>
        <v>0.26823673870333781</v>
      </c>
      <c r="H159" s="3">
        <f t="shared" si="55"/>
        <v>-0.18026490066225181</v>
      </c>
      <c r="I159" s="3">
        <f t="shared" si="52"/>
        <v>0.23724293711702046</v>
      </c>
      <c r="J159" s="3">
        <f t="shared" si="53"/>
        <v>-0.20994572237760026</v>
      </c>
      <c r="K159" s="4"/>
      <c r="L159" s="3">
        <f t="shared" si="56"/>
        <v>3.9397385824454441</v>
      </c>
      <c r="M159" s="3">
        <f t="shared" si="57"/>
        <v>1.0152957908991898</v>
      </c>
      <c r="N159" s="3">
        <f t="shared" si="54"/>
        <v>1.0152957908991898</v>
      </c>
      <c r="O159" s="4"/>
      <c r="P159" s="3">
        <f t="shared" si="58"/>
        <v>0.23497270616137264</v>
      </c>
      <c r="Q159" s="3">
        <f t="shared" si="59"/>
        <v>-0.20917477404351509</v>
      </c>
      <c r="R159" s="4"/>
      <c r="S159" s="3">
        <f t="shared" si="60"/>
        <v>3.5926955647607781</v>
      </c>
      <c r="T159" s="3">
        <f t="shared" si="61"/>
        <v>1.1133701500439663</v>
      </c>
      <c r="U159" s="3">
        <f t="shared" si="62"/>
        <v>1.1133701500439663</v>
      </c>
      <c r="V159" s="3">
        <f t="shared" si="63"/>
        <v>2.2799323282640671E-2</v>
      </c>
      <c r="W159" s="4"/>
      <c r="X159" s="3">
        <f t="shared" si="64"/>
        <v>-0.8229729789075082</v>
      </c>
      <c r="Y159" s="14">
        <f t="shared" si="65"/>
        <v>-0.61297449751275268</v>
      </c>
      <c r="Z159" s="15">
        <f t="shared" si="66"/>
        <v>-0.57671423551419476</v>
      </c>
      <c r="AA159" s="15">
        <f t="shared" si="67"/>
        <v>0.23724293711702046</v>
      </c>
      <c r="AB159" s="15">
        <f t="shared" si="68"/>
        <v>-0.20994572237760026</v>
      </c>
      <c r="AC159" s="15">
        <f t="shared" si="69"/>
        <v>-0.66424481730428431</v>
      </c>
      <c r="AH159" s="15">
        <f t="shared" si="70"/>
        <v>0.22465102350129162</v>
      </c>
      <c r="AI159" s="15">
        <f t="shared" si="71"/>
        <v>-0.223850615864298</v>
      </c>
      <c r="AJ159" s="18">
        <f t="shared" si="72"/>
        <v>2.8645475055140874</v>
      </c>
      <c r="AK159">
        <f t="shared" si="73"/>
        <v>1</v>
      </c>
      <c r="AL159">
        <f t="shared" si="74"/>
        <v>0.69819055056692769</v>
      </c>
      <c r="AM159">
        <f t="shared" si="75"/>
        <v>0</v>
      </c>
      <c r="AN159">
        <f t="shared" si="76"/>
        <v>0</v>
      </c>
      <c r="AO159">
        <f t="shared" si="77"/>
        <v>0</v>
      </c>
    </row>
    <row r="160" spans="4:41" x14ac:dyDescent="0.25">
      <c r="D160" s="5">
        <v>41803</v>
      </c>
      <c r="E160" s="6">
        <v>40.72</v>
      </c>
      <c r="F160" s="6">
        <v>24.16</v>
      </c>
      <c r="G160" s="3">
        <f t="shared" si="55"/>
        <v>0.67081836327345379</v>
      </c>
      <c r="H160" s="3">
        <f t="shared" si="55"/>
        <v>4.51409618573788E-2</v>
      </c>
      <c r="I160" s="3">
        <f t="shared" si="52"/>
        <v>0.63982456168713642</v>
      </c>
      <c r="J160" s="3">
        <f t="shared" si="53"/>
        <v>1.546014014203035E-2</v>
      </c>
      <c r="K160" s="4"/>
      <c r="L160" s="3">
        <f t="shared" si="56"/>
        <v>4.249508137052624</v>
      </c>
      <c r="M160" s="3">
        <f t="shared" si="57"/>
        <v>0.94128540786236081</v>
      </c>
      <c r="N160" s="3">
        <f t="shared" si="54"/>
        <v>0.94128540786236081</v>
      </c>
      <c r="O160" s="4"/>
      <c r="P160" s="3">
        <f t="shared" si="58"/>
        <v>0.63755433073148859</v>
      </c>
      <c r="Q160" s="3">
        <f t="shared" si="59"/>
        <v>1.623108847611553E-2</v>
      </c>
      <c r="R160" s="4"/>
      <c r="S160" s="3">
        <f t="shared" si="60"/>
        <v>3.8011207249866961</v>
      </c>
      <c r="T160" s="3">
        <f t="shared" si="61"/>
        <v>1.0523212203458758</v>
      </c>
      <c r="U160" s="3">
        <f t="shared" si="62"/>
        <v>1.0523212203458758</v>
      </c>
      <c r="V160" s="3">
        <f t="shared" si="63"/>
        <v>7.9192787298953959E-2</v>
      </c>
      <c r="W160" s="4"/>
      <c r="X160" s="3">
        <f t="shared" si="64"/>
        <v>-0.8579918275663192</v>
      </c>
      <c r="Y160" s="14">
        <f t="shared" si="65"/>
        <v>-0.83337402054145138</v>
      </c>
      <c r="Z160" s="15">
        <f t="shared" si="66"/>
        <v>-0.87946972473471319</v>
      </c>
      <c r="AA160" s="15">
        <f t="shared" si="67"/>
        <v>0.63982456168713642</v>
      </c>
      <c r="AB160" s="15">
        <f t="shared" si="68"/>
        <v>1.546014014203035E-2</v>
      </c>
      <c r="AC160" s="15">
        <f t="shared" si="69"/>
        <v>-0.87839516742824897</v>
      </c>
      <c r="AH160" s="15">
        <f t="shared" si="70"/>
        <v>0.62723264807140755</v>
      </c>
      <c r="AI160" s="15">
        <f t="shared" si="71"/>
        <v>1.5552466553326108E-3</v>
      </c>
      <c r="AJ160" s="18">
        <f t="shared" si="72"/>
        <v>3.6897620053954912</v>
      </c>
      <c r="AK160">
        <f t="shared" si="73"/>
        <v>1</v>
      </c>
      <c r="AL160">
        <f t="shared" si="74"/>
        <v>0.54204038013167943</v>
      </c>
      <c r="AM160">
        <f t="shared" si="75"/>
        <v>1</v>
      </c>
      <c r="AN160">
        <f t="shared" si="76"/>
        <v>0.62723264807140755</v>
      </c>
      <c r="AO160">
        <f t="shared" si="77"/>
        <v>1.5552466553326108E-3</v>
      </c>
    </row>
    <row r="161" spans="4:41" x14ac:dyDescent="0.25">
      <c r="D161" s="5">
        <v>41802</v>
      </c>
      <c r="E161" s="6">
        <v>40.08</v>
      </c>
      <c r="F161" s="6">
        <v>24.12</v>
      </c>
      <c r="G161" s="3">
        <f t="shared" si="55"/>
        <v>-0.28110780669145308</v>
      </c>
      <c r="H161" s="3">
        <f t="shared" si="55"/>
        <v>-0.4112454062882781</v>
      </c>
      <c r="I161" s="3">
        <f t="shared" si="52"/>
        <v>-0.31210160827777045</v>
      </c>
      <c r="J161" s="3">
        <f t="shared" si="53"/>
        <v>-0.44092622800362657</v>
      </c>
      <c r="K161" s="4"/>
      <c r="L161" s="3">
        <f t="shared" si="56"/>
        <v>4.7003924406847375</v>
      </c>
      <c r="M161" s="3">
        <f t="shared" si="57"/>
        <v>0.85099277357728309</v>
      </c>
      <c r="N161" s="3">
        <f t="shared" si="54"/>
        <v>0.85099277357728309</v>
      </c>
      <c r="O161" s="4"/>
      <c r="P161" s="3">
        <f t="shared" si="58"/>
        <v>-0.31437183923341827</v>
      </c>
      <c r="Q161" s="3">
        <f t="shared" si="59"/>
        <v>-0.44015527966954138</v>
      </c>
      <c r="R161" s="4"/>
      <c r="S161" s="3">
        <f t="shared" si="60"/>
        <v>4.0691139625078163</v>
      </c>
      <c r="T161" s="3">
        <f t="shared" si="61"/>
        <v>0.98301498479899518</v>
      </c>
      <c r="U161" s="3">
        <f t="shared" si="62"/>
        <v>0.98301498479899518</v>
      </c>
      <c r="V161" s="3">
        <f t="shared" si="63"/>
        <v>0.14732288416308137</v>
      </c>
      <c r="W161" s="4"/>
      <c r="X161" s="3">
        <f t="shared" si="64"/>
        <v>-0.92072192501699734</v>
      </c>
      <c r="Y161" s="14">
        <f t="shared" si="65"/>
        <v>-1.1045667764640623</v>
      </c>
      <c r="Z161" s="15">
        <f t="shared" si="66"/>
        <v>-1.2828407626054117</v>
      </c>
      <c r="AA161" s="15">
        <f t="shared" si="67"/>
        <v>-0.31210160827777045</v>
      </c>
      <c r="AB161" s="15">
        <f t="shared" si="68"/>
        <v>-0.44092622800362657</v>
      </c>
      <c r="AC161" s="15">
        <f t="shared" si="69"/>
        <v>-1.1709406210249786</v>
      </c>
      <c r="AH161" s="15">
        <f t="shared" si="70"/>
        <v>-0.32469352189349926</v>
      </c>
      <c r="AI161" s="15">
        <f t="shared" si="71"/>
        <v>-0.45483112149032429</v>
      </c>
      <c r="AJ161" s="18">
        <f t="shared" si="72"/>
        <v>5.3296255345217514</v>
      </c>
      <c r="AK161">
        <f t="shared" si="73"/>
        <v>1</v>
      </c>
      <c r="AL161">
        <f t="shared" si="74"/>
        <v>0.37526088597507218</v>
      </c>
      <c r="AM161">
        <f t="shared" si="75"/>
        <v>1</v>
      </c>
      <c r="AN161">
        <f t="shared" si="76"/>
        <v>-0.32469352189349926</v>
      </c>
      <c r="AO161">
        <f t="shared" si="77"/>
        <v>-0.45483112149032429</v>
      </c>
    </row>
    <row r="162" spans="4:41" x14ac:dyDescent="0.25">
      <c r="D162" s="5">
        <v>41801</v>
      </c>
      <c r="E162" s="6">
        <v>40.35</v>
      </c>
      <c r="F162" s="6">
        <v>24.49</v>
      </c>
      <c r="G162" s="3">
        <f t="shared" si="55"/>
        <v>-0.25868226600985217</v>
      </c>
      <c r="H162" s="3">
        <f t="shared" si="55"/>
        <v>4.4531697341512341E-2</v>
      </c>
      <c r="I162" s="3">
        <f t="shared" si="52"/>
        <v>-0.28967606759616954</v>
      </c>
      <c r="J162" s="3">
        <f t="shared" si="53"/>
        <v>1.4850875626163891E-2</v>
      </c>
      <c r="K162" s="4"/>
      <c r="L162" s="3">
        <f t="shared" si="56"/>
        <v>3.2928253076075897</v>
      </c>
      <c r="M162" s="3">
        <f t="shared" si="57"/>
        <v>1.2147622865867154</v>
      </c>
      <c r="N162" s="3">
        <f t="shared" si="54"/>
        <v>1.2147622865867154</v>
      </c>
      <c r="O162" s="4"/>
      <c r="P162" s="3">
        <f t="shared" si="58"/>
        <v>-0.29194629855181731</v>
      </c>
      <c r="Q162" s="3">
        <f t="shared" si="59"/>
        <v>1.5621823960249071E-2</v>
      </c>
      <c r="R162" s="4"/>
      <c r="S162" s="3">
        <f t="shared" si="60"/>
        <v>3.1930461891921169</v>
      </c>
      <c r="T162" s="3">
        <f t="shared" si="61"/>
        <v>1.2527222479710052</v>
      </c>
      <c r="U162" s="3">
        <f t="shared" si="62"/>
        <v>1.2527222479710052</v>
      </c>
      <c r="V162" s="3">
        <f t="shared" si="63"/>
        <v>-9.5127645289849738E-2</v>
      </c>
      <c r="W162" s="4"/>
      <c r="X162" s="3">
        <f t="shared" si="64"/>
        <v>-0.8034150952432717</v>
      </c>
      <c r="Y162" s="14">
        <f t="shared" si="65"/>
        <v>-0.16440275589470557</v>
      </c>
      <c r="Z162" s="15">
        <f t="shared" si="66"/>
        <v>0.14075944091191628</v>
      </c>
      <c r="AA162" s="15">
        <f t="shared" si="67"/>
        <v>-0.28967606759616954</v>
      </c>
      <c r="AB162" s="15">
        <f t="shared" si="68"/>
        <v>1.4850875626163891E-2</v>
      </c>
      <c r="AC162" s="15">
        <f t="shared" si="69"/>
        <v>-0.17623720997337025</v>
      </c>
      <c r="AH162" s="15">
        <f t="shared" si="70"/>
        <v>-0.30226798121189835</v>
      </c>
      <c r="AI162" s="15">
        <f t="shared" si="71"/>
        <v>9.4598213946615189E-4</v>
      </c>
      <c r="AJ162" s="18">
        <f t="shared" si="72"/>
        <v>0.86487375717716575</v>
      </c>
      <c r="AK162">
        <f t="shared" si="73"/>
        <v>1</v>
      </c>
      <c r="AL162">
        <f t="shared" si="74"/>
        <v>1</v>
      </c>
      <c r="AM162">
        <f t="shared" si="75"/>
        <v>0</v>
      </c>
      <c r="AN162">
        <f t="shared" si="76"/>
        <v>0</v>
      </c>
      <c r="AO162">
        <f t="shared" si="77"/>
        <v>0</v>
      </c>
    </row>
    <row r="163" spans="4:41" x14ac:dyDescent="0.25">
      <c r="D163" s="5">
        <v>41800</v>
      </c>
      <c r="E163" s="6">
        <v>40.6</v>
      </c>
      <c r="F163" s="6">
        <v>24.45</v>
      </c>
      <c r="G163" s="3">
        <f t="shared" si="55"/>
        <v>-0.16490677134445184</v>
      </c>
      <c r="H163" s="3">
        <f t="shared" si="55"/>
        <v>0.21318219291013757</v>
      </c>
      <c r="I163" s="3">
        <f t="shared" si="52"/>
        <v>-0.19590057293076918</v>
      </c>
      <c r="J163" s="3">
        <f t="shared" si="53"/>
        <v>0.18350137119478913</v>
      </c>
      <c r="K163" s="4"/>
      <c r="L163" s="3">
        <f t="shared" si="56"/>
        <v>3.6916579605656827</v>
      </c>
      <c r="M163" s="3">
        <f t="shared" si="57"/>
        <v>1.0835239999826716</v>
      </c>
      <c r="N163" s="3">
        <f t="shared" si="54"/>
        <v>1.0835239999826716</v>
      </c>
      <c r="O163" s="4"/>
      <c r="P163" s="3">
        <f t="shared" si="58"/>
        <v>-0.198170803886417</v>
      </c>
      <c r="Q163" s="3">
        <f t="shared" si="59"/>
        <v>0.1842723195288743</v>
      </c>
      <c r="R163" s="4"/>
      <c r="S163" s="3">
        <f t="shared" si="60"/>
        <v>3.4468807902757121</v>
      </c>
      <c r="T163" s="3">
        <f t="shared" si="61"/>
        <v>1.1604694920940519</v>
      </c>
      <c r="U163" s="3">
        <f t="shared" si="62"/>
        <v>1.1604694920940519</v>
      </c>
      <c r="V163" s="3">
        <f t="shared" si="63"/>
        <v>-1.8633756470043394E-2</v>
      </c>
      <c r="W163" s="4"/>
      <c r="X163" s="3">
        <f t="shared" si="64"/>
        <v>-0.80755537975341363</v>
      </c>
      <c r="Y163" s="14">
        <f t="shared" si="65"/>
        <v>-0.45344887470586293</v>
      </c>
      <c r="Z163" s="15">
        <f t="shared" si="66"/>
        <v>-0.31655942540642557</v>
      </c>
      <c r="AA163" s="15">
        <f t="shared" si="67"/>
        <v>-0.19590057293076918</v>
      </c>
      <c r="AB163" s="15">
        <f t="shared" si="68"/>
        <v>0.18350137119478913</v>
      </c>
      <c r="AC163" s="15">
        <f t="shared" si="69"/>
        <v>-0.48406973857288982</v>
      </c>
      <c r="AH163" s="15">
        <f t="shared" si="70"/>
        <v>-0.20849248654649802</v>
      </c>
      <c r="AI163" s="15">
        <f t="shared" si="71"/>
        <v>0.16959647770809139</v>
      </c>
      <c r="AJ163" s="18">
        <f t="shared" si="72"/>
        <v>1.8818393886808833</v>
      </c>
      <c r="AK163">
        <f t="shared" si="73"/>
        <v>1</v>
      </c>
      <c r="AL163">
        <f t="shared" si="74"/>
        <v>1</v>
      </c>
      <c r="AM163">
        <f t="shared" si="75"/>
        <v>0</v>
      </c>
      <c r="AN163">
        <f t="shared" si="76"/>
        <v>0</v>
      </c>
      <c r="AO163">
        <f t="shared" si="77"/>
        <v>0</v>
      </c>
    </row>
    <row r="164" spans="4:41" x14ac:dyDescent="0.25">
      <c r="D164" s="5">
        <v>41799</v>
      </c>
      <c r="E164" s="6">
        <v>40.76</v>
      </c>
      <c r="F164" s="6">
        <v>24.26</v>
      </c>
      <c r="G164" s="3">
        <f t="shared" si="55"/>
        <v>-0.2051269531250029</v>
      </c>
      <c r="H164" s="3">
        <f t="shared" si="55"/>
        <v>-3.361877315767535E-2</v>
      </c>
      <c r="I164" s="3">
        <f t="shared" si="52"/>
        <v>-0.23612075471132024</v>
      </c>
      <c r="J164" s="3">
        <f t="shared" si="53"/>
        <v>-6.3299594873023807E-2</v>
      </c>
      <c r="K164" s="4"/>
      <c r="L164" s="3">
        <f t="shared" si="56"/>
        <v>3.1392806847587145</v>
      </c>
      <c r="M164" s="3">
        <f t="shared" si="57"/>
        <v>1.2741772404806295</v>
      </c>
      <c r="N164" s="3">
        <f t="shared" si="54"/>
        <v>1.2741772404806295</v>
      </c>
      <c r="O164" s="4"/>
      <c r="P164" s="3">
        <f t="shared" si="58"/>
        <v>-0.23839098566696806</v>
      </c>
      <c r="Q164" s="3">
        <f t="shared" si="59"/>
        <v>-6.2528646538938623E-2</v>
      </c>
      <c r="R164" s="4"/>
      <c r="S164" s="3">
        <f t="shared" si="60"/>
        <v>3.0915966631659737</v>
      </c>
      <c r="T164" s="3">
        <f t="shared" si="61"/>
        <v>1.2938298348089718</v>
      </c>
      <c r="U164" s="3">
        <f t="shared" si="62"/>
        <v>1.2938298348089718</v>
      </c>
      <c r="V164" s="3">
        <f t="shared" si="63"/>
        <v>-0.12741498848778399</v>
      </c>
      <c r="W164" s="4"/>
      <c r="X164" s="3">
        <f t="shared" si="64"/>
        <v>-0.81162409076889563</v>
      </c>
      <c r="Y164" s="14">
        <f t="shared" si="65"/>
        <v>-4.4567117861729441E-2</v>
      </c>
      <c r="Z164" s="15">
        <f t="shared" si="66"/>
        <v>0.33176848082768462</v>
      </c>
      <c r="AA164" s="15">
        <f t="shared" si="67"/>
        <v>-0.23612075471132024</v>
      </c>
      <c r="AB164" s="15">
        <f t="shared" si="68"/>
        <v>-6.3299594873023807E-2</v>
      </c>
      <c r="AC164" s="15">
        <f t="shared" si="69"/>
        <v>-5.1109966013446889E-2</v>
      </c>
      <c r="AH164" s="15">
        <f t="shared" si="70"/>
        <v>-0.24871266832704908</v>
      </c>
      <c r="AI164" s="15">
        <f t="shared" si="71"/>
        <v>-7.7204488359721546E-2</v>
      </c>
      <c r="AJ164" s="18">
        <f t="shared" si="72"/>
        <v>0.47495523131424472</v>
      </c>
      <c r="AK164">
        <f t="shared" si="73"/>
        <v>1</v>
      </c>
      <c r="AL164">
        <f t="shared" si="74"/>
        <v>1</v>
      </c>
      <c r="AM164">
        <f t="shared" si="75"/>
        <v>0</v>
      </c>
      <c r="AN164">
        <f t="shared" si="76"/>
        <v>0</v>
      </c>
      <c r="AO164">
        <f t="shared" si="77"/>
        <v>0</v>
      </c>
    </row>
    <row r="165" spans="4:41" x14ac:dyDescent="0.25">
      <c r="D165" s="5">
        <v>41796</v>
      </c>
      <c r="E165" s="6">
        <v>40.96</v>
      </c>
      <c r="F165" s="6">
        <v>24.29</v>
      </c>
      <c r="G165" s="3">
        <f t="shared" si="55"/>
        <v>0.26836855036854829</v>
      </c>
      <c r="H165" s="3">
        <f t="shared" si="55"/>
        <v>0.14646523178807835</v>
      </c>
      <c r="I165" s="3">
        <f t="shared" si="52"/>
        <v>0.23737474878223094</v>
      </c>
      <c r="J165" s="3">
        <f t="shared" si="53"/>
        <v>0.11678441007272991</v>
      </c>
      <c r="K165" s="4"/>
      <c r="L165" s="3">
        <f t="shared" si="56"/>
        <v>3.1773038016619011</v>
      </c>
      <c r="M165" s="3">
        <f t="shared" si="57"/>
        <v>1.258929032190055</v>
      </c>
      <c r="N165" s="3">
        <f t="shared" si="54"/>
        <v>1.258929032190055</v>
      </c>
      <c r="O165" s="4"/>
      <c r="P165" s="3">
        <f t="shared" si="58"/>
        <v>0.23510451782658312</v>
      </c>
      <c r="Q165" s="3">
        <f t="shared" si="59"/>
        <v>0.11755535840681508</v>
      </c>
      <c r="R165" s="4"/>
      <c r="S165" s="3">
        <f t="shared" si="60"/>
        <v>3.1127430083625165</v>
      </c>
      <c r="T165" s="3">
        <f t="shared" si="61"/>
        <v>1.2850402327637809</v>
      </c>
      <c r="U165" s="3">
        <f t="shared" si="62"/>
        <v>1.2850402327637809</v>
      </c>
      <c r="V165" s="3">
        <f t="shared" si="63"/>
        <v>-0.12059841622780176</v>
      </c>
      <c r="W165" s="4"/>
      <c r="X165" s="3">
        <f t="shared" si="64"/>
        <v>-0.80938190164378021</v>
      </c>
      <c r="Y165" s="14">
        <f t="shared" si="65"/>
        <v>-6.9758668057218032E-2</v>
      </c>
      <c r="Z165" s="15">
        <f t="shared" si="66"/>
        <v>0.28361134621990813</v>
      </c>
      <c r="AA165" s="15">
        <f t="shared" si="67"/>
        <v>0.23737474878223094</v>
      </c>
      <c r="AB165" s="15">
        <f t="shared" si="68"/>
        <v>0.11678441007272991</v>
      </c>
      <c r="AC165" s="15">
        <f t="shared" si="69"/>
        <v>-8.2462475546516978E-2</v>
      </c>
      <c r="AH165" s="15">
        <f t="shared" si="70"/>
        <v>0.2247828351665021</v>
      </c>
      <c r="AI165" s="15">
        <f t="shared" si="71"/>
        <v>0.10287951658603217</v>
      </c>
      <c r="AJ165" s="18">
        <f t="shared" si="72"/>
        <v>0.45549055607430744</v>
      </c>
      <c r="AK165">
        <f t="shared" si="73"/>
        <v>1</v>
      </c>
      <c r="AL165">
        <f t="shared" si="74"/>
        <v>1</v>
      </c>
      <c r="AM165">
        <f t="shared" si="75"/>
        <v>0</v>
      </c>
      <c r="AN165">
        <f t="shared" si="76"/>
        <v>0</v>
      </c>
      <c r="AO165">
        <f t="shared" si="77"/>
        <v>0</v>
      </c>
    </row>
    <row r="166" spans="4:41" x14ac:dyDescent="0.25">
      <c r="D166" s="5">
        <v>41795</v>
      </c>
      <c r="E166" s="6">
        <v>40.700000000000003</v>
      </c>
      <c r="F166" s="6">
        <v>24.16</v>
      </c>
      <c r="G166" s="3">
        <f t="shared" si="55"/>
        <v>0.92839779005525136</v>
      </c>
      <c r="H166" s="3">
        <f t="shared" si="55"/>
        <v>0.21576136837713952</v>
      </c>
      <c r="I166" s="3">
        <f t="shared" si="52"/>
        <v>0.89740398846893399</v>
      </c>
      <c r="J166" s="3">
        <f t="shared" si="53"/>
        <v>0.18608054666179108</v>
      </c>
      <c r="K166" s="4"/>
      <c r="L166" s="3">
        <f t="shared" si="56"/>
        <v>5.0239859866738508</v>
      </c>
      <c r="M166" s="3">
        <f t="shared" si="57"/>
        <v>0.79618056471694409</v>
      </c>
      <c r="N166" s="3">
        <f t="shared" si="54"/>
        <v>0.79618056471694409</v>
      </c>
      <c r="O166" s="4"/>
      <c r="P166" s="3">
        <f t="shared" si="58"/>
        <v>0.89513375751328617</v>
      </c>
      <c r="Q166" s="3">
        <f t="shared" si="59"/>
        <v>0.18685149499587625</v>
      </c>
      <c r="R166" s="4"/>
      <c r="S166" s="3">
        <f t="shared" si="60"/>
        <v>4.3015478105491525</v>
      </c>
      <c r="T166" s="3">
        <f t="shared" si="61"/>
        <v>0.92989783588836694</v>
      </c>
      <c r="U166" s="3">
        <f t="shared" si="62"/>
        <v>0.92989783588836694</v>
      </c>
      <c r="V166" s="3">
        <f t="shared" si="63"/>
        <v>0.20287349457692727</v>
      </c>
      <c r="W166" s="4"/>
      <c r="X166" s="3">
        <f t="shared" si="64"/>
        <v>-0.98744527456672904</v>
      </c>
      <c r="Y166" s="14">
        <f t="shared" si="65"/>
        <v>-1.3295738340295342</v>
      </c>
      <c r="Z166" s="15">
        <f t="shared" si="66"/>
        <v>-1.5491513091535294</v>
      </c>
      <c r="AA166" s="15">
        <f t="shared" si="67"/>
        <v>0.89740398846893399</v>
      </c>
      <c r="AB166" s="15">
        <f t="shared" si="68"/>
        <v>0.18608054666179108</v>
      </c>
      <c r="AC166" s="15">
        <f t="shared" si="69"/>
        <v>-1.3684453495920093</v>
      </c>
      <c r="AH166" s="15">
        <f t="shared" si="70"/>
        <v>0.88481207485320512</v>
      </c>
      <c r="AI166" s="15">
        <f t="shared" si="71"/>
        <v>0.17217565317509334</v>
      </c>
      <c r="AJ166" s="18">
        <f t="shared" si="72"/>
        <v>5.9532608049440769</v>
      </c>
      <c r="AK166">
        <f t="shared" si="73"/>
        <v>1</v>
      </c>
      <c r="AL166">
        <f t="shared" si="74"/>
        <v>0.33595034142281077</v>
      </c>
      <c r="AM166">
        <f t="shared" si="75"/>
        <v>1</v>
      </c>
      <c r="AN166">
        <f t="shared" si="76"/>
        <v>0.88481207485320512</v>
      </c>
      <c r="AO166">
        <f t="shared" si="77"/>
        <v>0.17217565317509334</v>
      </c>
    </row>
    <row r="167" spans="4:41" x14ac:dyDescent="0.25">
      <c r="D167" s="5">
        <v>41794</v>
      </c>
      <c r="E167" s="6">
        <v>39.82</v>
      </c>
      <c r="F167" s="6">
        <v>23.97</v>
      </c>
      <c r="G167" s="3">
        <f t="shared" si="55"/>
        <v>3.1673787383765965E-2</v>
      </c>
      <c r="H167" s="3">
        <f t="shared" si="55"/>
        <v>-0.19169014084507233</v>
      </c>
      <c r="I167" s="3">
        <f t="shared" si="52"/>
        <v>6.7998579744861509E-4</v>
      </c>
      <c r="J167" s="3">
        <f t="shared" si="53"/>
        <v>-0.22137096256042077</v>
      </c>
      <c r="K167" s="4"/>
      <c r="L167" s="3">
        <f t="shared" si="56"/>
        <v>3.5421622818743028</v>
      </c>
      <c r="M167" s="3">
        <f t="shared" si="57"/>
        <v>1.1292537387314272</v>
      </c>
      <c r="N167" s="3">
        <f t="shared" si="54"/>
        <v>1.1292537387314272</v>
      </c>
      <c r="O167" s="4"/>
      <c r="P167" s="3">
        <f t="shared" si="58"/>
        <v>-1.5902451581992008E-3</v>
      </c>
      <c r="Q167" s="3">
        <f t="shared" si="59"/>
        <v>-0.2206000142263356</v>
      </c>
      <c r="R167" s="4"/>
      <c r="S167" s="3">
        <f t="shared" si="60"/>
        <v>3.3388786743742744</v>
      </c>
      <c r="T167" s="3">
        <f t="shared" si="61"/>
        <v>1.198006992796653</v>
      </c>
      <c r="U167" s="3">
        <f t="shared" si="62"/>
        <v>1.198006992796653</v>
      </c>
      <c r="V167" s="3">
        <f t="shared" si="63"/>
        <v>-5.0468325413222104E-2</v>
      </c>
      <c r="W167" s="4"/>
      <c r="X167" s="3">
        <f t="shared" si="64"/>
        <v>-0.80190465171897163</v>
      </c>
      <c r="Y167" s="14">
        <f t="shared" si="65"/>
        <v>-0.33228632399297736</v>
      </c>
      <c r="Z167" s="15">
        <f t="shared" si="66"/>
        <v>-0.15120616866619618</v>
      </c>
      <c r="AA167" s="15">
        <f t="shared" si="67"/>
        <v>6.7998579744861509E-4</v>
      </c>
      <c r="AB167" s="15">
        <f t="shared" si="68"/>
        <v>-0.22137096256042077</v>
      </c>
      <c r="AC167" s="15">
        <f t="shared" si="69"/>
        <v>-0.37144124970341769</v>
      </c>
      <c r="AH167" s="15">
        <f t="shared" si="70"/>
        <v>-1.1911927818280224E-2</v>
      </c>
      <c r="AI167" s="15">
        <f t="shared" si="71"/>
        <v>-0.23527585604711851</v>
      </c>
      <c r="AJ167" s="18">
        <f t="shared" si="72"/>
        <v>1.7329314616889719</v>
      </c>
      <c r="AK167">
        <f t="shared" si="73"/>
        <v>1</v>
      </c>
      <c r="AL167">
        <f t="shared" si="74"/>
        <v>1</v>
      </c>
      <c r="AM167">
        <f t="shared" si="75"/>
        <v>0</v>
      </c>
      <c r="AN167">
        <f t="shared" si="76"/>
        <v>0</v>
      </c>
      <c r="AO167">
        <f t="shared" si="77"/>
        <v>0</v>
      </c>
    </row>
    <row r="168" spans="4:41" x14ac:dyDescent="0.25">
      <c r="D168" s="5">
        <v>41793</v>
      </c>
      <c r="E168" s="6">
        <v>39.79</v>
      </c>
      <c r="F168" s="6">
        <v>24.14</v>
      </c>
      <c r="G168" s="3">
        <f t="shared" si="55"/>
        <v>-0.51104518371400398</v>
      </c>
      <c r="H168" s="3">
        <f t="shared" si="55"/>
        <v>-0.1122937293729349</v>
      </c>
      <c r="I168" s="3">
        <f t="shared" si="52"/>
        <v>-0.54203898530032135</v>
      </c>
      <c r="J168" s="3">
        <f t="shared" si="53"/>
        <v>-0.14197455108828336</v>
      </c>
      <c r="K168" s="4"/>
      <c r="L168" s="3">
        <f t="shared" si="56"/>
        <v>3.7333370989450003</v>
      </c>
      <c r="M168" s="3">
        <f t="shared" si="57"/>
        <v>1.0714274907375376</v>
      </c>
      <c r="N168" s="3">
        <f t="shared" si="54"/>
        <v>1.0714274907375376</v>
      </c>
      <c r="O168" s="4"/>
      <c r="P168" s="3">
        <f t="shared" si="58"/>
        <v>-0.54430921625596917</v>
      </c>
      <c r="Q168" s="3">
        <f t="shared" si="59"/>
        <v>-0.14120360275419816</v>
      </c>
      <c r="R168" s="4"/>
      <c r="S168" s="3">
        <f t="shared" si="60"/>
        <v>3.4774185990399498</v>
      </c>
      <c r="T168" s="3">
        <f t="shared" si="61"/>
        <v>1.1502785431424118</v>
      </c>
      <c r="U168" s="3">
        <f t="shared" si="62"/>
        <v>1.1502785431424118</v>
      </c>
      <c r="V168" s="3">
        <f t="shared" si="63"/>
        <v>-9.8132356918245733E-3</v>
      </c>
      <c r="W168" s="4"/>
      <c r="X168" s="3">
        <f t="shared" si="64"/>
        <v>-0.81008386079076988</v>
      </c>
      <c r="Y168" s="14">
        <f t="shared" si="65"/>
        <v>-0.48723699905235596</v>
      </c>
      <c r="Z168" s="15">
        <f t="shared" si="66"/>
        <v>-0.36146674272595714</v>
      </c>
      <c r="AA168" s="15">
        <f t="shared" si="67"/>
        <v>-0.54203898530032135</v>
      </c>
      <c r="AB168" s="15">
        <f t="shared" si="68"/>
        <v>-0.14197455108828336</v>
      </c>
      <c r="AC168" s="15">
        <f t="shared" si="69"/>
        <v>-0.51491319118503531</v>
      </c>
      <c r="AH168" s="15">
        <f t="shared" si="70"/>
        <v>-0.55463089891605022</v>
      </c>
      <c r="AI168" s="15">
        <f t="shared" si="71"/>
        <v>-0.1558794445749811</v>
      </c>
      <c r="AJ168" s="18">
        <f t="shared" si="72"/>
        <v>2.331103126875596</v>
      </c>
      <c r="AK168">
        <f t="shared" si="73"/>
        <v>1</v>
      </c>
      <c r="AL168">
        <f t="shared" si="74"/>
        <v>0.85796290045761414</v>
      </c>
      <c r="AM168">
        <f t="shared" si="75"/>
        <v>0</v>
      </c>
      <c r="AN168">
        <f t="shared" si="76"/>
        <v>0</v>
      </c>
      <c r="AO168">
        <f t="shared" si="77"/>
        <v>0</v>
      </c>
    </row>
    <row r="169" spans="4:41" x14ac:dyDescent="0.25">
      <c r="D169" s="5">
        <v>41792</v>
      </c>
      <c r="E169" s="6">
        <v>40.28</v>
      </c>
      <c r="F169" s="6">
        <v>24.24</v>
      </c>
      <c r="G169" s="3">
        <f t="shared" si="55"/>
        <v>-0.15586198367548701</v>
      </c>
      <c r="H169" s="3">
        <f t="shared" si="55"/>
        <v>0.18086378737541545</v>
      </c>
      <c r="I169" s="3">
        <f t="shared" si="52"/>
        <v>-0.18685578526180435</v>
      </c>
      <c r="J169" s="3">
        <f t="shared" si="53"/>
        <v>0.151182965660067</v>
      </c>
      <c r="K169" s="4"/>
      <c r="L169" s="3">
        <f t="shared" si="56"/>
        <v>3.5188294542122858</v>
      </c>
      <c r="M169" s="3">
        <f t="shared" si="57"/>
        <v>1.1367416500426639</v>
      </c>
      <c r="N169" s="3">
        <f t="shared" si="54"/>
        <v>1.1367416500426639</v>
      </c>
      <c r="O169" s="4"/>
      <c r="P169" s="3">
        <f t="shared" si="58"/>
        <v>-0.18912601621745218</v>
      </c>
      <c r="Q169" s="3">
        <f t="shared" si="59"/>
        <v>0.15195391399415217</v>
      </c>
      <c r="R169" s="4"/>
      <c r="S169" s="3">
        <f t="shared" si="60"/>
        <v>3.3362943633952211</v>
      </c>
      <c r="T169" s="3">
        <f t="shared" si="61"/>
        <v>1.1989349752488119</v>
      </c>
      <c r="U169" s="3">
        <f t="shared" si="62"/>
        <v>1.1989349752488119</v>
      </c>
      <c r="V169" s="3">
        <f t="shared" si="63"/>
        <v>-5.124262683064984E-2</v>
      </c>
      <c r="W169" s="4"/>
      <c r="X169" s="3">
        <f t="shared" si="64"/>
        <v>-0.80183594523654245</v>
      </c>
      <c r="Y169" s="14">
        <f t="shared" si="65"/>
        <v>-0.32935469632001252</v>
      </c>
      <c r="Z169" s="15">
        <f t="shared" si="66"/>
        <v>-0.12477032116783948</v>
      </c>
      <c r="AA169" s="15">
        <f t="shared" si="67"/>
        <v>-0.18685578526180435</v>
      </c>
      <c r="AB169" s="15">
        <f t="shared" si="68"/>
        <v>0.151182965660067</v>
      </c>
      <c r="AC169" s="15">
        <f t="shared" si="69"/>
        <v>-0.35357286740582394</v>
      </c>
      <c r="AH169" s="15">
        <f t="shared" si="70"/>
        <v>-0.19944769887753319</v>
      </c>
      <c r="AI169" s="15">
        <f t="shared" si="71"/>
        <v>0.13727807217336926</v>
      </c>
      <c r="AJ169" s="18">
        <f t="shared" si="72"/>
        <v>1.4048992500082231</v>
      </c>
      <c r="AK169">
        <f t="shared" si="73"/>
        <v>1</v>
      </c>
      <c r="AL169">
        <f t="shared" si="74"/>
        <v>1</v>
      </c>
      <c r="AM169">
        <f t="shared" si="75"/>
        <v>0</v>
      </c>
      <c r="AN169">
        <f t="shared" si="76"/>
        <v>0</v>
      </c>
      <c r="AO169">
        <f t="shared" si="77"/>
        <v>0</v>
      </c>
    </row>
    <row r="170" spans="4:41" x14ac:dyDescent="0.25">
      <c r="D170" s="5">
        <v>41789</v>
      </c>
      <c r="E170" s="6">
        <v>40.43</v>
      </c>
      <c r="F170" s="6">
        <v>24.08</v>
      </c>
      <c r="G170" s="3">
        <f t="shared" si="55"/>
        <v>0.62213604417670287</v>
      </c>
      <c r="H170" s="3">
        <f t="shared" si="55"/>
        <v>-6.7655343827674477E-2</v>
      </c>
      <c r="I170" s="3">
        <f t="shared" si="52"/>
        <v>0.5911422425903855</v>
      </c>
      <c r="J170" s="3">
        <f t="shared" si="53"/>
        <v>-9.7336165543022934E-2</v>
      </c>
      <c r="K170" s="4"/>
      <c r="L170" s="3">
        <f t="shared" si="56"/>
        <v>4.5318950062879138</v>
      </c>
      <c r="M170" s="3">
        <f t="shared" si="57"/>
        <v>0.88263298122531086</v>
      </c>
      <c r="N170" s="3">
        <f t="shared" si="54"/>
        <v>0.88263298122531086</v>
      </c>
      <c r="O170" s="4"/>
      <c r="P170" s="3">
        <f t="shared" si="58"/>
        <v>0.58887201163473768</v>
      </c>
      <c r="Q170" s="3">
        <f t="shared" si="59"/>
        <v>-9.6565217208937751E-2</v>
      </c>
      <c r="R170" s="4"/>
      <c r="S170" s="3">
        <f t="shared" si="60"/>
        <v>3.9787769892389768</v>
      </c>
      <c r="T170" s="3">
        <f t="shared" si="61"/>
        <v>1.0053340538608782</v>
      </c>
      <c r="U170" s="3">
        <f t="shared" si="62"/>
        <v>1.0053340538608782</v>
      </c>
      <c r="V170" s="3">
        <f t="shared" si="63"/>
        <v>0.12487178542519572</v>
      </c>
      <c r="W170" s="4"/>
      <c r="X170" s="3">
        <f t="shared" si="64"/>
        <v>-0.89766463911476801</v>
      </c>
      <c r="Y170" s="14">
        <f t="shared" si="65"/>
        <v>-1.01461309352549</v>
      </c>
      <c r="Z170" s="15">
        <f t="shared" si="66"/>
        <v>-1.1368174524357073</v>
      </c>
      <c r="AA170" s="15">
        <f t="shared" si="67"/>
        <v>0.5911422425903855</v>
      </c>
      <c r="AB170" s="15">
        <f t="shared" si="68"/>
        <v>-9.7336165543022934E-2</v>
      </c>
      <c r="AC170" s="15">
        <f t="shared" si="69"/>
        <v>-1.0641030716123216</v>
      </c>
      <c r="AH170" s="15">
        <f t="shared" si="70"/>
        <v>0.57855032897465664</v>
      </c>
      <c r="AI170" s="15">
        <f t="shared" si="71"/>
        <v>-0.11124105902972067</v>
      </c>
      <c r="AJ170" s="18">
        <f t="shared" si="72"/>
        <v>4.550126375612666</v>
      </c>
      <c r="AK170">
        <f t="shared" si="73"/>
        <v>1</v>
      </c>
      <c r="AL170">
        <f t="shared" si="74"/>
        <v>0.43954823116988784</v>
      </c>
      <c r="AM170">
        <f t="shared" si="75"/>
        <v>1</v>
      </c>
      <c r="AN170">
        <f t="shared" si="76"/>
        <v>0.57855032897465664</v>
      </c>
      <c r="AO170">
        <f t="shared" si="77"/>
        <v>-0.11124105902972067</v>
      </c>
    </row>
    <row r="171" spans="4:41" x14ac:dyDescent="0.25">
      <c r="D171" s="5">
        <v>41788</v>
      </c>
      <c r="E171" s="6">
        <v>39.840000000000003</v>
      </c>
      <c r="F171" s="6">
        <v>24.14</v>
      </c>
      <c r="G171" s="3">
        <f t="shared" si="55"/>
        <v>0.35088078967350611</v>
      </c>
      <c r="H171" s="3">
        <f t="shared" si="55"/>
        <v>-0.15695222405271891</v>
      </c>
      <c r="I171" s="3">
        <f t="shared" si="52"/>
        <v>0.31988698808718874</v>
      </c>
      <c r="J171" s="3">
        <f t="shared" si="53"/>
        <v>-0.18663304576806736</v>
      </c>
      <c r="K171" s="4"/>
      <c r="L171" s="3">
        <f t="shared" si="56"/>
        <v>4.0383786221516207</v>
      </c>
      <c r="M171" s="3">
        <f t="shared" si="57"/>
        <v>0.99049652701183011</v>
      </c>
      <c r="N171" s="3">
        <f t="shared" si="54"/>
        <v>0.99049652701183011</v>
      </c>
      <c r="O171" s="4"/>
      <c r="P171" s="3">
        <f t="shared" si="58"/>
        <v>0.31761675713154092</v>
      </c>
      <c r="Q171" s="3">
        <f t="shared" si="59"/>
        <v>-0.18586209743398219</v>
      </c>
      <c r="R171" s="4"/>
      <c r="S171" s="3">
        <f t="shared" si="60"/>
        <v>3.6570941727456558</v>
      </c>
      <c r="T171" s="3">
        <f t="shared" si="61"/>
        <v>1.0937645603468009</v>
      </c>
      <c r="U171" s="3">
        <f t="shared" si="62"/>
        <v>1.0937645603468009</v>
      </c>
      <c r="V171" s="3">
        <f t="shared" si="63"/>
        <v>4.0565495327271606E-2</v>
      </c>
      <c r="W171" s="4"/>
      <c r="X171" s="3">
        <f t="shared" si="64"/>
        <v>-0.83229384225646519</v>
      </c>
      <c r="Y171" s="14">
        <f t="shared" si="65"/>
        <v>-0.68200499649702417</v>
      </c>
      <c r="Z171" s="15">
        <f t="shared" si="66"/>
        <v>-0.67562987068258606</v>
      </c>
      <c r="AA171" s="15">
        <f t="shared" si="67"/>
        <v>0.31988698808718874</v>
      </c>
      <c r="AB171" s="15">
        <f t="shared" si="68"/>
        <v>-0.18663304576806736</v>
      </c>
      <c r="AC171" s="15">
        <f t="shared" si="69"/>
        <v>-0.73368891641989575</v>
      </c>
      <c r="AH171" s="15">
        <f t="shared" si="70"/>
        <v>0.30729507447145993</v>
      </c>
      <c r="AI171" s="15">
        <f t="shared" si="71"/>
        <v>-0.2005379392547651</v>
      </c>
      <c r="AJ171" s="18">
        <f t="shared" si="72"/>
        <v>3.1376092038374495</v>
      </c>
      <c r="AK171">
        <f t="shared" si="73"/>
        <v>1</v>
      </c>
      <c r="AL171">
        <f t="shared" si="74"/>
        <v>0.63742801288124162</v>
      </c>
      <c r="AM171">
        <f t="shared" si="75"/>
        <v>1</v>
      </c>
      <c r="AN171">
        <f t="shared" si="76"/>
        <v>0.30729507447145993</v>
      </c>
      <c r="AO171">
        <f t="shared" si="77"/>
        <v>-0.2005379392547651</v>
      </c>
    </row>
    <row r="172" spans="4:41" x14ac:dyDescent="0.25">
      <c r="D172" s="5">
        <v>41787</v>
      </c>
      <c r="E172" s="6">
        <v>39.51</v>
      </c>
      <c r="F172" s="6">
        <v>24.28</v>
      </c>
      <c r="G172" s="3">
        <f t="shared" si="55"/>
        <v>-0.19052154195011309</v>
      </c>
      <c r="H172" s="3">
        <f t="shared" si="55"/>
        <v>0.12388084402151361</v>
      </c>
      <c r="I172" s="3">
        <f t="shared" si="52"/>
        <v>-0.22151534353643043</v>
      </c>
      <c r="J172" s="3">
        <f t="shared" si="53"/>
        <v>9.4200022306165171E-2</v>
      </c>
      <c r="K172" s="4"/>
      <c r="L172" s="3">
        <f t="shared" si="56"/>
        <v>3.3687587086086976</v>
      </c>
      <c r="M172" s="3">
        <f t="shared" si="57"/>
        <v>1.1873809750096367</v>
      </c>
      <c r="N172" s="3">
        <f t="shared" si="54"/>
        <v>1.1873809750096367</v>
      </c>
      <c r="O172" s="4"/>
      <c r="P172" s="3">
        <f t="shared" si="58"/>
        <v>-0.22378557449207825</v>
      </c>
      <c r="Q172" s="3">
        <f t="shared" si="59"/>
        <v>9.4970970640250341E-2</v>
      </c>
      <c r="R172" s="4"/>
      <c r="S172" s="3">
        <f t="shared" si="60"/>
        <v>3.2409791547948128</v>
      </c>
      <c r="T172" s="3">
        <f t="shared" si="61"/>
        <v>1.2341949173237559</v>
      </c>
      <c r="U172" s="3">
        <f t="shared" si="62"/>
        <v>1.2341949173237559</v>
      </c>
      <c r="V172" s="3">
        <f t="shared" si="63"/>
        <v>-8.0227662907494945E-2</v>
      </c>
      <c r="W172" s="4"/>
      <c r="X172" s="3">
        <f t="shared" si="64"/>
        <v>-0.80166085241389129</v>
      </c>
      <c r="Y172" s="14">
        <f t="shared" si="65"/>
        <v>-0.22014161253400544</v>
      </c>
      <c r="Z172" s="15">
        <f t="shared" si="66"/>
        <v>4.956588723736155E-2</v>
      </c>
      <c r="AA172" s="15">
        <f t="shared" si="67"/>
        <v>-0.22151534353643043</v>
      </c>
      <c r="AB172" s="15">
        <f t="shared" si="68"/>
        <v>9.4200022306165171E-2</v>
      </c>
      <c r="AC172" s="15">
        <f t="shared" si="69"/>
        <v>-0.23670005764608587</v>
      </c>
      <c r="AH172" s="15">
        <f t="shared" si="70"/>
        <v>-0.23410725715215927</v>
      </c>
      <c r="AI172" s="15">
        <f t="shared" si="71"/>
        <v>8.0295128819467432E-2</v>
      </c>
      <c r="AJ172" s="18">
        <f t="shared" si="72"/>
        <v>1.0153028149216268</v>
      </c>
      <c r="AK172">
        <f t="shared" si="73"/>
        <v>1</v>
      </c>
      <c r="AL172">
        <f t="shared" si="74"/>
        <v>1</v>
      </c>
      <c r="AM172">
        <f t="shared" si="75"/>
        <v>0</v>
      </c>
      <c r="AN172">
        <f t="shared" si="76"/>
        <v>0</v>
      </c>
      <c r="AO172">
        <f t="shared" si="77"/>
        <v>0</v>
      </c>
    </row>
    <row r="173" spans="4:41" x14ac:dyDescent="0.25">
      <c r="D173" s="5">
        <v>41786</v>
      </c>
      <c r="E173" s="6">
        <v>39.69</v>
      </c>
      <c r="F173" s="6">
        <v>24.17</v>
      </c>
      <c r="G173" s="3">
        <f t="shared" si="55"/>
        <v>7.4222614840989701E-2</v>
      </c>
      <c r="H173" s="3">
        <f t="shared" si="55"/>
        <v>0.20423509795748601</v>
      </c>
      <c r="I173" s="3">
        <f t="shared" si="52"/>
        <v>4.3228813254672351E-2</v>
      </c>
      <c r="J173" s="3">
        <f t="shared" si="53"/>
        <v>0.17455427624213757</v>
      </c>
      <c r="K173" s="4"/>
      <c r="L173" s="3">
        <f t="shared" si="56"/>
        <v>3.3010169556377695</v>
      </c>
      <c r="M173" s="3">
        <f t="shared" si="57"/>
        <v>1.2117477897738287</v>
      </c>
      <c r="N173" s="3">
        <f t="shared" si="54"/>
        <v>1.2117477897738287</v>
      </c>
      <c r="O173" s="4"/>
      <c r="P173" s="3">
        <f t="shared" si="58"/>
        <v>4.0958582299024535E-2</v>
      </c>
      <c r="Q173" s="3">
        <f t="shared" si="59"/>
        <v>0.17532522457622274</v>
      </c>
      <c r="R173" s="4"/>
      <c r="S173" s="3">
        <f t="shared" si="60"/>
        <v>3.1929500899316725</v>
      </c>
      <c r="T173" s="3">
        <f t="shared" si="61"/>
        <v>1.2527599515611589</v>
      </c>
      <c r="U173" s="3">
        <f t="shared" si="62"/>
        <v>1.2527599515611589</v>
      </c>
      <c r="V173" s="3">
        <f t="shared" si="63"/>
        <v>-9.5157741878404423E-2</v>
      </c>
      <c r="W173" s="4"/>
      <c r="X173" s="3">
        <f t="shared" si="64"/>
        <v>-0.80341992464157164</v>
      </c>
      <c r="Y173" s="14">
        <f t="shared" si="65"/>
        <v>-0.1642904468655389</v>
      </c>
      <c r="Z173" s="15">
        <f t="shared" si="66"/>
        <v>0.13082089289411175</v>
      </c>
      <c r="AA173" s="15">
        <f t="shared" si="67"/>
        <v>4.3228813254672351E-2</v>
      </c>
      <c r="AB173" s="15">
        <f t="shared" si="68"/>
        <v>0.17455427624213757</v>
      </c>
      <c r="AC173" s="15">
        <f t="shared" si="69"/>
        <v>-0.18280405786904236</v>
      </c>
      <c r="AH173" s="15">
        <f t="shared" si="70"/>
        <v>3.0636899638943511E-2</v>
      </c>
      <c r="AI173" s="15">
        <f t="shared" si="71"/>
        <v>0.16064938275543983</v>
      </c>
      <c r="AJ173" s="18">
        <f t="shared" si="72"/>
        <v>0.75992709836453942</v>
      </c>
      <c r="AK173">
        <f t="shared" si="73"/>
        <v>1</v>
      </c>
      <c r="AL173">
        <f t="shared" si="74"/>
        <v>1</v>
      </c>
      <c r="AM173">
        <f t="shared" si="75"/>
        <v>0</v>
      </c>
      <c r="AN173">
        <f t="shared" si="76"/>
        <v>0</v>
      </c>
      <c r="AO173">
        <f t="shared" si="77"/>
        <v>0</v>
      </c>
    </row>
    <row r="174" spans="4:41" x14ac:dyDescent="0.25">
      <c r="D174" s="5">
        <v>41782</v>
      </c>
      <c r="E174" s="6">
        <v>39.619999999999997</v>
      </c>
      <c r="F174" s="6">
        <v>23.99</v>
      </c>
      <c r="G174" s="3">
        <f t="shared" si="55"/>
        <v>2.1217171717167495E-2</v>
      </c>
      <c r="H174" s="3">
        <f t="shared" si="55"/>
        <v>0.15978197064989175</v>
      </c>
      <c r="I174" s="3">
        <f t="shared" si="52"/>
        <v>-9.7766298691498547E-3</v>
      </c>
      <c r="J174" s="3">
        <f t="shared" si="53"/>
        <v>0.1301011489345433</v>
      </c>
      <c r="K174" s="4"/>
      <c r="L174" s="3">
        <f t="shared" si="56"/>
        <v>3.1942750443289176</v>
      </c>
      <c r="M174" s="3">
        <f t="shared" si="57"/>
        <v>1.2522403188484217</v>
      </c>
      <c r="N174" s="3">
        <f t="shared" si="54"/>
        <v>1.2522403188484217</v>
      </c>
      <c r="O174" s="4"/>
      <c r="P174" s="3">
        <f t="shared" si="58"/>
        <v>-1.2046860824797671E-2</v>
      </c>
      <c r="Q174" s="3">
        <f t="shared" si="59"/>
        <v>0.13087209726862847</v>
      </c>
      <c r="R174" s="4"/>
      <c r="S174" s="3">
        <f t="shared" si="60"/>
        <v>3.1255624310942549</v>
      </c>
      <c r="T174" s="3">
        <f t="shared" si="61"/>
        <v>1.2797696696781724</v>
      </c>
      <c r="U174" s="3">
        <f t="shared" si="62"/>
        <v>1.2797696696781724</v>
      </c>
      <c r="V174" s="3">
        <f t="shared" si="63"/>
        <v>-0.11648855372414779</v>
      </c>
      <c r="W174" s="4"/>
      <c r="X174" s="3">
        <f t="shared" si="64"/>
        <v>-0.80816264560584106</v>
      </c>
      <c r="Y174" s="14">
        <f t="shared" si="65"/>
        <v>-8.4975314800062457E-2</v>
      </c>
      <c r="Z174" s="15">
        <f t="shared" si="66"/>
        <v>0.26230261478913902</v>
      </c>
      <c r="AA174" s="15">
        <f t="shared" si="67"/>
        <v>-9.7766298691498547E-3</v>
      </c>
      <c r="AB174" s="15">
        <f t="shared" si="68"/>
        <v>0.1301011489345433</v>
      </c>
      <c r="AC174" s="15">
        <f t="shared" si="69"/>
        <v>-9.6377427265443572E-2</v>
      </c>
      <c r="AH174" s="15">
        <f t="shared" si="70"/>
        <v>-2.2368543484878694E-2</v>
      </c>
      <c r="AI174" s="15">
        <f t="shared" si="71"/>
        <v>0.11619625544784556</v>
      </c>
      <c r="AJ174" s="18">
        <f t="shared" si="72"/>
        <v>0.47813333692908061</v>
      </c>
      <c r="AK174">
        <f t="shared" si="73"/>
        <v>1</v>
      </c>
      <c r="AL174">
        <f t="shared" si="74"/>
        <v>1</v>
      </c>
      <c r="AM174">
        <f t="shared" si="75"/>
        <v>0</v>
      </c>
      <c r="AN174">
        <f t="shared" si="76"/>
        <v>0</v>
      </c>
      <c r="AO174">
        <f t="shared" si="77"/>
        <v>0</v>
      </c>
    </row>
    <row r="175" spans="4:41" x14ac:dyDescent="0.25">
      <c r="D175" s="5">
        <v>41781</v>
      </c>
      <c r="E175" s="6">
        <v>39.6</v>
      </c>
      <c r="F175" s="6">
        <v>23.85</v>
      </c>
      <c r="G175" s="3">
        <f t="shared" si="55"/>
        <v>-0.26355081555834381</v>
      </c>
      <c r="H175" s="3">
        <f t="shared" si="55"/>
        <v>-0.11365344467640676</v>
      </c>
      <c r="I175" s="3">
        <f t="shared" si="52"/>
        <v>-0.29454461714466118</v>
      </c>
      <c r="J175" s="3">
        <f t="shared" si="53"/>
        <v>-0.1433342663917552</v>
      </c>
      <c r="K175" s="4"/>
      <c r="L175" s="3">
        <f t="shared" si="56"/>
        <v>3.2705264764173485</v>
      </c>
      <c r="M175" s="3">
        <f t="shared" si="57"/>
        <v>1.2230446776207551</v>
      </c>
      <c r="N175" s="3">
        <f t="shared" si="54"/>
        <v>1.2230446776207551</v>
      </c>
      <c r="O175" s="4"/>
      <c r="P175" s="3">
        <f t="shared" si="58"/>
        <v>-0.296814848100309</v>
      </c>
      <c r="Q175" s="3">
        <f t="shared" si="59"/>
        <v>-0.14256331805767003</v>
      </c>
      <c r="R175" s="4"/>
      <c r="S175" s="3">
        <f t="shared" si="60"/>
        <v>3.1739266130420911</v>
      </c>
      <c r="T175" s="3">
        <f t="shared" si="61"/>
        <v>1.2602685845234929</v>
      </c>
      <c r="U175" s="3">
        <f t="shared" si="62"/>
        <v>1.2602685845234929</v>
      </c>
      <c r="V175" s="3">
        <f t="shared" si="63"/>
        <v>-0.101133465196801</v>
      </c>
      <c r="W175" s="4"/>
      <c r="X175" s="3">
        <f t="shared" si="64"/>
        <v>-0.80448224139405777</v>
      </c>
      <c r="Y175" s="14">
        <f t="shared" si="65"/>
        <v>-0.14201359813866052</v>
      </c>
      <c r="Z175" s="15">
        <f t="shared" si="66"/>
        <v>0.16793935473877797</v>
      </c>
      <c r="AA175" s="15">
        <f t="shared" si="67"/>
        <v>-0.29454461714466118</v>
      </c>
      <c r="AB175" s="15">
        <f t="shared" si="68"/>
        <v>-0.1433342663917552</v>
      </c>
      <c r="AC175" s="15">
        <f t="shared" si="69"/>
        <v>-0.15830650552080353</v>
      </c>
      <c r="AH175" s="15">
        <f t="shared" si="70"/>
        <v>-0.30713653076038999</v>
      </c>
      <c r="AI175" s="15">
        <f t="shared" si="71"/>
        <v>-0.15723915987845294</v>
      </c>
      <c r="AJ175" s="18">
        <f t="shared" si="72"/>
        <v>0.92993393562764215</v>
      </c>
      <c r="AK175">
        <f t="shared" si="73"/>
        <v>1</v>
      </c>
      <c r="AL175">
        <f t="shared" si="74"/>
        <v>1</v>
      </c>
      <c r="AM175">
        <f t="shared" si="75"/>
        <v>0</v>
      </c>
      <c r="AN175">
        <f t="shared" si="76"/>
        <v>0</v>
      </c>
      <c r="AO175">
        <f t="shared" si="77"/>
        <v>0</v>
      </c>
    </row>
    <row r="176" spans="4:41" x14ac:dyDescent="0.25">
      <c r="D176" s="5">
        <v>41780</v>
      </c>
      <c r="E176" s="6">
        <v>39.85</v>
      </c>
      <c r="F176" s="6">
        <v>23.95</v>
      </c>
      <c r="G176" s="3">
        <f t="shared" si="55"/>
        <v>0.70749170706813358</v>
      </c>
      <c r="H176" s="3">
        <f t="shared" si="55"/>
        <v>0.41539635438745159</v>
      </c>
      <c r="I176" s="3">
        <f t="shared" si="52"/>
        <v>0.67649790548181621</v>
      </c>
      <c r="J176" s="3">
        <f t="shared" si="53"/>
        <v>0.38571553267210312</v>
      </c>
      <c r="K176" s="4"/>
      <c r="L176" s="3">
        <f t="shared" si="56"/>
        <v>4.6630886275253269</v>
      </c>
      <c r="M176" s="3">
        <f t="shared" si="57"/>
        <v>0.85780055227532226</v>
      </c>
      <c r="N176" s="3">
        <f t="shared" si="54"/>
        <v>0.85780055227532226</v>
      </c>
      <c r="O176" s="4"/>
      <c r="P176" s="3">
        <f t="shared" si="58"/>
        <v>0.67422767452616839</v>
      </c>
      <c r="Q176" s="3">
        <f t="shared" si="59"/>
        <v>0.38648648100618832</v>
      </c>
      <c r="R176" s="4"/>
      <c r="S176" s="3">
        <f t="shared" si="60"/>
        <v>4.0594573849208091</v>
      </c>
      <c r="T176" s="3">
        <f t="shared" si="61"/>
        <v>0.985353366402695</v>
      </c>
      <c r="U176" s="3">
        <f t="shared" si="62"/>
        <v>0.985353366402695</v>
      </c>
      <c r="V176" s="3">
        <f t="shared" si="63"/>
        <v>0.1449468889647143</v>
      </c>
      <c r="W176" s="4"/>
      <c r="X176" s="3">
        <f t="shared" si="64"/>
        <v>-0.91817323471717671</v>
      </c>
      <c r="Y176" s="14">
        <f t="shared" si="65"/>
        <v>-1.0950199606392503</v>
      </c>
      <c r="Z176" s="15">
        <f t="shared" si="66"/>
        <v>-1.2509688463796931</v>
      </c>
      <c r="AA176" s="15">
        <f t="shared" si="67"/>
        <v>0.67649790548181621</v>
      </c>
      <c r="AB176" s="15">
        <f t="shared" si="68"/>
        <v>0.38571553267210312</v>
      </c>
      <c r="AC176" s="15">
        <f t="shared" si="69"/>
        <v>-1.147532474578578</v>
      </c>
      <c r="AH176" s="15">
        <f t="shared" si="70"/>
        <v>0.66390599186608734</v>
      </c>
      <c r="AI176" s="15">
        <f t="shared" si="71"/>
        <v>0.37181063918540541</v>
      </c>
      <c r="AJ176" s="18">
        <f t="shared" si="72"/>
        <v>4.7440181484894879</v>
      </c>
      <c r="AK176">
        <f t="shared" si="73"/>
        <v>1</v>
      </c>
      <c r="AL176">
        <f t="shared" si="74"/>
        <v>0.42158354740628617</v>
      </c>
      <c r="AM176">
        <f t="shared" si="75"/>
        <v>1</v>
      </c>
      <c r="AN176">
        <f t="shared" si="76"/>
        <v>0.66390599186608734</v>
      </c>
      <c r="AO176">
        <f t="shared" si="77"/>
        <v>0.37181063918540541</v>
      </c>
    </row>
    <row r="177" spans="4:41" x14ac:dyDescent="0.25">
      <c r="D177" s="5">
        <v>41779</v>
      </c>
      <c r="E177" s="6">
        <v>39.19</v>
      </c>
      <c r="F177" s="6">
        <v>23.59</v>
      </c>
      <c r="G177" s="3">
        <f t="shared" si="55"/>
        <v>-7.4903209373408358E-2</v>
      </c>
      <c r="H177" s="3">
        <f t="shared" si="55"/>
        <v>-0.26282955499580235</v>
      </c>
      <c r="I177" s="3">
        <f t="shared" si="52"/>
        <v>-0.1058970109597257</v>
      </c>
      <c r="J177" s="3">
        <f t="shared" si="53"/>
        <v>-0.29251037671115082</v>
      </c>
      <c r="K177" s="4"/>
      <c r="L177" s="3">
        <f t="shared" si="56"/>
        <v>3.8104467962374722</v>
      </c>
      <c r="M177" s="3">
        <f t="shared" si="57"/>
        <v>1.0497456634087365</v>
      </c>
      <c r="N177" s="3">
        <f t="shared" si="54"/>
        <v>1.0497456634087365</v>
      </c>
      <c r="O177" s="4"/>
      <c r="P177" s="3">
        <f t="shared" si="58"/>
        <v>-0.10816724191537352</v>
      </c>
      <c r="Q177" s="3">
        <f t="shared" si="59"/>
        <v>-0.29173942837706562</v>
      </c>
      <c r="R177" s="4"/>
      <c r="S177" s="3">
        <f t="shared" si="60"/>
        <v>3.5075817562400746</v>
      </c>
      <c r="T177" s="3">
        <f t="shared" si="61"/>
        <v>1.1403868186062667</v>
      </c>
      <c r="U177" s="3">
        <f t="shared" si="62"/>
        <v>1.1403868186062667</v>
      </c>
      <c r="V177" s="3">
        <f t="shared" si="63"/>
        <v>-1.1766353813502661E-3</v>
      </c>
      <c r="W177" s="4"/>
      <c r="X177" s="3">
        <f t="shared" si="64"/>
        <v>-0.81295781577564097</v>
      </c>
      <c r="Y177" s="14">
        <f t="shared" si="65"/>
        <v>-0.52041135000687699</v>
      </c>
      <c r="Z177" s="15">
        <f t="shared" si="66"/>
        <v>-0.44324255607936036</v>
      </c>
      <c r="AA177" s="15">
        <f t="shared" si="67"/>
        <v>-0.1058970109597257</v>
      </c>
      <c r="AB177" s="15">
        <f t="shared" si="68"/>
        <v>-0.29251037671115082</v>
      </c>
      <c r="AC177" s="15">
        <f t="shared" si="69"/>
        <v>-0.5713564665506915</v>
      </c>
      <c r="AH177" s="15">
        <f t="shared" si="70"/>
        <v>-0.11848892457545454</v>
      </c>
      <c r="AI177" s="15">
        <f t="shared" si="71"/>
        <v>-0.30641527019784853</v>
      </c>
      <c r="AJ177" s="18">
        <f t="shared" si="72"/>
        <v>2.5784071252637419</v>
      </c>
      <c r="AK177">
        <f t="shared" si="73"/>
        <v>1</v>
      </c>
      <c r="AL177">
        <f t="shared" si="74"/>
        <v>0.77567269358031365</v>
      </c>
      <c r="AM177">
        <f t="shared" si="75"/>
        <v>0</v>
      </c>
      <c r="AN177">
        <f t="shared" si="76"/>
        <v>0</v>
      </c>
      <c r="AO177">
        <f t="shared" si="77"/>
        <v>0</v>
      </c>
    </row>
    <row r="178" spans="4:41" x14ac:dyDescent="0.25">
      <c r="D178" s="5">
        <v>41778</v>
      </c>
      <c r="E178" s="6">
        <v>39.26</v>
      </c>
      <c r="F178" s="6">
        <v>23.82</v>
      </c>
      <c r="G178" s="3">
        <f t="shared" si="55"/>
        <v>-7.4769895753877741E-2</v>
      </c>
      <c r="H178" s="3">
        <f t="shared" si="55"/>
        <v>-2.2835570469798169E-2</v>
      </c>
      <c r="I178" s="3">
        <f t="shared" si="52"/>
        <v>-0.10576369734019508</v>
      </c>
      <c r="J178" s="3">
        <f t="shared" si="53"/>
        <v>-5.2516392185146615E-2</v>
      </c>
      <c r="K178" s="4"/>
      <c r="L178" s="3">
        <f t="shared" si="56"/>
        <v>3.0354748877107856</v>
      </c>
      <c r="M178" s="3">
        <f t="shared" si="57"/>
        <v>1.3177509773492524</v>
      </c>
      <c r="N178" s="3">
        <f t="shared" si="54"/>
        <v>1.3177509773492524</v>
      </c>
      <c r="O178" s="4"/>
      <c r="P178" s="3">
        <f t="shared" si="58"/>
        <v>-0.10803392829584291</v>
      </c>
      <c r="Q178" s="3">
        <f t="shared" si="59"/>
        <v>-5.1745443851061439E-2</v>
      </c>
      <c r="R178" s="4"/>
      <c r="S178" s="3">
        <f t="shared" si="60"/>
        <v>3.0229921738017413</v>
      </c>
      <c r="T178" s="3">
        <f t="shared" si="61"/>
        <v>1.3231923108056098</v>
      </c>
      <c r="U178" s="3">
        <f t="shared" si="62"/>
        <v>1.3231923108056098</v>
      </c>
      <c r="V178" s="3">
        <f t="shared" si="63"/>
        <v>-0.14985522740151858</v>
      </c>
      <c r="W178" s="4"/>
      <c r="X178" s="3">
        <f t="shared" si="64"/>
        <v>-0.82096588295027884</v>
      </c>
      <c r="Y178" s="14">
        <f t="shared" si="65"/>
        <v>3.7951441875926459E-2</v>
      </c>
      <c r="Z178" s="15">
        <f t="shared" si="66"/>
        <v>0.46627171964106112</v>
      </c>
      <c r="AA178" s="15">
        <f t="shared" si="67"/>
        <v>-0.10576369734019508</v>
      </c>
      <c r="AB178" s="15">
        <f t="shared" si="68"/>
        <v>-5.2516392185146615E-2</v>
      </c>
      <c r="AC178" s="15">
        <f t="shared" si="69"/>
        <v>3.5757380904661226E-2</v>
      </c>
      <c r="AH178" s="15">
        <f t="shared" si="70"/>
        <v>-0.11835561095592392</v>
      </c>
      <c r="AI178" s="15">
        <f t="shared" si="71"/>
        <v>-6.6421285671844355E-2</v>
      </c>
      <c r="AJ178" s="18">
        <f t="shared" si="72"/>
        <v>0.15110177737334124</v>
      </c>
      <c r="AK178">
        <f t="shared" si="73"/>
        <v>1</v>
      </c>
      <c r="AL178">
        <f t="shared" si="74"/>
        <v>1</v>
      </c>
      <c r="AM178">
        <f t="shared" si="75"/>
        <v>0</v>
      </c>
      <c r="AN178">
        <f t="shared" si="76"/>
        <v>0</v>
      </c>
      <c r="AO178">
        <f t="shared" si="77"/>
        <v>0</v>
      </c>
    </row>
    <row r="179" spans="4:41" x14ac:dyDescent="0.25">
      <c r="D179" s="5">
        <v>41775</v>
      </c>
      <c r="E179" s="6">
        <v>39.33</v>
      </c>
      <c r="F179" s="6">
        <v>23.84</v>
      </c>
      <c r="G179" s="3">
        <f t="shared" si="55"/>
        <v>0.23631296343646005</v>
      </c>
      <c r="H179" s="3">
        <f t="shared" si="55"/>
        <v>0.21868076109936724</v>
      </c>
      <c r="I179" s="3">
        <f t="shared" si="52"/>
        <v>0.20531916185014271</v>
      </c>
      <c r="J179" s="3">
        <f t="shared" si="53"/>
        <v>0.18899993938401879</v>
      </c>
      <c r="K179" s="4"/>
      <c r="L179" s="3">
        <f t="shared" si="56"/>
        <v>3.3151707213206438</v>
      </c>
      <c r="M179" s="3">
        <f t="shared" si="57"/>
        <v>1.2065743626037289</v>
      </c>
      <c r="N179" s="3">
        <f t="shared" si="54"/>
        <v>1.2065743626037289</v>
      </c>
      <c r="O179" s="4"/>
      <c r="P179" s="3">
        <f t="shared" si="58"/>
        <v>0.20304893089449488</v>
      </c>
      <c r="Q179" s="3">
        <f t="shared" si="59"/>
        <v>0.18977088771810396</v>
      </c>
      <c r="R179" s="4"/>
      <c r="S179" s="3">
        <f t="shared" si="60"/>
        <v>3.2005418128092571</v>
      </c>
      <c r="T179" s="3">
        <f t="shared" si="61"/>
        <v>1.2497883902004152</v>
      </c>
      <c r="U179" s="3">
        <f t="shared" si="62"/>
        <v>1.2497883902004152</v>
      </c>
      <c r="V179" s="3">
        <f t="shared" si="63"/>
        <v>-9.2782934738577794E-2</v>
      </c>
      <c r="W179" s="4"/>
      <c r="X179" s="3">
        <f t="shared" si="64"/>
        <v>-0.80305485723243653</v>
      </c>
      <c r="Y179" s="14">
        <f t="shared" si="65"/>
        <v>-0.17315577858483211</v>
      </c>
      <c r="Z179" s="15">
        <f t="shared" si="66"/>
        <v>0.11370676256368972</v>
      </c>
      <c r="AA179" s="15">
        <f t="shared" si="67"/>
        <v>0.20531916185014271</v>
      </c>
      <c r="AB179" s="15">
        <f t="shared" si="68"/>
        <v>0.18899993938401879</v>
      </c>
      <c r="AC179" s="15">
        <f t="shared" si="69"/>
        <v>-0.19412510248824133</v>
      </c>
      <c r="AH179" s="15">
        <f t="shared" si="70"/>
        <v>0.19272724823441387</v>
      </c>
      <c r="AI179" s="15">
        <f t="shared" si="71"/>
        <v>0.17509504589732106</v>
      </c>
      <c r="AJ179" s="18">
        <f t="shared" si="72"/>
        <v>0.80800911825142829</v>
      </c>
      <c r="AK179">
        <f t="shared" si="73"/>
        <v>1</v>
      </c>
      <c r="AL179">
        <f t="shared" si="74"/>
        <v>1</v>
      </c>
      <c r="AM179">
        <f t="shared" si="75"/>
        <v>0</v>
      </c>
      <c r="AN179">
        <f t="shared" si="76"/>
        <v>0</v>
      </c>
      <c r="AO179">
        <f t="shared" si="77"/>
        <v>0</v>
      </c>
    </row>
    <row r="180" spans="4:41" x14ac:dyDescent="0.25">
      <c r="D180" s="5">
        <v>41774</v>
      </c>
      <c r="E180" s="6">
        <v>39.11</v>
      </c>
      <c r="F180" s="6">
        <v>23.65</v>
      </c>
      <c r="G180" s="3">
        <f t="shared" si="55"/>
        <v>-0.6659864116758959</v>
      </c>
      <c r="H180" s="3">
        <f t="shared" si="55"/>
        <v>1.6349081129538321</v>
      </c>
      <c r="I180" s="3">
        <f t="shared" si="52"/>
        <v>-0.69698021326221327</v>
      </c>
      <c r="J180" s="3">
        <f t="shared" si="53"/>
        <v>1.6052272912384837</v>
      </c>
      <c r="K180" s="4"/>
      <c r="L180" s="3">
        <f t="shared" si="56"/>
        <v>39.161345437320989</v>
      </c>
      <c r="M180" s="3">
        <f t="shared" si="57"/>
        <v>0.10214153664363065</v>
      </c>
      <c r="N180" s="3">
        <f t="shared" si="54"/>
        <v>0.10214153664363065</v>
      </c>
      <c r="O180" s="4"/>
      <c r="P180" s="3">
        <f t="shared" si="58"/>
        <v>-0.69925044421786109</v>
      </c>
      <c r="Q180" s="3">
        <f t="shared" si="59"/>
        <v>1.6059982395725689</v>
      </c>
      <c r="R180" s="4"/>
      <c r="S180" s="3">
        <f t="shared" si="60"/>
        <v>25.992712706707469</v>
      </c>
      <c r="T180" s="3">
        <f t="shared" si="61"/>
        <v>0.15388928601391391</v>
      </c>
      <c r="U180" s="3">
        <f t="shared" si="62"/>
        <v>0.15388928601391391</v>
      </c>
      <c r="V180" s="3">
        <f t="shared" si="63"/>
        <v>2.0019130971338228</v>
      </c>
      <c r="W180" s="4"/>
      <c r="X180" s="3">
        <f t="shared" si="64"/>
        <v>-7.4835220254074368</v>
      </c>
      <c r="Y180" s="14">
        <f t="shared" si="65"/>
        <v>-9.9597243212278386</v>
      </c>
      <c r="Z180" s="15">
        <f t="shared" si="66"/>
        <v>-9.7630174476577274</v>
      </c>
      <c r="AA180" s="15">
        <f t="shared" si="67"/>
        <v>-0.69698021326221327</v>
      </c>
      <c r="AB180" s="15">
        <f t="shared" si="68"/>
        <v>1.6052272912384837</v>
      </c>
      <c r="AC180" s="15">
        <f t="shared" si="69"/>
        <v>-8.5900501012755939</v>
      </c>
      <c r="AH180" s="15">
        <f t="shared" si="70"/>
        <v>-0.70957212687794213</v>
      </c>
      <c r="AI180" s="15">
        <f t="shared" si="71"/>
        <v>1.5913223977517859</v>
      </c>
      <c r="AJ180" s="18">
        <f t="shared" si="72"/>
        <v>103.51696291514313</v>
      </c>
      <c r="AK180">
        <f t="shared" si="73"/>
        <v>0.29485975058993835</v>
      </c>
      <c r="AL180">
        <f t="shared" si="74"/>
        <v>1.9320505003991257E-2</v>
      </c>
      <c r="AM180">
        <f t="shared" si="75"/>
        <v>1</v>
      </c>
      <c r="AN180">
        <f t="shared" si="76"/>
        <v>-0.70957212687794213</v>
      </c>
      <c r="AO180">
        <f t="shared" si="77"/>
        <v>1.5913223977517859</v>
      </c>
    </row>
    <row r="181" spans="4:41" x14ac:dyDescent="0.25">
      <c r="D181" s="5">
        <v>41773</v>
      </c>
      <c r="E181" s="6">
        <v>39.74</v>
      </c>
      <c r="F181" s="6">
        <v>22.31</v>
      </c>
      <c r="G181" s="3">
        <f t="shared" si="55"/>
        <v>-0.18942384769539045</v>
      </c>
      <c r="H181" s="3">
        <f t="shared" si="55"/>
        <v>-6.0867620751342548E-2</v>
      </c>
      <c r="I181" s="3">
        <f t="shared" si="52"/>
        <v>-0.22041764928170779</v>
      </c>
      <c r="J181" s="3">
        <f t="shared" si="53"/>
        <v>-9.0548442466690998E-2</v>
      </c>
      <c r="K181" s="4"/>
      <c r="L181" s="3">
        <f t="shared" si="56"/>
        <v>3.135235877539579</v>
      </c>
      <c r="M181" s="3">
        <f t="shared" si="57"/>
        <v>1.2758210725564474</v>
      </c>
      <c r="N181" s="3">
        <f t="shared" si="54"/>
        <v>1.2758210725564474</v>
      </c>
      <c r="O181" s="4"/>
      <c r="P181" s="3">
        <f t="shared" si="58"/>
        <v>-0.22268788023735561</v>
      </c>
      <c r="Q181" s="3">
        <f t="shared" si="59"/>
        <v>-8.9777494132605815E-2</v>
      </c>
      <c r="R181" s="4"/>
      <c r="S181" s="3">
        <f t="shared" si="60"/>
        <v>3.0877733260188283</v>
      </c>
      <c r="T181" s="3">
        <f t="shared" si="61"/>
        <v>1.2954318784654237</v>
      </c>
      <c r="U181" s="3">
        <f t="shared" si="62"/>
        <v>1.2954318784654237</v>
      </c>
      <c r="V181" s="3">
        <f t="shared" si="63"/>
        <v>-0.12865242489001893</v>
      </c>
      <c r="W181" s="4"/>
      <c r="X181" s="3">
        <f t="shared" si="64"/>
        <v>-0.81206067375551472</v>
      </c>
      <c r="Y181" s="14">
        <f t="shared" si="65"/>
        <v>-4.0000252111604295E-2</v>
      </c>
      <c r="Z181" s="15">
        <f t="shared" si="66"/>
        <v>0.3369256051916274</v>
      </c>
      <c r="AA181" s="15">
        <f t="shared" si="67"/>
        <v>-0.22041764928170779</v>
      </c>
      <c r="AB181" s="15">
        <f t="shared" si="68"/>
        <v>-9.0548442466690998E-2</v>
      </c>
      <c r="AC181" s="15">
        <f t="shared" si="69"/>
        <v>-4.7760254599554353E-2</v>
      </c>
      <c r="AH181" s="15">
        <f t="shared" si="70"/>
        <v>-0.23300956289743663</v>
      </c>
      <c r="AI181" s="15">
        <f t="shared" si="71"/>
        <v>-0.10445333595338874</v>
      </c>
      <c r="AJ181" s="18">
        <f t="shared" si="72"/>
        <v>0.48254936141642318</v>
      </c>
      <c r="AK181">
        <f t="shared" si="73"/>
        <v>1</v>
      </c>
      <c r="AL181">
        <f t="shared" si="74"/>
        <v>1</v>
      </c>
      <c r="AM181">
        <f t="shared" si="75"/>
        <v>0</v>
      </c>
      <c r="AN181">
        <f t="shared" si="76"/>
        <v>0</v>
      </c>
      <c r="AO181">
        <f t="shared" si="77"/>
        <v>0</v>
      </c>
    </row>
    <row r="182" spans="4:41" x14ac:dyDescent="0.25">
      <c r="D182" s="5">
        <v>41772</v>
      </c>
      <c r="E182" s="6">
        <v>39.92</v>
      </c>
      <c r="F182" s="6">
        <v>22.36</v>
      </c>
      <c r="G182" s="3">
        <f t="shared" si="55"/>
        <v>0.77161224489795788</v>
      </c>
      <c r="H182" s="3">
        <f t="shared" si="55"/>
        <v>-0.38405643738977108</v>
      </c>
      <c r="I182" s="3">
        <f t="shared" si="52"/>
        <v>0.74061844331164051</v>
      </c>
      <c r="J182" s="3">
        <f t="shared" si="53"/>
        <v>-0.41373725910511955</v>
      </c>
      <c r="K182" s="4"/>
      <c r="L182" s="3">
        <f t="shared" si="56"/>
        <v>8.3197100557715196</v>
      </c>
      <c r="M182" s="3">
        <f t="shared" si="57"/>
        <v>0.48078598571174175</v>
      </c>
      <c r="N182" s="3">
        <f t="shared" si="54"/>
        <v>0.48078598571174175</v>
      </c>
      <c r="O182" s="4"/>
      <c r="P182" s="3">
        <f t="shared" si="58"/>
        <v>0.73834821235599268</v>
      </c>
      <c r="Q182" s="3">
        <f t="shared" si="59"/>
        <v>-0.41296631077103435</v>
      </c>
      <c r="R182" s="4"/>
      <c r="S182" s="3">
        <f t="shared" si="60"/>
        <v>6.388406520515046</v>
      </c>
      <c r="T182" s="3">
        <f t="shared" si="61"/>
        <v>0.62613423036790594</v>
      </c>
      <c r="U182" s="3">
        <f t="shared" si="62"/>
        <v>0.62613423036790594</v>
      </c>
      <c r="V182" s="3">
        <f t="shared" si="63"/>
        <v>0.59839929269944747</v>
      </c>
      <c r="W182" s="4"/>
      <c r="X182" s="3">
        <f t="shared" si="64"/>
        <v>-1.8042783500487327</v>
      </c>
      <c r="Y182" s="14">
        <f t="shared" si="65"/>
        <v>-3.024644657621673</v>
      </c>
      <c r="Z182" s="15">
        <f t="shared" si="66"/>
        <v>-3.5667663702521111</v>
      </c>
      <c r="AA182" s="15">
        <f t="shared" si="67"/>
        <v>0.74061844331164051</v>
      </c>
      <c r="AB182" s="15">
        <f t="shared" si="68"/>
        <v>-0.41373725910511955</v>
      </c>
      <c r="AC182" s="15">
        <f t="shared" si="69"/>
        <v>-2.9653517451426219</v>
      </c>
      <c r="AH182" s="15">
        <f t="shared" si="70"/>
        <v>0.72802652969591164</v>
      </c>
      <c r="AI182" s="15">
        <f t="shared" si="71"/>
        <v>-0.42764215259181726</v>
      </c>
      <c r="AJ182" s="18">
        <f t="shared" si="72"/>
        <v>15.699361756892788</v>
      </c>
      <c r="AK182">
        <f t="shared" si="73"/>
        <v>0.75714708777745277</v>
      </c>
      <c r="AL182">
        <f t="shared" si="74"/>
        <v>0.12739371389552839</v>
      </c>
      <c r="AM182">
        <f t="shared" si="75"/>
        <v>1</v>
      </c>
      <c r="AN182">
        <f t="shared" si="76"/>
        <v>0.72802652969591164</v>
      </c>
      <c r="AO182">
        <f t="shared" si="77"/>
        <v>-0.42764215259181726</v>
      </c>
    </row>
    <row r="183" spans="4:41" x14ac:dyDescent="0.25">
      <c r="D183" s="5">
        <v>41771</v>
      </c>
      <c r="E183" s="6">
        <v>39.200000000000003</v>
      </c>
      <c r="F183" s="6">
        <v>22.68</v>
      </c>
      <c r="G183" s="3">
        <f t="shared" si="55"/>
        <v>0.46593500128965659</v>
      </c>
      <c r="H183" s="3">
        <f t="shared" si="55"/>
        <v>0.1933925399644762</v>
      </c>
      <c r="I183" s="3">
        <f t="shared" si="52"/>
        <v>0.43494119970333922</v>
      </c>
      <c r="J183" s="3">
        <f t="shared" si="53"/>
        <v>0.16371171824912775</v>
      </c>
      <c r="K183" s="4"/>
      <c r="L183" s="3">
        <f t="shared" si="56"/>
        <v>3.5057738355182644</v>
      </c>
      <c r="M183" s="3">
        <f t="shared" si="57"/>
        <v>1.14097491386197</v>
      </c>
      <c r="N183" s="3">
        <f t="shared" si="54"/>
        <v>1.14097491386197</v>
      </c>
      <c r="O183" s="4"/>
      <c r="P183" s="3">
        <f t="shared" si="58"/>
        <v>0.4326709687476914</v>
      </c>
      <c r="Q183" s="3">
        <f t="shared" si="59"/>
        <v>0.16448266658321292</v>
      </c>
      <c r="R183" s="4"/>
      <c r="S183" s="3">
        <f t="shared" si="60"/>
        <v>3.3229660940439305</v>
      </c>
      <c r="T183" s="3">
        <f t="shared" si="61"/>
        <v>1.2037438501613309</v>
      </c>
      <c r="U183" s="3">
        <f t="shared" si="62"/>
        <v>1.2037438501613309</v>
      </c>
      <c r="V183" s="3">
        <f t="shared" si="63"/>
        <v>-5.5245538645998238E-2</v>
      </c>
      <c r="W183" s="4"/>
      <c r="X183" s="3">
        <f t="shared" si="64"/>
        <v>-0.8015334475949667</v>
      </c>
      <c r="Y183" s="14">
        <f t="shared" si="65"/>
        <v>-0.31421072882472822</v>
      </c>
      <c r="Z183" s="15">
        <f t="shared" si="66"/>
        <v>-0.10990185593164847</v>
      </c>
      <c r="AA183" s="15">
        <f t="shared" si="67"/>
        <v>0.43494119970333922</v>
      </c>
      <c r="AB183" s="15">
        <f t="shared" si="68"/>
        <v>0.16371171824912775</v>
      </c>
      <c r="AC183" s="15">
        <f t="shared" si="69"/>
        <v>-0.34353988054610957</v>
      </c>
      <c r="AH183" s="15">
        <f t="shared" si="70"/>
        <v>0.42234928608761041</v>
      </c>
      <c r="AI183" s="15">
        <f t="shared" si="71"/>
        <v>0.14980682476243001</v>
      </c>
      <c r="AJ183" s="18">
        <f t="shared" si="72"/>
        <v>1.4152238402060726</v>
      </c>
      <c r="AK183">
        <f t="shared" si="73"/>
        <v>1</v>
      </c>
      <c r="AL183">
        <f t="shared" si="74"/>
        <v>1</v>
      </c>
      <c r="AM183">
        <f t="shared" si="75"/>
        <v>0</v>
      </c>
      <c r="AN183">
        <f t="shared" si="76"/>
        <v>0</v>
      </c>
      <c r="AO183">
        <f t="shared" si="77"/>
        <v>0</v>
      </c>
    </row>
    <row r="184" spans="4:41" x14ac:dyDescent="0.25">
      <c r="D184" s="5">
        <v>41768</v>
      </c>
      <c r="E184" s="6">
        <v>38.770000000000003</v>
      </c>
      <c r="F184" s="6">
        <v>22.52</v>
      </c>
      <c r="G184" s="3">
        <f t="shared" si="55"/>
        <v>-0.10807820941599591</v>
      </c>
      <c r="H184" s="3">
        <f t="shared" si="55"/>
        <v>0</v>
      </c>
      <c r="I184" s="3">
        <f t="shared" si="52"/>
        <v>-0.13907201100231326</v>
      </c>
      <c r="J184" s="3">
        <f t="shared" si="53"/>
        <v>-2.968082171534845E-2</v>
      </c>
      <c r="K184" s="4"/>
      <c r="L184" s="3">
        <f t="shared" si="56"/>
        <v>3.0485084356115872</v>
      </c>
      <c r="M184" s="3">
        <f t="shared" si="57"/>
        <v>1.3121170843004493</v>
      </c>
      <c r="N184" s="3">
        <f t="shared" si="54"/>
        <v>1.3121170843004493</v>
      </c>
      <c r="O184" s="4"/>
      <c r="P184" s="3">
        <f t="shared" si="58"/>
        <v>-0.14134224195796108</v>
      </c>
      <c r="Q184" s="3">
        <f t="shared" si="59"/>
        <v>-2.890987338126327E-2</v>
      </c>
      <c r="R184" s="4"/>
      <c r="S184" s="3">
        <f t="shared" si="60"/>
        <v>3.0325046758012641</v>
      </c>
      <c r="T184" s="3">
        <f t="shared" si="61"/>
        <v>1.3190416594965675</v>
      </c>
      <c r="U184" s="3">
        <f t="shared" si="62"/>
        <v>1.3190416594965675</v>
      </c>
      <c r="V184" s="3">
        <f t="shared" si="63"/>
        <v>-0.14671349716888216</v>
      </c>
      <c r="W184" s="4"/>
      <c r="X184" s="3">
        <f t="shared" si="64"/>
        <v>-0.81947535909528124</v>
      </c>
      <c r="Y184" s="14">
        <f t="shared" si="65"/>
        <v>2.6436671569072742E-2</v>
      </c>
      <c r="Z184" s="15">
        <f t="shared" si="66"/>
        <v>0.44913351639936483</v>
      </c>
      <c r="AA184" s="15">
        <f t="shared" si="67"/>
        <v>-0.13907201100231326</v>
      </c>
      <c r="AB184" s="15">
        <f t="shared" si="68"/>
        <v>-2.968082171534845E-2</v>
      </c>
      <c r="AC184" s="15">
        <f t="shared" si="69"/>
        <v>2.4746450881881162E-2</v>
      </c>
      <c r="AH184" s="15">
        <f t="shared" si="70"/>
        <v>-0.1516639246180421</v>
      </c>
      <c r="AI184" s="15">
        <f t="shared" si="71"/>
        <v>-4.3585715202046189E-2</v>
      </c>
      <c r="AJ184" s="18">
        <f t="shared" si="72"/>
        <v>0.17469757186855323</v>
      </c>
      <c r="AK184">
        <f t="shared" si="73"/>
        <v>1</v>
      </c>
      <c r="AL184">
        <f t="shared" si="74"/>
        <v>1</v>
      </c>
      <c r="AM184">
        <f t="shared" si="75"/>
        <v>0</v>
      </c>
      <c r="AN184">
        <f t="shared" si="76"/>
        <v>0</v>
      </c>
      <c r="AO184">
        <f t="shared" si="77"/>
        <v>0</v>
      </c>
    </row>
    <row r="185" spans="4:41" x14ac:dyDescent="0.25">
      <c r="D185" s="5">
        <v>41767</v>
      </c>
      <c r="E185" s="6">
        <v>38.869999999999997</v>
      </c>
      <c r="F185" s="6">
        <v>22.52</v>
      </c>
      <c r="G185" s="3">
        <f t="shared" si="55"/>
        <v>0.2281971029487852</v>
      </c>
      <c r="H185" s="3">
        <f t="shared" si="55"/>
        <v>0.18252123379525975</v>
      </c>
      <c r="I185" s="3">
        <f t="shared" si="52"/>
        <v>0.19720330136246786</v>
      </c>
      <c r="J185" s="3">
        <f t="shared" si="53"/>
        <v>0.15284041207991131</v>
      </c>
      <c r="K185" s="4"/>
      <c r="L185" s="3">
        <f t="shared" si="56"/>
        <v>3.2158972241905803</v>
      </c>
      <c r="M185" s="3">
        <f t="shared" si="57"/>
        <v>1.2438208441212772</v>
      </c>
      <c r="N185" s="3">
        <f t="shared" si="54"/>
        <v>1.2438208441212772</v>
      </c>
      <c r="O185" s="4"/>
      <c r="P185" s="3">
        <f t="shared" si="58"/>
        <v>0.19493307040682004</v>
      </c>
      <c r="Q185" s="3">
        <f t="shared" si="59"/>
        <v>0.15361136041399648</v>
      </c>
      <c r="R185" s="4"/>
      <c r="S185" s="3">
        <f t="shared" si="60"/>
        <v>3.1374192640264753</v>
      </c>
      <c r="T185" s="3">
        <f t="shared" si="61"/>
        <v>1.2749332057286193</v>
      </c>
      <c r="U185" s="3">
        <f t="shared" si="62"/>
        <v>1.2749332057286193</v>
      </c>
      <c r="V185" s="3">
        <f t="shared" si="63"/>
        <v>-0.11270227051052295</v>
      </c>
      <c r="W185" s="4"/>
      <c r="X185" s="3">
        <f t="shared" si="64"/>
        <v>-0.80712723947178411</v>
      </c>
      <c r="Y185" s="14">
        <f t="shared" si="65"/>
        <v>-9.9012598745491787E-2</v>
      </c>
      <c r="Z185" s="15">
        <f t="shared" si="66"/>
        <v>0.23531767777217144</v>
      </c>
      <c r="AA185" s="15">
        <f t="shared" si="67"/>
        <v>0.19720330136246786</v>
      </c>
      <c r="AB185" s="15">
        <f t="shared" si="68"/>
        <v>0.15284041207991131</v>
      </c>
      <c r="AC185" s="15">
        <f t="shared" si="69"/>
        <v>-0.1140359098498282</v>
      </c>
      <c r="AH185" s="15">
        <f t="shared" si="70"/>
        <v>0.18461138774673902</v>
      </c>
      <c r="AI185" s="15">
        <f t="shared" si="71"/>
        <v>0.13893551859321357</v>
      </c>
      <c r="AJ185" s="18">
        <f t="shared" si="72"/>
        <v>0.54097013988929299</v>
      </c>
      <c r="AK185">
        <f t="shared" si="73"/>
        <v>1</v>
      </c>
      <c r="AL185">
        <f t="shared" si="74"/>
        <v>1</v>
      </c>
      <c r="AM185">
        <f t="shared" si="75"/>
        <v>0</v>
      </c>
      <c r="AN185">
        <f t="shared" si="76"/>
        <v>0</v>
      </c>
      <c r="AO185">
        <f t="shared" si="77"/>
        <v>0</v>
      </c>
    </row>
    <row r="186" spans="4:41" x14ac:dyDescent="0.25">
      <c r="D186" s="5">
        <v>41766</v>
      </c>
      <c r="E186" s="6">
        <v>38.659999999999997</v>
      </c>
      <c r="F186" s="6">
        <v>22.37</v>
      </c>
      <c r="G186" s="3">
        <f t="shared" si="55"/>
        <v>0.39487206266318475</v>
      </c>
      <c r="H186" s="3">
        <f t="shared" si="55"/>
        <v>0.18375337533753636</v>
      </c>
      <c r="I186" s="3">
        <f t="shared" si="52"/>
        <v>0.36387826107686738</v>
      </c>
      <c r="J186" s="3">
        <f t="shared" si="53"/>
        <v>0.15407255362218791</v>
      </c>
      <c r="K186" s="4"/>
      <c r="L186" s="3">
        <f t="shared" si="56"/>
        <v>3.3747681663506057</v>
      </c>
      <c r="M186" s="3">
        <f t="shared" si="57"/>
        <v>1.1852666028687551</v>
      </c>
      <c r="N186" s="3">
        <f t="shared" si="54"/>
        <v>1.1852666028687551</v>
      </c>
      <c r="O186" s="4"/>
      <c r="P186" s="3">
        <f t="shared" si="58"/>
        <v>0.36160803012121956</v>
      </c>
      <c r="Q186" s="3">
        <f t="shared" si="59"/>
        <v>0.15484350195627308</v>
      </c>
      <c r="R186" s="4"/>
      <c r="S186" s="3">
        <f t="shared" si="60"/>
        <v>3.2389226031847715</v>
      </c>
      <c r="T186" s="3">
        <f t="shared" si="61"/>
        <v>1.2349785685112931</v>
      </c>
      <c r="U186" s="3">
        <f t="shared" si="62"/>
        <v>1.2349785685112931</v>
      </c>
      <c r="V186" s="3">
        <f t="shared" si="63"/>
        <v>-8.0862405590353958E-2</v>
      </c>
      <c r="W186" s="4"/>
      <c r="X186" s="3">
        <f t="shared" si="64"/>
        <v>-0.80170979257363495</v>
      </c>
      <c r="Y186" s="14">
        <f t="shared" si="65"/>
        <v>-0.21776152523103426</v>
      </c>
      <c r="Z186" s="15">
        <f t="shared" si="66"/>
        <v>4.243672833387363E-2</v>
      </c>
      <c r="AA186" s="15">
        <f t="shared" si="67"/>
        <v>0.36387826107686738</v>
      </c>
      <c r="AB186" s="15">
        <f t="shared" si="68"/>
        <v>0.15407255362218791</v>
      </c>
      <c r="AC186" s="15">
        <f t="shared" si="69"/>
        <v>-0.2414463571920421</v>
      </c>
      <c r="AH186" s="15">
        <f t="shared" si="70"/>
        <v>0.35128634746113857</v>
      </c>
      <c r="AI186" s="15">
        <f t="shared" si="71"/>
        <v>0.14016766013549017</v>
      </c>
      <c r="AJ186" s="18">
        <f t="shared" si="72"/>
        <v>1.0261554926391216</v>
      </c>
      <c r="AK186">
        <f t="shared" si="73"/>
        <v>1</v>
      </c>
      <c r="AL186">
        <f t="shared" si="74"/>
        <v>1</v>
      </c>
      <c r="AM186">
        <f t="shared" si="75"/>
        <v>0</v>
      </c>
      <c r="AN186">
        <f t="shared" si="76"/>
        <v>0</v>
      </c>
      <c r="AO186">
        <f t="shared" si="77"/>
        <v>0</v>
      </c>
    </row>
    <row r="187" spans="4:41" x14ac:dyDescent="0.25">
      <c r="D187" s="5">
        <v>41765</v>
      </c>
      <c r="E187" s="6">
        <v>38.299999999999997</v>
      </c>
      <c r="F187" s="6">
        <v>22.22</v>
      </c>
      <c r="G187" s="3">
        <f t="shared" si="55"/>
        <v>-0.40195758986294777</v>
      </c>
      <c r="H187" s="3">
        <f t="shared" si="55"/>
        <v>-0.29086375779163198</v>
      </c>
      <c r="I187" s="3">
        <f t="shared" si="52"/>
        <v>-0.43295139144926514</v>
      </c>
      <c r="J187" s="3">
        <f t="shared" si="53"/>
        <v>-0.32054457950698045</v>
      </c>
      <c r="K187" s="4"/>
      <c r="L187" s="3">
        <f t="shared" si="56"/>
        <v>3.9675861793316702</v>
      </c>
      <c r="M187" s="3">
        <f t="shared" si="57"/>
        <v>1.0081696576213475</v>
      </c>
      <c r="N187" s="3">
        <f t="shared" si="54"/>
        <v>1.0081696576213475</v>
      </c>
      <c r="O187" s="4"/>
      <c r="P187" s="3">
        <f t="shared" si="58"/>
        <v>-0.43522162240491291</v>
      </c>
      <c r="Q187" s="3">
        <f t="shared" si="59"/>
        <v>-0.31977363117289526</v>
      </c>
      <c r="R187" s="4"/>
      <c r="S187" s="3">
        <f t="shared" si="60"/>
        <v>3.6132007132290411</v>
      </c>
      <c r="T187" s="3">
        <f t="shared" si="61"/>
        <v>1.1070517022081745</v>
      </c>
      <c r="U187" s="3">
        <f t="shared" si="62"/>
        <v>1.1070517022081745</v>
      </c>
      <c r="V187" s="3">
        <f t="shared" si="63"/>
        <v>2.8490567121064458E-2</v>
      </c>
      <c r="W187" s="4"/>
      <c r="X187" s="3">
        <f t="shared" si="64"/>
        <v>-0.82578454429681258</v>
      </c>
      <c r="Y187" s="14">
        <f t="shared" si="65"/>
        <v>-0.63504710371358486</v>
      </c>
      <c r="Z187" s="15">
        <f t="shared" si="66"/>
        <v>-0.60488832761692235</v>
      </c>
      <c r="AA187" s="15">
        <f t="shared" si="67"/>
        <v>-0.43295139144926514</v>
      </c>
      <c r="AB187" s="15">
        <f t="shared" si="68"/>
        <v>-0.32054457950698045</v>
      </c>
      <c r="AC187" s="15">
        <f t="shared" si="69"/>
        <v>-0.68397239664365495</v>
      </c>
      <c r="AH187" s="15">
        <f t="shared" si="70"/>
        <v>-0.44554330506499396</v>
      </c>
      <c r="AI187" s="15">
        <f t="shared" si="71"/>
        <v>-0.33444947299367817</v>
      </c>
      <c r="AJ187" s="18">
        <f t="shared" si="72"/>
        <v>3.1384126472019611</v>
      </c>
      <c r="AK187">
        <f t="shared" si="73"/>
        <v>1</v>
      </c>
      <c r="AL187">
        <f t="shared" si="74"/>
        <v>0.63726482933437445</v>
      </c>
      <c r="AM187">
        <f t="shared" si="75"/>
        <v>1</v>
      </c>
      <c r="AN187">
        <f t="shared" si="76"/>
        <v>-0.44554330506499396</v>
      </c>
      <c r="AO187">
        <f t="shared" si="77"/>
        <v>-0.33444947299367817</v>
      </c>
    </row>
    <row r="188" spans="4:41" x14ac:dyDescent="0.25">
      <c r="D188" s="5">
        <v>41764</v>
      </c>
      <c r="E188" s="6">
        <v>38.67</v>
      </c>
      <c r="F188" s="6">
        <v>22.46</v>
      </c>
      <c r="G188" s="3">
        <f t="shared" si="55"/>
        <v>-0.26984840698869472</v>
      </c>
      <c r="H188" s="3">
        <f t="shared" si="55"/>
        <v>2.4260249554366682E-2</v>
      </c>
      <c r="I188" s="3">
        <f t="shared" si="52"/>
        <v>-0.30084220857501209</v>
      </c>
      <c r="J188" s="3">
        <f t="shared" si="53"/>
        <v>-5.4205721609817681E-3</v>
      </c>
      <c r="K188" s="4"/>
      <c r="L188" s="3">
        <f t="shared" si="56"/>
        <v>3.2790448868255098</v>
      </c>
      <c r="M188" s="3">
        <f t="shared" si="57"/>
        <v>1.2198674120232789</v>
      </c>
      <c r="N188" s="3">
        <f t="shared" si="54"/>
        <v>1.2198674120232789</v>
      </c>
      <c r="O188" s="4"/>
      <c r="P188" s="3">
        <f t="shared" si="58"/>
        <v>-0.30311243953065992</v>
      </c>
      <c r="Q188" s="3">
        <f t="shared" si="59"/>
        <v>-4.649623826896588E-3</v>
      </c>
      <c r="R188" s="4"/>
      <c r="S188" s="3">
        <f t="shared" si="60"/>
        <v>3.1840945978586515</v>
      </c>
      <c r="T188" s="3">
        <f t="shared" si="61"/>
        <v>1.2562440835426361</v>
      </c>
      <c r="U188" s="3">
        <f t="shared" si="62"/>
        <v>1.2562440835426361</v>
      </c>
      <c r="V188" s="3">
        <f t="shared" si="63"/>
        <v>-9.7935019661710143E-2</v>
      </c>
      <c r="W188" s="4"/>
      <c r="X188" s="3">
        <f t="shared" si="64"/>
        <v>-0.80388802285983108</v>
      </c>
      <c r="Y188" s="14">
        <f t="shared" si="65"/>
        <v>-0.15393153993300757</v>
      </c>
      <c r="Z188" s="15">
        <f t="shared" si="66"/>
        <v>0.15753450258720009</v>
      </c>
      <c r="AA188" s="15">
        <f t="shared" si="67"/>
        <v>-0.30084220857501209</v>
      </c>
      <c r="AB188" s="15">
        <f t="shared" si="68"/>
        <v>-5.4205721609817681E-3</v>
      </c>
      <c r="AC188" s="15">
        <f t="shared" si="69"/>
        <v>-0.16516573224437081</v>
      </c>
      <c r="AH188" s="15">
        <f t="shared" si="70"/>
        <v>-0.3134341221907409</v>
      </c>
      <c r="AI188" s="15">
        <f t="shared" si="71"/>
        <v>-1.9325465647679507E-2</v>
      </c>
      <c r="AJ188" s="18">
        <f t="shared" si="72"/>
        <v>0.84288543034230923</v>
      </c>
      <c r="AK188">
        <f t="shared" si="73"/>
        <v>1</v>
      </c>
      <c r="AL188">
        <f t="shared" si="74"/>
        <v>1</v>
      </c>
      <c r="AM188">
        <f t="shared" si="75"/>
        <v>0</v>
      </c>
      <c r="AN188">
        <f t="shared" si="76"/>
        <v>0</v>
      </c>
      <c r="AO188">
        <f t="shared" si="77"/>
        <v>0</v>
      </c>
    </row>
    <row r="189" spans="4:41" x14ac:dyDescent="0.25">
      <c r="D189" s="5">
        <v>41761</v>
      </c>
      <c r="E189" s="6">
        <v>38.92</v>
      </c>
      <c r="F189" s="6">
        <v>22.44</v>
      </c>
      <c r="G189" s="3">
        <f t="shared" si="55"/>
        <v>-0.33196788172316588</v>
      </c>
      <c r="H189" s="3">
        <f t="shared" si="55"/>
        <v>-8.4646823633940813E-2</v>
      </c>
      <c r="I189" s="3">
        <f t="shared" si="52"/>
        <v>-0.36296168330948325</v>
      </c>
      <c r="J189" s="3">
        <f t="shared" si="53"/>
        <v>-0.11432764534928927</v>
      </c>
      <c r="K189" s="4"/>
      <c r="L189" s="3">
        <f t="shared" si="56"/>
        <v>3.3349273775943646</v>
      </c>
      <c r="M189" s="3">
        <f t="shared" si="57"/>
        <v>1.1994264183603849</v>
      </c>
      <c r="N189" s="3">
        <f t="shared" si="54"/>
        <v>1.1994264183603849</v>
      </c>
      <c r="O189" s="4"/>
      <c r="P189" s="3">
        <f t="shared" si="58"/>
        <v>-0.36523191426513102</v>
      </c>
      <c r="Q189" s="3">
        <f t="shared" si="59"/>
        <v>-0.11355669701520409</v>
      </c>
      <c r="R189" s="4"/>
      <c r="S189" s="3">
        <f t="shared" si="60"/>
        <v>3.2181039763261809</v>
      </c>
      <c r="T189" s="3">
        <f t="shared" si="61"/>
        <v>1.2429679181983546</v>
      </c>
      <c r="U189" s="3">
        <f t="shared" si="62"/>
        <v>1.2429679181983546</v>
      </c>
      <c r="V189" s="3">
        <f t="shared" si="63"/>
        <v>-8.7310737090229296E-2</v>
      </c>
      <c r="W189" s="4"/>
      <c r="X189" s="3">
        <f t="shared" si="64"/>
        <v>-0.80233672985706317</v>
      </c>
      <c r="Y189" s="14">
        <f t="shared" si="65"/>
        <v>-0.1936105094804586</v>
      </c>
      <c r="Z189" s="15">
        <f t="shared" si="66"/>
        <v>8.9939637200828315E-2</v>
      </c>
      <c r="AA189" s="15">
        <f t="shared" si="67"/>
        <v>-0.36296168330948325</v>
      </c>
      <c r="AB189" s="15">
        <f t="shared" si="68"/>
        <v>-0.11432764534928927</v>
      </c>
      <c r="AC189" s="15">
        <f t="shared" si="69"/>
        <v>-0.20987429357119836</v>
      </c>
      <c r="AH189" s="15">
        <f t="shared" si="70"/>
        <v>-0.37555359692521206</v>
      </c>
      <c r="AI189" s="15">
        <f t="shared" si="71"/>
        <v>-0.12823253883598701</v>
      </c>
      <c r="AJ189" s="18">
        <f t="shared" si="72"/>
        <v>1.1063398145987517</v>
      </c>
      <c r="AK189">
        <f t="shared" si="73"/>
        <v>1</v>
      </c>
      <c r="AL189">
        <f t="shared" si="74"/>
        <v>1</v>
      </c>
      <c r="AM189">
        <f t="shared" si="75"/>
        <v>0</v>
      </c>
      <c r="AN189">
        <f t="shared" si="76"/>
        <v>0</v>
      </c>
      <c r="AO189">
        <f t="shared" si="77"/>
        <v>0</v>
      </c>
    </row>
    <row r="190" spans="4:41" x14ac:dyDescent="0.25">
      <c r="D190" s="5">
        <v>41760</v>
      </c>
      <c r="E190" s="6">
        <v>39.229999999999997</v>
      </c>
      <c r="F190" s="6">
        <v>22.51</v>
      </c>
      <c r="G190" s="3">
        <f t="shared" si="55"/>
        <v>-0.41352599697122722</v>
      </c>
      <c r="H190" s="3">
        <f t="shared" si="55"/>
        <v>-0.12038920831490234</v>
      </c>
      <c r="I190" s="3">
        <f t="shared" si="52"/>
        <v>-0.44451979855754459</v>
      </c>
      <c r="J190" s="3">
        <f t="shared" si="53"/>
        <v>-0.1500700300302508</v>
      </c>
      <c r="K190" s="4"/>
      <c r="L190" s="3">
        <f t="shared" si="56"/>
        <v>3.5099926432262372</v>
      </c>
      <c r="M190" s="3">
        <f t="shared" si="57"/>
        <v>1.1396035281496684</v>
      </c>
      <c r="N190" s="3">
        <f t="shared" si="54"/>
        <v>1.1396035281496684</v>
      </c>
      <c r="O190" s="4"/>
      <c r="P190" s="3">
        <f t="shared" si="58"/>
        <v>-0.44679002951319235</v>
      </c>
      <c r="Q190" s="3">
        <f t="shared" si="59"/>
        <v>-0.1492990816961656</v>
      </c>
      <c r="R190" s="4"/>
      <c r="S190" s="3">
        <f t="shared" si="60"/>
        <v>3.3309383294591295</v>
      </c>
      <c r="T190" s="3">
        <f t="shared" si="61"/>
        <v>1.2008628213328438</v>
      </c>
      <c r="U190" s="3">
        <f t="shared" si="62"/>
        <v>1.2008628213328438</v>
      </c>
      <c r="V190" s="3">
        <f t="shared" si="63"/>
        <v>-5.2849292581091944E-2</v>
      </c>
      <c r="W190" s="4"/>
      <c r="X190" s="3">
        <f t="shared" si="64"/>
        <v>-0.80170391308027544</v>
      </c>
      <c r="Y190" s="14">
        <f t="shared" si="65"/>
        <v>-0.32327394343743665</v>
      </c>
      <c r="Z190" s="15">
        <f t="shared" si="66"/>
        <v>-0.11471251572685359</v>
      </c>
      <c r="AA190" s="15">
        <f t="shared" si="67"/>
        <v>-0.44451979855754459</v>
      </c>
      <c r="AB190" s="15">
        <f t="shared" si="68"/>
        <v>-0.1500700300302508</v>
      </c>
      <c r="AC190" s="15">
        <f t="shared" si="69"/>
        <v>-0.34678470440343773</v>
      </c>
      <c r="AH190" s="15">
        <f t="shared" si="70"/>
        <v>-0.4571117121732734</v>
      </c>
      <c r="AI190" s="15">
        <f t="shared" si="71"/>
        <v>-0.16397492351694853</v>
      </c>
      <c r="AJ190" s="18">
        <f t="shared" si="72"/>
        <v>1.6639293752578155</v>
      </c>
      <c r="AK190">
        <f t="shared" si="73"/>
        <v>1</v>
      </c>
      <c r="AL190">
        <f t="shared" si="74"/>
        <v>1</v>
      </c>
      <c r="AM190">
        <f t="shared" si="75"/>
        <v>0</v>
      </c>
      <c r="AN190">
        <f t="shared" si="76"/>
        <v>0</v>
      </c>
      <c r="AO190">
        <f t="shared" si="77"/>
        <v>0</v>
      </c>
    </row>
    <row r="191" spans="4:41" x14ac:dyDescent="0.25">
      <c r="D191" s="5">
        <v>41759</v>
      </c>
      <c r="E191" s="6">
        <v>39.619999999999997</v>
      </c>
      <c r="F191" s="6">
        <v>22.61</v>
      </c>
      <c r="G191" s="3">
        <f t="shared" si="55"/>
        <v>-0.11631261011829791</v>
      </c>
      <c r="H191" s="3">
        <f t="shared" si="55"/>
        <v>-4.807064017659942E-2</v>
      </c>
      <c r="I191" s="3">
        <f t="shared" si="52"/>
        <v>-0.14730641170461525</v>
      </c>
      <c r="J191" s="3">
        <f t="shared" si="53"/>
        <v>-7.7751461891947871E-2</v>
      </c>
      <c r="K191" s="4"/>
      <c r="L191" s="3">
        <f t="shared" si="56"/>
        <v>3.0727633670623629</v>
      </c>
      <c r="M191" s="3">
        <f t="shared" si="57"/>
        <v>1.3017598565762967</v>
      </c>
      <c r="N191" s="3">
        <f t="shared" si="54"/>
        <v>1.3017598565762967</v>
      </c>
      <c r="O191" s="4"/>
      <c r="P191" s="3">
        <f t="shared" si="58"/>
        <v>-0.14957664266026308</v>
      </c>
      <c r="Q191" s="3">
        <f t="shared" si="59"/>
        <v>-7.6980513557862687E-2</v>
      </c>
      <c r="R191" s="4"/>
      <c r="S191" s="3">
        <f t="shared" si="60"/>
        <v>3.0468022773400905</v>
      </c>
      <c r="T191" s="3">
        <f t="shared" si="61"/>
        <v>1.3128518479026696</v>
      </c>
      <c r="U191" s="3">
        <f t="shared" si="62"/>
        <v>1.3128518479026696</v>
      </c>
      <c r="V191" s="3">
        <f t="shared" si="63"/>
        <v>-0.14200986183432462</v>
      </c>
      <c r="W191" s="4"/>
      <c r="X191" s="3">
        <f t="shared" si="64"/>
        <v>-0.81735552110445364</v>
      </c>
      <c r="Y191" s="14">
        <f t="shared" si="65"/>
        <v>9.1740800056813662E-3</v>
      </c>
      <c r="Z191" s="15">
        <f t="shared" si="66"/>
        <v>0.41743414519284938</v>
      </c>
      <c r="AA191" s="15">
        <f t="shared" si="67"/>
        <v>-0.14730641170461525</v>
      </c>
      <c r="AB191" s="15">
        <f t="shared" si="68"/>
        <v>-7.7751461891947871E-2</v>
      </c>
      <c r="AC191" s="15">
        <f t="shared" si="69"/>
        <v>4.3358733150749146E-3</v>
      </c>
      <c r="AH191" s="15">
        <f t="shared" si="70"/>
        <v>-0.15989832532034409</v>
      </c>
      <c r="AI191" s="15">
        <f t="shared" si="71"/>
        <v>-9.165635537864561E-2</v>
      </c>
      <c r="AJ191" s="18">
        <f t="shared" si="72"/>
        <v>0.2821878383719616</v>
      </c>
      <c r="AK191">
        <f t="shared" si="73"/>
        <v>1</v>
      </c>
      <c r="AL191">
        <f t="shared" si="74"/>
        <v>1</v>
      </c>
      <c r="AM191">
        <f t="shared" si="75"/>
        <v>0</v>
      </c>
      <c r="AN191">
        <f t="shared" si="76"/>
        <v>0</v>
      </c>
      <c r="AO191">
        <f t="shared" si="77"/>
        <v>0</v>
      </c>
    </row>
    <row r="192" spans="4:41" x14ac:dyDescent="0.25">
      <c r="D192" s="5">
        <v>41758</v>
      </c>
      <c r="E192" s="6">
        <v>39.729999999999997</v>
      </c>
      <c r="F192" s="6">
        <v>22.65</v>
      </c>
      <c r="G192" s="3">
        <f t="shared" si="55"/>
        <v>-0.36685379241517119</v>
      </c>
      <c r="H192" s="3">
        <f t="shared" si="55"/>
        <v>0.15713143872113555</v>
      </c>
      <c r="I192" s="3">
        <f t="shared" si="52"/>
        <v>-0.39784759400148856</v>
      </c>
      <c r="J192" s="3">
        <f t="shared" si="53"/>
        <v>0.12745061700578711</v>
      </c>
      <c r="K192" s="4"/>
      <c r="L192" s="3">
        <f t="shared" si="56"/>
        <v>3.9614337095933458</v>
      </c>
      <c r="M192" s="3">
        <f t="shared" si="57"/>
        <v>1.0097354375294123</v>
      </c>
      <c r="N192" s="3">
        <f t="shared" si="54"/>
        <v>1.0097354375294123</v>
      </c>
      <c r="O192" s="4"/>
      <c r="P192" s="3">
        <f t="shared" si="58"/>
        <v>-0.40011782495713633</v>
      </c>
      <c r="Q192" s="3">
        <f t="shared" si="59"/>
        <v>0.12822156533987228</v>
      </c>
      <c r="R192" s="4"/>
      <c r="S192" s="3">
        <f t="shared" si="60"/>
        <v>3.6250565360498368</v>
      </c>
      <c r="T192" s="3">
        <f t="shared" si="61"/>
        <v>1.103431066583787</v>
      </c>
      <c r="U192" s="3">
        <f t="shared" si="62"/>
        <v>1.103431066583787</v>
      </c>
      <c r="V192" s="3">
        <f t="shared" si="63"/>
        <v>3.1766457639914591E-2</v>
      </c>
      <c r="W192" s="4"/>
      <c r="X192" s="3">
        <f t="shared" si="64"/>
        <v>-0.82747760840667683</v>
      </c>
      <c r="Y192" s="14">
        <f t="shared" si="65"/>
        <v>-0.64776956860552082</v>
      </c>
      <c r="Z192" s="15">
        <f t="shared" si="66"/>
        <v>-0.59868078009222092</v>
      </c>
      <c r="AA192" s="15">
        <f t="shared" si="67"/>
        <v>-0.39784759400148856</v>
      </c>
      <c r="AB192" s="15">
        <f t="shared" si="68"/>
        <v>0.12745061700578711</v>
      </c>
      <c r="AC192" s="15">
        <f t="shared" si="69"/>
        <v>-0.67962227714942103</v>
      </c>
      <c r="AH192" s="15">
        <f t="shared" si="70"/>
        <v>-0.41043950761721737</v>
      </c>
      <c r="AI192" s="15">
        <f t="shared" si="71"/>
        <v>0.11354572351908937</v>
      </c>
      <c r="AJ192" s="18">
        <f t="shared" si="72"/>
        <v>2.7248568763651559</v>
      </c>
      <c r="AK192">
        <f t="shared" si="73"/>
        <v>1</v>
      </c>
      <c r="AL192">
        <f t="shared" si="74"/>
        <v>0.73398350472921559</v>
      </c>
      <c r="AM192">
        <f t="shared" si="75"/>
        <v>0</v>
      </c>
      <c r="AN192">
        <f t="shared" si="76"/>
        <v>0</v>
      </c>
      <c r="AO192">
        <f t="shared" si="77"/>
        <v>0</v>
      </c>
    </row>
    <row r="193" spans="4:41" x14ac:dyDescent="0.25">
      <c r="D193" s="5">
        <v>41757</v>
      </c>
      <c r="E193" s="6">
        <v>40.08</v>
      </c>
      <c r="F193" s="6">
        <v>22.52</v>
      </c>
      <c r="G193" s="3">
        <f t="shared" si="55"/>
        <v>1.0089269289729152</v>
      </c>
      <c r="H193" s="3">
        <f t="shared" si="55"/>
        <v>2.419555555555504E-2</v>
      </c>
      <c r="I193" s="3">
        <f t="shared" si="52"/>
        <v>0.97793312738659788</v>
      </c>
      <c r="J193" s="3">
        <f t="shared" si="53"/>
        <v>-5.4852661597934102E-3</v>
      </c>
      <c r="K193" s="4"/>
      <c r="L193" s="3">
        <f t="shared" si="56"/>
        <v>6.0697670391348781</v>
      </c>
      <c r="M193" s="3">
        <f t="shared" si="57"/>
        <v>0.65900387514215353</v>
      </c>
      <c r="N193" s="3">
        <f t="shared" si="54"/>
        <v>0.65900387514215353</v>
      </c>
      <c r="O193" s="4"/>
      <c r="P193" s="3">
        <f t="shared" si="58"/>
        <v>0.97566289643095006</v>
      </c>
      <c r="Q193" s="3">
        <f t="shared" si="59"/>
        <v>-4.7143178257082301E-3</v>
      </c>
      <c r="R193" s="4"/>
      <c r="S193" s="3">
        <f t="shared" si="60"/>
        <v>4.9736850062191529</v>
      </c>
      <c r="T193" s="3">
        <f t="shared" si="61"/>
        <v>0.80423267557120204</v>
      </c>
      <c r="U193" s="3">
        <f t="shared" si="62"/>
        <v>0.80423267557120204</v>
      </c>
      <c r="V193" s="3">
        <f t="shared" si="63"/>
        <v>0.34806359543448906</v>
      </c>
      <c r="W193" s="4"/>
      <c r="X193" s="3">
        <f t="shared" si="64"/>
        <v>-1.2222801333187945</v>
      </c>
      <c r="Y193" s="14">
        <f t="shared" si="65"/>
        <v>-1.933494808388879</v>
      </c>
      <c r="Z193" s="15">
        <f t="shared" si="66"/>
        <v>-2.3055376507311172</v>
      </c>
      <c r="AA193" s="15">
        <f t="shared" si="67"/>
        <v>0.97793312738659788</v>
      </c>
      <c r="AB193" s="15">
        <f t="shared" si="68"/>
        <v>-5.4852661597934102E-3</v>
      </c>
      <c r="AC193" s="15">
        <f t="shared" si="69"/>
        <v>-1.9472603395594619</v>
      </c>
      <c r="AH193" s="15">
        <f t="shared" si="70"/>
        <v>0.96534121377086901</v>
      </c>
      <c r="AI193" s="15">
        <f t="shared" si="71"/>
        <v>-1.9390159646491149E-2</v>
      </c>
      <c r="AJ193" s="18">
        <f t="shared" si="72"/>
        <v>9.0788360480399657</v>
      </c>
      <c r="AK193">
        <f t="shared" si="73"/>
        <v>0.99564878482815211</v>
      </c>
      <c r="AL193">
        <f t="shared" si="74"/>
        <v>0.22029255616217247</v>
      </c>
      <c r="AM193">
        <f t="shared" si="75"/>
        <v>1</v>
      </c>
      <c r="AN193">
        <f t="shared" si="76"/>
        <v>0.96534121377086901</v>
      </c>
      <c r="AO193">
        <f t="shared" si="77"/>
        <v>-1.9390159646491149E-2</v>
      </c>
    </row>
    <row r="194" spans="4:41" x14ac:dyDescent="0.25">
      <c r="D194" s="5">
        <v>41754</v>
      </c>
      <c r="E194" s="6">
        <v>39.14</v>
      </c>
      <c r="F194" s="6">
        <v>22.5</v>
      </c>
      <c r="G194" s="3">
        <f t="shared" si="55"/>
        <v>5.3734970580708113E-2</v>
      </c>
      <c r="H194" s="3">
        <f t="shared" si="55"/>
        <v>-0.38170026292725712</v>
      </c>
      <c r="I194" s="3">
        <f t="shared" ref="I194:I253" si="78">G194-$B$16</f>
        <v>2.2741168994390763E-2</v>
      </c>
      <c r="J194" s="3">
        <f t="shared" ref="J194:J253" si="79">H194-$B$17</f>
        <v>-0.41138108464260559</v>
      </c>
      <c r="K194" s="4"/>
      <c r="L194" s="3">
        <f t="shared" si="56"/>
        <v>4.922536738219133</v>
      </c>
      <c r="M194" s="3">
        <f t="shared" si="57"/>
        <v>0.81258916138574377</v>
      </c>
      <c r="N194" s="3">
        <f t="shared" ref="N194:N253" si="80">$B$24/L194</f>
        <v>0.81258916138574377</v>
      </c>
      <c r="O194" s="4"/>
      <c r="P194" s="3">
        <f t="shared" si="58"/>
        <v>2.0470938038742947E-2</v>
      </c>
      <c r="Q194" s="3">
        <f t="shared" si="59"/>
        <v>-0.41061013630852039</v>
      </c>
      <c r="R194" s="4"/>
      <c r="S194" s="3">
        <f t="shared" si="60"/>
        <v>4.2088473217974967</v>
      </c>
      <c r="T194" s="3">
        <f t="shared" si="61"/>
        <v>0.9503789741395744</v>
      </c>
      <c r="U194" s="3">
        <f t="shared" si="62"/>
        <v>0.9503789741395744</v>
      </c>
      <c r="V194" s="3">
        <f t="shared" si="63"/>
        <v>0.18108697736218815</v>
      </c>
      <c r="W194" s="4"/>
      <c r="X194" s="3">
        <f t="shared" si="64"/>
        <v>-0.9596653777099744</v>
      </c>
      <c r="Y194" s="14">
        <f t="shared" si="65"/>
        <v>-1.2409178352597541</v>
      </c>
      <c r="Z194" s="15">
        <f t="shared" si="66"/>
        <v>-1.4675527289269577</v>
      </c>
      <c r="AA194" s="15">
        <f t="shared" si="67"/>
        <v>2.2741168994390763E-2</v>
      </c>
      <c r="AB194" s="15">
        <f t="shared" si="68"/>
        <v>-0.41138108464260559</v>
      </c>
      <c r="AC194" s="15">
        <f t="shared" si="69"/>
        <v>-1.307568903317907</v>
      </c>
      <c r="AH194" s="15">
        <f t="shared" si="70"/>
        <v>1.0149255378661924E-2</v>
      </c>
      <c r="AI194" s="15">
        <f t="shared" si="71"/>
        <v>-0.4252859781293033</v>
      </c>
      <c r="AJ194" s="18">
        <f t="shared" si="72"/>
        <v>5.8684553393520025</v>
      </c>
      <c r="AK194">
        <f t="shared" si="73"/>
        <v>1</v>
      </c>
      <c r="AL194">
        <f t="shared" si="74"/>
        <v>0.34080518370628698</v>
      </c>
      <c r="AM194">
        <f t="shared" si="75"/>
        <v>1</v>
      </c>
      <c r="AN194">
        <f t="shared" si="76"/>
        <v>1.0149255378661924E-2</v>
      </c>
      <c r="AO194">
        <f t="shared" si="77"/>
        <v>-0.4252859781293033</v>
      </c>
    </row>
    <row r="195" spans="4:41" x14ac:dyDescent="0.25">
      <c r="D195" s="5">
        <v>41753</v>
      </c>
      <c r="E195" s="6">
        <v>39.090000000000003</v>
      </c>
      <c r="F195" s="6">
        <v>22.82</v>
      </c>
      <c r="G195" s="3">
        <f t="shared" ref="G195:H253" si="81">(E195-E196)/E196*E$2</f>
        <v>0.18349691675231428</v>
      </c>
      <c r="H195" s="3">
        <f t="shared" si="81"/>
        <v>-0.20127881687690083</v>
      </c>
      <c r="I195" s="3">
        <f t="shared" si="78"/>
        <v>0.15250311516599693</v>
      </c>
      <c r="J195" s="3">
        <f t="shared" si="79"/>
        <v>-0.23095963859224927</v>
      </c>
      <c r="K195" s="4"/>
      <c r="L195" s="3">
        <f t="shared" ref="L195:L253" si="82">(I195^2*$B$19+J195^2*$C$20+2*I195*J195*$C$19)*0.5+$B$13*0.5</f>
        <v>3.8568838523615945</v>
      </c>
      <c r="M195" s="3">
        <f t="shared" ref="M195:M253" si="83">$B$24/L195</f>
        <v>1.0371066781154881</v>
      </c>
      <c r="N195" s="3">
        <f t="shared" si="80"/>
        <v>1.0371066781154881</v>
      </c>
      <c r="O195" s="4"/>
      <c r="P195" s="3">
        <f t="shared" ref="P195:P253" si="84">G195-$B$29</f>
        <v>0.15023288421034911</v>
      </c>
      <c r="Q195" s="3">
        <f t="shared" ref="Q195:Q253" si="85">H195-$B$30</f>
        <v>-0.2301886902581641</v>
      </c>
      <c r="R195" s="4"/>
      <c r="S195" s="3">
        <f t="shared" ref="S195:S253" si="86">(P195^2*$B$37+Q195^2*$C$38+2*P195*Q195*$C$37)*0.5+$B$13*0.5</f>
        <v>3.5387145996405045</v>
      </c>
      <c r="T195" s="3">
        <f t="shared" ref="T195:T253" si="87">$B$24/S195</f>
        <v>1.1303539427582991</v>
      </c>
      <c r="U195" s="3">
        <f t="shared" ref="U195:U253" si="88">$B$24/S195</f>
        <v>1.1303539427582991</v>
      </c>
      <c r="V195" s="3">
        <f t="shared" ref="V195:V253" si="89">(EXP(GAMMALN($B$24-$B$39))/EXP(GAMMALN($B$24))/S195^(-$B$39)-1)/$B$39</f>
        <v>7.6600795417824941E-3</v>
      </c>
      <c r="W195" s="4"/>
      <c r="X195" s="3">
        <f t="shared" ref="X195:X253" si="90">0.5*$B$43*LN(0.5*$B$43)-0.5*$B$43*T195-($B$43*0.5+1)*V195-GAMMALN($B$43*0.5)</f>
        <v>-0.81630260326945292</v>
      </c>
      <c r="Y195" s="14">
        <f t="shared" ref="Y195:Y253" si="91">GAMMALN($B$43/2+1)-GAMMALN($B$43/2)-LN(PI())-LN($B$43)-0.5*LN($B$35*$C$36-$C$35*$B$36)-($B$43/2+1)*LN(SUMPRODUCT(MMULT(P195:Q195,$B$37:$C$38),P195:Q195)/$B$43+1)</f>
        <v>-0.55444701013543218</v>
      </c>
      <c r="Z195" s="15">
        <f t="shared" ref="Z195:Z253" si="92">GAMMALN($B$13/2+1)-GAMMALN($B$13/2)-LN(PI())-LN($B$13)-0.5*LN($B$14*$C$15-$C$14*$B$15)-($B$13/2+1)*LN(SUMPRODUCT(MMULT(I195:J195,$B$19:$C$20),I195:J195)/$B$13+1)</f>
        <v>-0.49169501083894573</v>
      </c>
      <c r="AA195" s="15">
        <f t="shared" ref="AA195:AA253" si="93">G195-$B$3</f>
        <v>0.15250311516599693</v>
      </c>
      <c r="AB195" s="15">
        <f t="shared" ref="AB195:AB253" si="94">H195-$B$4</f>
        <v>-0.23095963859224927</v>
      </c>
      <c r="AC195" s="15">
        <f t="shared" ref="AC195:AC253" si="95">GAMMALN($B$13/2+1)-GAMMALN($B$13/2)-LN(PI())-LN($B$13)-0.5*LN($B$9*$C$10-$C$9*$B$10)-($B$13/2+1)*LN(SUMPRODUCT(MMULT(AA195:AB195,MINVERSE($B$9:$C$10)),AA195:AB195)/$B$13+1)</f>
        <v>-0.60496746820596581</v>
      </c>
      <c r="AH195" s="15">
        <f t="shared" ref="AH195:AH253" si="96">G195-$B$70</f>
        <v>0.13991120155026809</v>
      </c>
      <c r="AI195" s="15">
        <f t="shared" ref="AI195:AI253" si="97">H195-$B$70</f>
        <v>-0.24486453207894701</v>
      </c>
      <c r="AJ195" s="18">
        <f t="shared" ref="AJ195:AJ253" si="98">SUMPRODUCT(MMULT(AH195:AI195,$B$73:$C$74),AH195:AI195)</f>
        <v>2.640139094645451</v>
      </c>
      <c r="AK195">
        <f t="shared" ref="AK195:AK253" si="99">IF(SQRT(AJ195)&lt;=$B$75,1,$B$75/SQRT(AJ195))</f>
        <v>1</v>
      </c>
      <c r="AL195">
        <f t="shared" ref="AL195:AL253" si="100">IF(AJ195&lt;=$B$77,1,$B$77/AJ195)</f>
        <v>0.75753584500765991</v>
      </c>
      <c r="AM195">
        <f t="shared" ref="AM195:AM253" si="101">IF(AJ195&gt;B$83,1,0)</f>
        <v>0</v>
      </c>
      <c r="AN195">
        <f t="shared" ref="AN195:AN253" si="102">AM195*AH195</f>
        <v>0</v>
      </c>
      <c r="AO195">
        <f t="shared" ref="AO195:AO253" si="103">AM195*AI195</f>
        <v>0</v>
      </c>
    </row>
    <row r="196" spans="4:41" x14ac:dyDescent="0.25">
      <c r="D196" s="5">
        <v>41752</v>
      </c>
      <c r="E196" s="6">
        <v>38.92</v>
      </c>
      <c r="F196" s="6">
        <v>22.99</v>
      </c>
      <c r="G196" s="3">
        <f t="shared" si="81"/>
        <v>-0.32134115247322492</v>
      </c>
      <c r="H196" s="3">
        <f t="shared" si="81"/>
        <v>-2.3659278574536508E-2</v>
      </c>
      <c r="I196" s="3">
        <f t="shared" si="78"/>
        <v>-0.35233495405954229</v>
      </c>
      <c r="J196" s="3">
        <f t="shared" si="79"/>
        <v>-5.3340100289884958E-2</v>
      </c>
      <c r="K196" s="4"/>
      <c r="L196" s="3">
        <f t="shared" si="82"/>
        <v>3.3226690099344802</v>
      </c>
      <c r="M196" s="3">
        <f t="shared" si="83"/>
        <v>1.2038514784471042</v>
      </c>
      <c r="N196" s="3">
        <f t="shared" si="80"/>
        <v>1.2038514784471042</v>
      </c>
      <c r="O196" s="4"/>
      <c r="P196" s="3">
        <f t="shared" si="84"/>
        <v>-0.35460518501519012</v>
      </c>
      <c r="Q196" s="3">
        <f t="shared" si="85"/>
        <v>-5.2569151955799781E-2</v>
      </c>
      <c r="R196" s="4"/>
      <c r="S196" s="3">
        <f t="shared" si="86"/>
        <v>3.2121099885363051</v>
      </c>
      <c r="T196" s="3">
        <f t="shared" si="87"/>
        <v>1.2452873700700144</v>
      </c>
      <c r="U196" s="3">
        <f t="shared" si="88"/>
        <v>1.2452873700700144</v>
      </c>
      <c r="V196" s="3">
        <f t="shared" si="89"/>
        <v>-8.9175041037004021E-2</v>
      </c>
      <c r="W196" s="4"/>
      <c r="X196" s="3">
        <f t="shared" si="90"/>
        <v>-0.80256214420920413</v>
      </c>
      <c r="Y196" s="14">
        <f t="shared" si="91"/>
        <v>-0.18663769309404182</v>
      </c>
      <c r="Z196" s="15">
        <f t="shared" si="92"/>
        <v>0.10466973593232642</v>
      </c>
      <c r="AA196" s="15">
        <f t="shared" si="93"/>
        <v>-0.35233495405954229</v>
      </c>
      <c r="AB196" s="15">
        <f t="shared" si="94"/>
        <v>-5.3340100289884958E-2</v>
      </c>
      <c r="AC196" s="15">
        <f t="shared" si="95"/>
        <v>-0.20010973224696782</v>
      </c>
      <c r="AH196" s="15">
        <f t="shared" si="96"/>
        <v>-0.3649268676752711</v>
      </c>
      <c r="AI196" s="15">
        <f t="shared" si="97"/>
        <v>-6.724499377658269E-2</v>
      </c>
      <c r="AJ196" s="18">
        <f t="shared" si="98"/>
        <v>1.0173442530203476</v>
      </c>
      <c r="AK196">
        <f t="shared" si="99"/>
        <v>1</v>
      </c>
      <c r="AL196">
        <f t="shared" si="100"/>
        <v>1</v>
      </c>
      <c r="AM196">
        <f t="shared" si="101"/>
        <v>0</v>
      </c>
      <c r="AN196">
        <f t="shared" si="102"/>
        <v>0</v>
      </c>
      <c r="AO196">
        <f t="shared" si="103"/>
        <v>0</v>
      </c>
    </row>
    <row r="197" spans="4:41" x14ac:dyDescent="0.25">
      <c r="D197" s="5">
        <v>41751</v>
      </c>
      <c r="E197" s="6">
        <v>39.22</v>
      </c>
      <c r="F197" s="6">
        <v>23.01</v>
      </c>
      <c r="G197" s="3">
        <f t="shared" si="81"/>
        <v>5.3625223385240749E-2</v>
      </c>
      <c r="H197" s="3">
        <f t="shared" si="81"/>
        <v>0.14269986893840222</v>
      </c>
      <c r="I197" s="3">
        <f t="shared" si="78"/>
        <v>2.2631421798923398E-2</v>
      </c>
      <c r="J197" s="3">
        <f t="shared" si="79"/>
        <v>0.11301904722305378</v>
      </c>
      <c r="K197" s="4"/>
      <c r="L197" s="3">
        <f t="shared" si="82"/>
        <v>3.1286607004015683</v>
      </c>
      <c r="M197" s="3">
        <f t="shared" si="83"/>
        <v>1.2785023315205111</v>
      </c>
      <c r="N197" s="3">
        <f t="shared" si="80"/>
        <v>1.2785023315205111</v>
      </c>
      <c r="O197" s="4"/>
      <c r="P197" s="3">
        <f t="shared" si="84"/>
        <v>2.0361190843275583E-2</v>
      </c>
      <c r="Q197" s="3">
        <f t="shared" si="85"/>
        <v>0.11378999555713895</v>
      </c>
      <c r="R197" s="4"/>
      <c r="S197" s="3">
        <f t="shared" si="86"/>
        <v>3.083173205613992</v>
      </c>
      <c r="T197" s="3">
        <f t="shared" si="87"/>
        <v>1.2973646737447657</v>
      </c>
      <c r="U197" s="3">
        <f t="shared" si="88"/>
        <v>1.2973646737447657</v>
      </c>
      <c r="V197" s="3">
        <f t="shared" si="89"/>
        <v>-0.1301433020872711</v>
      </c>
      <c r="W197" s="4"/>
      <c r="X197" s="3">
        <f t="shared" si="90"/>
        <v>-0.81259877274880199</v>
      </c>
      <c r="Y197" s="14">
        <f t="shared" si="91"/>
        <v>-3.4500592728392135E-2</v>
      </c>
      <c r="Z197" s="15">
        <f t="shared" si="92"/>
        <v>0.34532316344779473</v>
      </c>
      <c r="AA197" s="15">
        <f t="shared" si="93"/>
        <v>2.2631421798923398E-2</v>
      </c>
      <c r="AB197" s="15">
        <f t="shared" si="94"/>
        <v>0.11301904722305378</v>
      </c>
      <c r="AC197" s="15">
        <f t="shared" si="95"/>
        <v>-4.230902119693826E-2</v>
      </c>
      <c r="AH197" s="15">
        <f t="shared" si="96"/>
        <v>1.0039508183194559E-2</v>
      </c>
      <c r="AI197" s="15">
        <f t="shared" si="97"/>
        <v>9.9114153736356042E-2</v>
      </c>
      <c r="AJ197" s="18">
        <f t="shared" si="98"/>
        <v>0.3005070630282618</v>
      </c>
      <c r="AK197">
        <f t="shared" si="99"/>
        <v>1</v>
      </c>
      <c r="AL197">
        <f t="shared" si="100"/>
        <v>1</v>
      </c>
      <c r="AM197">
        <f t="shared" si="101"/>
        <v>0</v>
      </c>
      <c r="AN197">
        <f t="shared" si="102"/>
        <v>0</v>
      </c>
      <c r="AO197">
        <f t="shared" si="103"/>
        <v>0</v>
      </c>
    </row>
    <row r="198" spans="4:41" x14ac:dyDescent="0.25">
      <c r="D198" s="5">
        <v>41750</v>
      </c>
      <c r="E198" s="6">
        <v>39.17</v>
      </c>
      <c r="F198" s="6">
        <v>22.89</v>
      </c>
      <c r="G198" s="3">
        <f t="shared" si="81"/>
        <v>-7.4941386340469207E-2</v>
      </c>
      <c r="H198" s="3">
        <f t="shared" si="81"/>
        <v>0.22783259911894427</v>
      </c>
      <c r="I198" s="3">
        <f t="shared" si="78"/>
        <v>-0.10593518792678655</v>
      </c>
      <c r="J198" s="3">
        <f t="shared" si="79"/>
        <v>0.19815177740359582</v>
      </c>
      <c r="K198" s="4"/>
      <c r="L198" s="3">
        <f t="shared" si="82"/>
        <v>3.584848176081882</v>
      </c>
      <c r="M198" s="3">
        <f t="shared" si="83"/>
        <v>1.1158073657590333</v>
      </c>
      <c r="N198" s="3">
        <f t="shared" si="80"/>
        <v>1.1158073657590333</v>
      </c>
      <c r="O198" s="4"/>
      <c r="P198" s="3">
        <f t="shared" si="84"/>
        <v>-0.10820541888243437</v>
      </c>
      <c r="Q198" s="3">
        <f t="shared" si="85"/>
        <v>0.19892272573768099</v>
      </c>
      <c r="R198" s="4"/>
      <c r="S198" s="3">
        <f t="shared" si="86"/>
        <v>3.3765545980241747</v>
      </c>
      <c r="T198" s="3">
        <f t="shared" si="87"/>
        <v>1.1846395145929642</v>
      </c>
      <c r="U198" s="3">
        <f t="shared" si="88"/>
        <v>1.1846395145929642</v>
      </c>
      <c r="V198" s="3">
        <f t="shared" si="89"/>
        <v>-3.9247560226218781E-2</v>
      </c>
      <c r="W198" s="4"/>
      <c r="X198" s="3">
        <f t="shared" si="90"/>
        <v>-0.8032692246040527</v>
      </c>
      <c r="Y198" s="14">
        <f t="shared" si="91"/>
        <v>-0.37485203961511498</v>
      </c>
      <c r="Z198" s="15">
        <f t="shared" si="92"/>
        <v>-0.19912124315971458</v>
      </c>
      <c r="AA198" s="15">
        <f t="shared" si="93"/>
        <v>-0.10593518792678655</v>
      </c>
      <c r="AB198" s="15">
        <f t="shared" si="94"/>
        <v>0.19815177740359582</v>
      </c>
      <c r="AC198" s="15">
        <f t="shared" si="95"/>
        <v>-0.4039251336209817</v>
      </c>
      <c r="AH198" s="15">
        <f t="shared" si="96"/>
        <v>-0.11852710154251539</v>
      </c>
      <c r="AI198" s="15">
        <f t="shared" si="97"/>
        <v>0.18424688391689809</v>
      </c>
      <c r="AJ198" s="18">
        <f t="shared" si="98"/>
        <v>1.5606851465397178</v>
      </c>
      <c r="AK198">
        <f t="shared" si="99"/>
        <v>1</v>
      </c>
      <c r="AL198">
        <f t="shared" si="100"/>
        <v>1</v>
      </c>
      <c r="AM198">
        <f t="shared" si="101"/>
        <v>0</v>
      </c>
      <c r="AN198">
        <f t="shared" si="102"/>
        <v>0</v>
      </c>
      <c r="AO198">
        <f t="shared" si="103"/>
        <v>0</v>
      </c>
    </row>
    <row r="199" spans="4:41" x14ac:dyDescent="0.25">
      <c r="D199" s="5">
        <v>41746</v>
      </c>
      <c r="E199" s="6">
        <v>39.24</v>
      </c>
      <c r="F199" s="6">
        <v>22.7</v>
      </c>
      <c r="G199" s="3">
        <f t="shared" si="81"/>
        <v>-0.40292276627965196</v>
      </c>
      <c r="H199" s="3">
        <f t="shared" si="81"/>
        <v>0.20538837106080557</v>
      </c>
      <c r="I199" s="3">
        <f t="shared" si="78"/>
        <v>-0.43391656786596933</v>
      </c>
      <c r="J199" s="3">
        <f t="shared" si="79"/>
        <v>0.17570754934545713</v>
      </c>
      <c r="K199" s="4"/>
      <c r="L199" s="3">
        <f t="shared" si="82"/>
        <v>4.358845064833103</v>
      </c>
      <c r="M199" s="3">
        <f t="shared" si="83"/>
        <v>0.91767427850825822</v>
      </c>
      <c r="N199" s="3">
        <f t="shared" si="80"/>
        <v>0.91767427850825822</v>
      </c>
      <c r="O199" s="4"/>
      <c r="P199" s="3">
        <f t="shared" si="84"/>
        <v>-0.43618679882161715</v>
      </c>
      <c r="Q199" s="3">
        <f t="shared" si="85"/>
        <v>0.1764784976795423</v>
      </c>
      <c r="R199" s="4"/>
      <c r="S199" s="3">
        <f t="shared" si="86"/>
        <v>3.8804081782423485</v>
      </c>
      <c r="T199" s="3">
        <f t="shared" si="87"/>
        <v>1.0308193922557449</v>
      </c>
      <c r="U199" s="3">
        <f t="shared" si="88"/>
        <v>1.0308193922557449</v>
      </c>
      <c r="V199" s="3">
        <f t="shared" si="89"/>
        <v>9.9837369900157569E-2</v>
      </c>
      <c r="W199" s="4"/>
      <c r="X199" s="3">
        <f t="shared" si="90"/>
        <v>-0.87470054341535275</v>
      </c>
      <c r="Y199" s="14">
        <f t="shared" si="91"/>
        <v>-0.91498715757829641</v>
      </c>
      <c r="Z199" s="15">
        <f t="shared" si="92"/>
        <v>-0.98108526514666505</v>
      </c>
      <c r="AA199" s="15">
        <f t="shared" si="93"/>
        <v>-0.43391656786596933</v>
      </c>
      <c r="AB199" s="15">
        <f t="shared" si="94"/>
        <v>0.17570754934545713</v>
      </c>
      <c r="AC199" s="15">
        <f t="shared" si="95"/>
        <v>-0.95132548099712833</v>
      </c>
      <c r="AH199" s="15">
        <f t="shared" si="96"/>
        <v>-0.44650848148169814</v>
      </c>
      <c r="AI199" s="15">
        <f t="shared" si="97"/>
        <v>0.16180265585875939</v>
      </c>
      <c r="AJ199" s="18">
        <f t="shared" si="98"/>
        <v>3.8409652359934032</v>
      </c>
      <c r="AK199">
        <f t="shared" si="99"/>
        <v>1</v>
      </c>
      <c r="AL199">
        <f t="shared" si="100"/>
        <v>0.52070244772281371</v>
      </c>
      <c r="AM199">
        <f t="shared" si="101"/>
        <v>1</v>
      </c>
      <c r="AN199">
        <f t="shared" si="102"/>
        <v>-0.44650848148169814</v>
      </c>
      <c r="AO199">
        <f t="shared" si="103"/>
        <v>0.16180265585875939</v>
      </c>
    </row>
    <row r="200" spans="4:41" x14ac:dyDescent="0.25">
      <c r="D200" s="5">
        <v>41745</v>
      </c>
      <c r="E200" s="6">
        <v>39.619999999999997</v>
      </c>
      <c r="F200" s="6">
        <v>22.53</v>
      </c>
      <c r="G200" s="3">
        <f t="shared" si="81"/>
        <v>0.6897485890200109</v>
      </c>
      <c r="H200" s="3">
        <f t="shared" si="81"/>
        <v>0.17020098258151029</v>
      </c>
      <c r="I200" s="3">
        <f t="shared" si="78"/>
        <v>0.65875478743369353</v>
      </c>
      <c r="J200" s="3">
        <f t="shared" si="79"/>
        <v>0.14052016086616184</v>
      </c>
      <c r="K200" s="4"/>
      <c r="L200" s="3">
        <f t="shared" si="82"/>
        <v>4.0884291527224406</v>
      </c>
      <c r="M200" s="3">
        <f t="shared" si="83"/>
        <v>0.97837087315954674</v>
      </c>
      <c r="N200" s="3">
        <f t="shared" si="80"/>
        <v>0.97837087315954674</v>
      </c>
      <c r="O200" s="4"/>
      <c r="P200" s="3">
        <f t="shared" si="84"/>
        <v>0.65648455647804571</v>
      </c>
      <c r="Q200" s="3">
        <f t="shared" si="85"/>
        <v>0.14129110920024701</v>
      </c>
      <c r="R200" s="4"/>
      <c r="S200" s="3">
        <f t="shared" si="86"/>
        <v>3.6984799783291757</v>
      </c>
      <c r="T200" s="3">
        <f t="shared" si="87"/>
        <v>1.0815253897378239</v>
      </c>
      <c r="U200" s="3">
        <f t="shared" si="88"/>
        <v>1.0815253897378239</v>
      </c>
      <c r="V200" s="3">
        <f t="shared" si="89"/>
        <v>5.181857567926329E-2</v>
      </c>
      <c r="W200" s="4"/>
      <c r="X200" s="3">
        <f t="shared" si="90"/>
        <v>-0.8390194915432152</v>
      </c>
      <c r="Y200" s="14">
        <f t="shared" si="91"/>
        <v>-0.72592183716870251</v>
      </c>
      <c r="Z200" s="15">
        <f t="shared" si="92"/>
        <v>-0.72490005377964173</v>
      </c>
      <c r="AA200" s="15">
        <f t="shared" si="93"/>
        <v>0.65875478743369353</v>
      </c>
      <c r="AB200" s="15">
        <f t="shared" si="94"/>
        <v>0.14052016086616184</v>
      </c>
      <c r="AC200" s="15">
        <f t="shared" si="95"/>
        <v>-0.76846949929909669</v>
      </c>
      <c r="AH200" s="15">
        <f t="shared" si="96"/>
        <v>0.64616287381796467</v>
      </c>
      <c r="AI200" s="15">
        <f t="shared" si="97"/>
        <v>0.1266152673794641</v>
      </c>
      <c r="AJ200" s="18">
        <f t="shared" si="98"/>
        <v>3.1732285041631236</v>
      </c>
      <c r="AK200">
        <f t="shared" si="99"/>
        <v>1</v>
      </c>
      <c r="AL200">
        <f t="shared" si="100"/>
        <v>0.63027292152963332</v>
      </c>
      <c r="AM200">
        <f t="shared" si="101"/>
        <v>1</v>
      </c>
      <c r="AN200">
        <f t="shared" si="102"/>
        <v>0.64616287381796467</v>
      </c>
      <c r="AO200">
        <f t="shared" si="103"/>
        <v>0.1266152673794641</v>
      </c>
    </row>
    <row r="201" spans="4:41" x14ac:dyDescent="0.25">
      <c r="D201" s="5">
        <v>41744</v>
      </c>
      <c r="E201" s="6">
        <v>38.979999999999997</v>
      </c>
      <c r="F201" s="6">
        <v>22.39</v>
      </c>
      <c r="G201" s="3">
        <f t="shared" si="81"/>
        <v>0.61232691306610609</v>
      </c>
      <c r="H201" s="3">
        <f t="shared" si="81"/>
        <v>4.8715883668902761E-2</v>
      </c>
      <c r="I201" s="3">
        <f t="shared" si="78"/>
        <v>0.58133311147978872</v>
      </c>
      <c r="J201" s="3">
        <f t="shared" si="79"/>
        <v>1.9035061953554311E-2</v>
      </c>
      <c r="K201" s="4"/>
      <c r="L201" s="3">
        <f t="shared" si="82"/>
        <v>4.0173701347213697</v>
      </c>
      <c r="M201" s="3">
        <f t="shared" si="83"/>
        <v>0.99567624238273622</v>
      </c>
      <c r="N201" s="3">
        <f t="shared" si="80"/>
        <v>0.99567624238273622</v>
      </c>
      <c r="O201" s="4"/>
      <c r="P201" s="3">
        <f t="shared" si="84"/>
        <v>0.5790628805241409</v>
      </c>
      <c r="Q201" s="3">
        <f t="shared" si="85"/>
        <v>1.9806010287639491E-2</v>
      </c>
      <c r="R201" s="4"/>
      <c r="S201" s="3">
        <f t="shared" si="86"/>
        <v>3.6517472648316667</v>
      </c>
      <c r="T201" s="3">
        <f t="shared" si="87"/>
        <v>1.0953660562772782</v>
      </c>
      <c r="U201" s="3">
        <f t="shared" si="88"/>
        <v>1.0953660562772782</v>
      </c>
      <c r="V201" s="3">
        <f t="shared" si="89"/>
        <v>3.9102355045006476E-2</v>
      </c>
      <c r="W201" s="4"/>
      <c r="X201" s="3">
        <f t="shared" si="90"/>
        <v>-0.8314659335418273</v>
      </c>
      <c r="Y201" s="14">
        <f t="shared" si="91"/>
        <v>-0.67630584241627001</v>
      </c>
      <c r="Z201" s="15">
        <f t="shared" si="92"/>
        <v>-0.65476672244767342</v>
      </c>
      <c r="AA201" s="15">
        <f t="shared" si="93"/>
        <v>0.58133311147978872</v>
      </c>
      <c r="AB201" s="15">
        <f t="shared" si="94"/>
        <v>1.9035061953554311E-2</v>
      </c>
      <c r="AC201" s="15">
        <f t="shared" si="95"/>
        <v>-0.71899932699436642</v>
      </c>
      <c r="AH201" s="15">
        <f t="shared" si="96"/>
        <v>0.56874119786405986</v>
      </c>
      <c r="AI201" s="15">
        <f t="shared" si="97"/>
        <v>5.1301684668565717E-3</v>
      </c>
      <c r="AJ201" s="18">
        <f t="shared" si="98"/>
        <v>3.0015517084203314</v>
      </c>
      <c r="AK201">
        <f t="shared" si="99"/>
        <v>1</v>
      </c>
      <c r="AL201">
        <f t="shared" si="100"/>
        <v>0.66632202083653858</v>
      </c>
      <c r="AM201">
        <f t="shared" si="101"/>
        <v>1</v>
      </c>
      <c r="AN201">
        <f t="shared" si="102"/>
        <v>0.56874119786405986</v>
      </c>
      <c r="AO201">
        <f t="shared" si="103"/>
        <v>5.1301684668565717E-3</v>
      </c>
    </row>
    <row r="202" spans="4:41" x14ac:dyDescent="0.25">
      <c r="D202" s="5">
        <v>41743</v>
      </c>
      <c r="E202" s="6">
        <v>38.42</v>
      </c>
      <c r="F202" s="6">
        <v>22.35</v>
      </c>
      <c r="G202" s="3">
        <f t="shared" si="81"/>
        <v>-3.2777633289988235E-2</v>
      </c>
      <c r="H202" s="3">
        <f t="shared" si="81"/>
        <v>0.47080564406008507</v>
      </c>
      <c r="I202" s="3">
        <f t="shared" si="78"/>
        <v>-6.3771434876305585E-2</v>
      </c>
      <c r="J202" s="3">
        <f t="shared" si="79"/>
        <v>0.4411248223447366</v>
      </c>
      <c r="K202" s="4"/>
      <c r="L202" s="3">
        <f t="shared" si="82"/>
        <v>5.3171844526567895</v>
      </c>
      <c r="M202" s="3">
        <f t="shared" si="83"/>
        <v>0.7522778334314425</v>
      </c>
      <c r="N202" s="3">
        <f t="shared" si="80"/>
        <v>0.7522778334314425</v>
      </c>
      <c r="O202" s="4"/>
      <c r="P202" s="3">
        <f t="shared" si="84"/>
        <v>-6.6041665831953394E-2</v>
      </c>
      <c r="Q202" s="3">
        <f t="shared" si="85"/>
        <v>0.4418957706788218</v>
      </c>
      <c r="R202" s="4"/>
      <c r="S202" s="3">
        <f t="shared" si="86"/>
        <v>4.4766498989486667</v>
      </c>
      <c r="T202" s="3">
        <f t="shared" si="87"/>
        <v>0.89352531251983602</v>
      </c>
      <c r="U202" s="3">
        <f t="shared" si="88"/>
        <v>0.89352531251983602</v>
      </c>
      <c r="V202" s="3">
        <f t="shared" si="89"/>
        <v>0.24277444605091958</v>
      </c>
      <c r="W202" s="4"/>
      <c r="X202" s="3">
        <f t="shared" si="90"/>
        <v>-1.0435462796392365</v>
      </c>
      <c r="Y202" s="14">
        <f t="shared" si="91"/>
        <v>-1.4932950545753347</v>
      </c>
      <c r="Z202" s="15">
        <f t="shared" si="92"/>
        <v>-1.7760324497529674</v>
      </c>
      <c r="AA202" s="15">
        <f t="shared" si="93"/>
        <v>-6.3771434876305585E-2</v>
      </c>
      <c r="AB202" s="15">
        <f t="shared" si="94"/>
        <v>0.4411248223447366</v>
      </c>
      <c r="AC202" s="15">
        <f t="shared" si="95"/>
        <v>-1.5393487568267836</v>
      </c>
      <c r="AH202" s="15">
        <f t="shared" si="96"/>
        <v>-7.6363348492034425E-2</v>
      </c>
      <c r="AI202" s="15">
        <f t="shared" si="97"/>
        <v>0.42721992885803889</v>
      </c>
      <c r="AJ202" s="18">
        <f t="shared" si="98"/>
        <v>6.4156443864403387</v>
      </c>
      <c r="AK202">
        <f t="shared" si="99"/>
        <v>1</v>
      </c>
      <c r="AL202">
        <f t="shared" si="100"/>
        <v>0.31173797666015612</v>
      </c>
      <c r="AM202">
        <f t="shared" si="101"/>
        <v>1</v>
      </c>
      <c r="AN202">
        <f t="shared" si="102"/>
        <v>-7.6363348492034425E-2</v>
      </c>
      <c r="AO202">
        <f t="shared" si="103"/>
        <v>0.42721992885803889</v>
      </c>
    </row>
    <row r="203" spans="4:41" x14ac:dyDescent="0.25">
      <c r="D203" s="5">
        <v>41740</v>
      </c>
      <c r="E203" s="6">
        <v>38.450000000000003</v>
      </c>
      <c r="F203" s="6">
        <v>21.97</v>
      </c>
      <c r="G203" s="3">
        <f t="shared" si="81"/>
        <v>-0.16325129533678601</v>
      </c>
      <c r="H203" s="3">
        <f t="shared" si="81"/>
        <v>-0.23338447653429759</v>
      </c>
      <c r="I203" s="3">
        <f t="shared" si="78"/>
        <v>-0.19424509692310335</v>
      </c>
      <c r="J203" s="3">
        <f t="shared" si="79"/>
        <v>-0.26306529824964603</v>
      </c>
      <c r="K203" s="4"/>
      <c r="L203" s="3">
        <f t="shared" si="82"/>
        <v>3.6033544090853602</v>
      </c>
      <c r="M203" s="3">
        <f t="shared" si="83"/>
        <v>1.1100767634497879</v>
      </c>
      <c r="N203" s="3">
        <f t="shared" si="80"/>
        <v>1.1100767634497879</v>
      </c>
      <c r="O203" s="4"/>
      <c r="P203" s="3">
        <f t="shared" si="84"/>
        <v>-0.19651532787875117</v>
      </c>
      <c r="Q203" s="3">
        <f t="shared" si="85"/>
        <v>-0.26229434991556083</v>
      </c>
      <c r="R203" s="4"/>
      <c r="S203" s="3">
        <f t="shared" si="86"/>
        <v>3.3784080244454207</v>
      </c>
      <c r="T203" s="3">
        <f t="shared" si="87"/>
        <v>1.1839896102119329</v>
      </c>
      <c r="U203" s="3">
        <f t="shared" si="88"/>
        <v>1.1839896102119329</v>
      </c>
      <c r="V203" s="3">
        <f t="shared" si="89"/>
        <v>-3.8698802415915168E-2</v>
      </c>
      <c r="W203" s="4"/>
      <c r="X203" s="3">
        <f t="shared" si="90"/>
        <v>-0.80335358869054541</v>
      </c>
      <c r="Y203" s="14">
        <f t="shared" si="91"/>
        <v>-0.3769376746689781</v>
      </c>
      <c r="Z203" s="15">
        <f t="shared" si="92"/>
        <v>-0.21971751731535205</v>
      </c>
      <c r="AA203" s="15">
        <f t="shared" si="93"/>
        <v>-0.19424509692310335</v>
      </c>
      <c r="AB203" s="15">
        <f t="shared" si="94"/>
        <v>-0.26306529824964603</v>
      </c>
      <c r="AC203" s="15">
        <f t="shared" si="95"/>
        <v>-0.41792677702284375</v>
      </c>
      <c r="AH203" s="15">
        <f t="shared" si="96"/>
        <v>-0.20683701053883219</v>
      </c>
      <c r="AI203" s="15">
        <f t="shared" si="97"/>
        <v>-0.2769701917363438</v>
      </c>
      <c r="AJ203" s="18">
        <f t="shared" si="98"/>
        <v>1.9717955860291423</v>
      </c>
      <c r="AK203">
        <f t="shared" si="99"/>
        <v>1</v>
      </c>
      <c r="AL203">
        <f t="shared" si="100"/>
        <v>1</v>
      </c>
      <c r="AM203">
        <f t="shared" si="101"/>
        <v>0</v>
      </c>
      <c r="AN203">
        <f t="shared" si="102"/>
        <v>0</v>
      </c>
      <c r="AO203">
        <f t="shared" si="103"/>
        <v>0</v>
      </c>
    </row>
    <row r="204" spans="4:41" x14ac:dyDescent="0.25">
      <c r="D204" s="5">
        <v>41739</v>
      </c>
      <c r="E204" s="6">
        <v>38.6</v>
      </c>
      <c r="F204" s="6">
        <v>22.16</v>
      </c>
      <c r="G204" s="3">
        <f t="shared" si="81"/>
        <v>-1.153713781809016</v>
      </c>
      <c r="H204" s="3">
        <f t="shared" si="81"/>
        <v>-0.55354553492484626</v>
      </c>
      <c r="I204" s="3">
        <f t="shared" si="78"/>
        <v>-1.1847075833953333</v>
      </c>
      <c r="J204" s="3">
        <f t="shared" si="79"/>
        <v>-0.58322635664019473</v>
      </c>
      <c r="K204" s="4"/>
      <c r="L204" s="3">
        <f t="shared" si="82"/>
        <v>7.4187853332306632</v>
      </c>
      <c r="M204" s="3">
        <f t="shared" si="83"/>
        <v>0.53917182130650998</v>
      </c>
      <c r="N204" s="3">
        <f t="shared" si="80"/>
        <v>0.53917182130650998</v>
      </c>
      <c r="O204" s="4"/>
      <c r="P204" s="3">
        <f t="shared" si="84"/>
        <v>-1.186977814350981</v>
      </c>
      <c r="Q204" s="3">
        <f t="shared" si="85"/>
        <v>-0.58245540830610953</v>
      </c>
      <c r="R204" s="4"/>
      <c r="S204" s="3">
        <f t="shared" si="86"/>
        <v>5.8292294581345363</v>
      </c>
      <c r="T204" s="3">
        <f t="shared" si="87"/>
        <v>0.68619704005957516</v>
      </c>
      <c r="U204" s="3">
        <f t="shared" si="88"/>
        <v>0.68619704005957516</v>
      </c>
      <c r="V204" s="3">
        <f t="shared" si="89"/>
        <v>0.50679418764465467</v>
      </c>
      <c r="W204" s="4"/>
      <c r="X204" s="3">
        <f t="shared" si="90"/>
        <v>-1.5678532684406767</v>
      </c>
      <c r="Y204" s="14">
        <f t="shared" si="91"/>
        <v>-2.6184299736812084</v>
      </c>
      <c r="Z204" s="15">
        <f t="shared" si="92"/>
        <v>-3.1083181178433659</v>
      </c>
      <c r="AA204" s="15">
        <f t="shared" si="93"/>
        <v>-1.1847075833953333</v>
      </c>
      <c r="AB204" s="15">
        <f t="shared" si="94"/>
        <v>-0.58322635664019473</v>
      </c>
      <c r="AC204" s="15">
        <f t="shared" si="95"/>
        <v>-2.5881965041102553</v>
      </c>
      <c r="AH204" s="15">
        <f t="shared" si="96"/>
        <v>-1.1972994970110622</v>
      </c>
      <c r="AI204" s="15">
        <f t="shared" si="97"/>
        <v>-0.5971312501268925</v>
      </c>
      <c r="AJ204" s="18">
        <f t="shared" si="98"/>
        <v>13.812274660075772</v>
      </c>
      <c r="AK204">
        <f t="shared" si="99"/>
        <v>0.80721393734831204</v>
      </c>
      <c r="AL204">
        <f t="shared" si="100"/>
        <v>0.14479874236652548</v>
      </c>
      <c r="AM204">
        <f t="shared" si="101"/>
        <v>1</v>
      </c>
      <c r="AN204">
        <f t="shared" si="102"/>
        <v>-1.1972994970110622</v>
      </c>
      <c r="AO204">
        <f t="shared" si="103"/>
        <v>-0.5971312501268925</v>
      </c>
    </row>
    <row r="205" spans="4:41" x14ac:dyDescent="0.25">
      <c r="D205" s="5">
        <v>41738</v>
      </c>
      <c r="E205" s="6">
        <v>39.69</v>
      </c>
      <c r="F205" s="6">
        <v>22.62</v>
      </c>
      <c r="G205" s="3">
        <f t="shared" si="81"/>
        <v>0.68851216389244618</v>
      </c>
      <c r="H205" s="3">
        <f t="shared" si="81"/>
        <v>0.21834224598930446</v>
      </c>
      <c r="I205" s="3">
        <f t="shared" si="78"/>
        <v>0.65751836230612881</v>
      </c>
      <c r="J205" s="3">
        <f t="shared" si="79"/>
        <v>0.18866142427395602</v>
      </c>
      <c r="K205" s="4"/>
      <c r="L205" s="3">
        <f t="shared" si="82"/>
        <v>4.0851792859856841</v>
      </c>
      <c r="M205" s="3">
        <f t="shared" si="83"/>
        <v>0.97914919272260736</v>
      </c>
      <c r="N205" s="3">
        <f t="shared" si="80"/>
        <v>0.97914919272260736</v>
      </c>
      <c r="O205" s="4"/>
      <c r="P205" s="3">
        <f t="shared" si="84"/>
        <v>0.65524813135048099</v>
      </c>
      <c r="Q205" s="3">
        <f t="shared" si="85"/>
        <v>0.18943237260804119</v>
      </c>
      <c r="R205" s="4"/>
      <c r="S205" s="3">
        <f t="shared" si="86"/>
        <v>3.6957627059404139</v>
      </c>
      <c r="T205" s="3">
        <f t="shared" si="87"/>
        <v>1.0823205704117767</v>
      </c>
      <c r="U205" s="3">
        <f t="shared" si="88"/>
        <v>1.0823205704117767</v>
      </c>
      <c r="V205" s="3">
        <f t="shared" si="89"/>
        <v>5.1083602103929593E-2</v>
      </c>
      <c r="W205" s="4"/>
      <c r="X205" s="3">
        <f t="shared" si="90"/>
        <v>-0.83856094650645097</v>
      </c>
      <c r="Y205" s="14">
        <f t="shared" si="91"/>
        <v>-0.72304894084132998</v>
      </c>
      <c r="Z205" s="15">
        <f t="shared" si="92"/>
        <v>-0.72171921444055864</v>
      </c>
      <c r="AA205" s="15">
        <f t="shared" si="93"/>
        <v>0.65751836230612881</v>
      </c>
      <c r="AB205" s="15">
        <f t="shared" si="94"/>
        <v>0.18866142427395602</v>
      </c>
      <c r="AC205" s="15">
        <f t="shared" si="95"/>
        <v>-0.76622029419313076</v>
      </c>
      <c r="AH205" s="15">
        <f t="shared" si="96"/>
        <v>0.64492644869039994</v>
      </c>
      <c r="AI205" s="15">
        <f t="shared" si="97"/>
        <v>0.17475653078725828</v>
      </c>
      <c r="AJ205" s="18">
        <f t="shared" si="98"/>
        <v>3.1429111441194499</v>
      </c>
      <c r="AK205">
        <f t="shared" si="99"/>
        <v>1</v>
      </c>
      <c r="AL205">
        <f t="shared" si="100"/>
        <v>0.63635270241161734</v>
      </c>
      <c r="AM205">
        <f t="shared" si="101"/>
        <v>1</v>
      </c>
      <c r="AN205">
        <f t="shared" si="102"/>
        <v>0.64492644869039994</v>
      </c>
      <c r="AO205">
        <f t="shared" si="103"/>
        <v>0.17475653078725828</v>
      </c>
    </row>
    <row r="206" spans="4:41" x14ac:dyDescent="0.25">
      <c r="D206" s="5">
        <v>41737</v>
      </c>
      <c r="E206" s="6">
        <v>39.049999999999997</v>
      </c>
      <c r="F206" s="6">
        <v>22.44</v>
      </c>
      <c r="G206" s="3">
        <f t="shared" si="81"/>
        <v>2.1527030489362872E-2</v>
      </c>
      <c r="H206" s="3">
        <f t="shared" si="81"/>
        <v>0.10961073825503337</v>
      </c>
      <c r="I206" s="3">
        <f t="shared" si="78"/>
        <v>-9.466771096954478E-3</v>
      </c>
      <c r="J206" s="3">
        <f t="shared" si="79"/>
        <v>7.9929916539684925E-2</v>
      </c>
      <c r="K206" s="4"/>
      <c r="L206" s="3">
        <f t="shared" si="82"/>
        <v>3.0750199487444925</v>
      </c>
      <c r="M206" s="3">
        <f t="shared" si="83"/>
        <v>1.3008045692949635</v>
      </c>
      <c r="N206" s="3">
        <f t="shared" si="80"/>
        <v>1.3008045692949635</v>
      </c>
      <c r="O206" s="4"/>
      <c r="P206" s="3">
        <f t="shared" si="84"/>
        <v>-1.1737002052602294E-2</v>
      </c>
      <c r="Q206" s="3">
        <f t="shared" si="85"/>
        <v>8.0700864873770095E-2</v>
      </c>
      <c r="R206" s="4"/>
      <c r="S206" s="3">
        <f t="shared" si="86"/>
        <v>3.0491406163629078</v>
      </c>
      <c r="T206" s="3">
        <f t="shared" si="87"/>
        <v>1.3118450420208241</v>
      </c>
      <c r="U206" s="3">
        <f t="shared" si="88"/>
        <v>1.3118450420208241</v>
      </c>
      <c r="V206" s="3">
        <f t="shared" si="89"/>
        <v>-0.14124269387849608</v>
      </c>
      <c r="W206" s="4"/>
      <c r="X206" s="3">
        <f t="shared" si="90"/>
        <v>-0.81702244069764651</v>
      </c>
      <c r="Y206" s="14">
        <f t="shared" si="91"/>
        <v>6.3558879895368597E-3</v>
      </c>
      <c r="Z206" s="15">
        <f t="shared" si="92"/>
        <v>0.4144976958516095</v>
      </c>
      <c r="AA206" s="15">
        <f t="shared" si="93"/>
        <v>-9.466771096954478E-3</v>
      </c>
      <c r="AB206" s="15">
        <f t="shared" si="94"/>
        <v>7.9929916539684925E-2</v>
      </c>
      <c r="AC206" s="15">
        <f t="shared" si="95"/>
        <v>2.442239746371172E-3</v>
      </c>
      <c r="AH206" s="15">
        <f t="shared" si="96"/>
        <v>-2.2058684712683317E-2</v>
      </c>
      <c r="AI206" s="15">
        <f t="shared" si="97"/>
        <v>6.6025023052987186E-2</v>
      </c>
      <c r="AJ206" s="18">
        <f t="shared" si="98"/>
        <v>0.1670396620577225</v>
      </c>
      <c r="AK206">
        <f t="shared" si="99"/>
        <v>1</v>
      </c>
      <c r="AL206">
        <f t="shared" si="100"/>
        <v>1</v>
      </c>
      <c r="AM206">
        <f t="shared" si="101"/>
        <v>0</v>
      </c>
      <c r="AN206">
        <f t="shared" si="102"/>
        <v>0</v>
      </c>
      <c r="AO206">
        <f t="shared" si="103"/>
        <v>0</v>
      </c>
    </row>
    <row r="207" spans="4:41" x14ac:dyDescent="0.25">
      <c r="D207" s="5">
        <v>41736</v>
      </c>
      <c r="E207" s="6">
        <v>39.03</v>
      </c>
      <c r="F207" s="6">
        <v>22.35</v>
      </c>
      <c r="G207" s="3">
        <f t="shared" si="81"/>
        <v>-7.520971867007703E-2</v>
      </c>
      <c r="H207" s="3">
        <f t="shared" si="81"/>
        <v>0.17158036920306236</v>
      </c>
      <c r="I207" s="3">
        <f t="shared" si="78"/>
        <v>-0.10620352025639437</v>
      </c>
      <c r="J207" s="3">
        <f t="shared" si="79"/>
        <v>0.14189954748771391</v>
      </c>
      <c r="K207" s="4"/>
      <c r="L207" s="3">
        <f t="shared" si="82"/>
        <v>3.3411611787604705</v>
      </c>
      <c r="M207" s="3">
        <f t="shared" si="83"/>
        <v>1.1971885778596143</v>
      </c>
      <c r="N207" s="3">
        <f t="shared" si="80"/>
        <v>1.1971885778596143</v>
      </c>
      <c r="O207" s="4"/>
      <c r="P207" s="3">
        <f t="shared" si="84"/>
        <v>-0.1084737512120422</v>
      </c>
      <c r="Q207" s="3">
        <f t="shared" si="85"/>
        <v>0.14267049582179908</v>
      </c>
      <c r="R207" s="4"/>
      <c r="S207" s="3">
        <f t="shared" si="86"/>
        <v>3.2210435936350357</v>
      </c>
      <c r="T207" s="3">
        <f t="shared" si="87"/>
        <v>1.2418335498172786</v>
      </c>
      <c r="U207" s="3">
        <f t="shared" si="88"/>
        <v>1.2418335498172786</v>
      </c>
      <c r="V207" s="3">
        <f t="shared" si="89"/>
        <v>-8.6397699470275313E-2</v>
      </c>
      <c r="W207" s="4"/>
      <c r="X207" s="3">
        <f t="shared" si="90"/>
        <v>-0.80223357270529227</v>
      </c>
      <c r="Y207" s="14">
        <f t="shared" si="91"/>
        <v>-0.19702699596226136</v>
      </c>
      <c r="Z207" s="15">
        <f t="shared" si="92"/>
        <v>8.24696308637759E-2</v>
      </c>
      <c r="AA207" s="15">
        <f t="shared" si="93"/>
        <v>-0.10620352025639437</v>
      </c>
      <c r="AB207" s="15">
        <f t="shared" si="94"/>
        <v>0.14189954748771391</v>
      </c>
      <c r="AC207" s="15">
        <f t="shared" si="95"/>
        <v>-0.21483078045896892</v>
      </c>
      <c r="AH207" s="15">
        <f t="shared" si="96"/>
        <v>-0.11879543387212321</v>
      </c>
      <c r="AI207" s="15">
        <f t="shared" si="97"/>
        <v>0.12799465400101617</v>
      </c>
      <c r="AJ207" s="18">
        <f t="shared" si="98"/>
        <v>0.89482002205310063</v>
      </c>
      <c r="AK207">
        <f t="shared" si="99"/>
        <v>1</v>
      </c>
      <c r="AL207">
        <f t="shared" si="100"/>
        <v>1</v>
      </c>
      <c r="AM207">
        <f t="shared" si="101"/>
        <v>0</v>
      </c>
      <c r="AN207">
        <f t="shared" si="102"/>
        <v>0</v>
      </c>
      <c r="AO207">
        <f t="shared" si="103"/>
        <v>0</v>
      </c>
    </row>
    <row r="208" spans="4:41" x14ac:dyDescent="0.25">
      <c r="D208" s="5">
        <v>41733</v>
      </c>
      <c r="E208" s="6">
        <v>39.1</v>
      </c>
      <c r="F208" s="6">
        <v>22.21</v>
      </c>
      <c r="G208" s="3">
        <f t="shared" si="81"/>
        <v>-1.1698458478368945</v>
      </c>
      <c r="H208" s="3">
        <f t="shared" si="81"/>
        <v>-0.45788401947764379</v>
      </c>
      <c r="I208" s="3">
        <f t="shared" si="78"/>
        <v>-1.2008396494232119</v>
      </c>
      <c r="J208" s="3">
        <f t="shared" si="79"/>
        <v>-0.48756484119299226</v>
      </c>
      <c r="K208" s="4"/>
      <c r="L208" s="3">
        <f t="shared" si="82"/>
        <v>6.9896191024118401</v>
      </c>
      <c r="M208" s="3">
        <f t="shared" si="83"/>
        <v>0.57227725021807818</v>
      </c>
      <c r="N208" s="3">
        <f t="shared" si="80"/>
        <v>0.57227725021807818</v>
      </c>
      <c r="O208" s="4"/>
      <c r="P208" s="3">
        <f t="shared" si="84"/>
        <v>-1.2031098803788596</v>
      </c>
      <c r="Q208" s="3">
        <f t="shared" si="85"/>
        <v>-0.48679389285890706</v>
      </c>
      <c r="R208" s="4"/>
      <c r="S208" s="3">
        <f t="shared" si="86"/>
        <v>5.5664780388316499</v>
      </c>
      <c r="T208" s="3">
        <f t="shared" si="87"/>
        <v>0.71858722375190787</v>
      </c>
      <c r="U208" s="3">
        <f t="shared" si="88"/>
        <v>0.71858722375190787</v>
      </c>
      <c r="V208" s="3">
        <f t="shared" si="89"/>
        <v>0.46066967829050398</v>
      </c>
      <c r="W208" s="4"/>
      <c r="X208" s="3">
        <f t="shared" si="90"/>
        <v>-1.458670421149435</v>
      </c>
      <c r="Y208" s="14">
        <f t="shared" si="91"/>
        <v>-2.4168591393926828</v>
      </c>
      <c r="Z208" s="15">
        <f t="shared" si="92"/>
        <v>-2.8699610015099566</v>
      </c>
      <c r="AA208" s="15">
        <f t="shared" si="93"/>
        <v>-1.2008396494232119</v>
      </c>
      <c r="AB208" s="15">
        <f t="shared" si="94"/>
        <v>-0.48756484119299226</v>
      </c>
      <c r="AC208" s="15">
        <f t="shared" si="95"/>
        <v>-2.3952099244611076</v>
      </c>
      <c r="AH208" s="15">
        <f t="shared" si="96"/>
        <v>-1.2134315630389407</v>
      </c>
      <c r="AI208" s="15">
        <f t="shared" si="97"/>
        <v>-0.50146973467969003</v>
      </c>
      <c r="AJ208" s="18">
        <f t="shared" si="98"/>
        <v>12.464145955963426</v>
      </c>
      <c r="AK208">
        <f t="shared" si="99"/>
        <v>0.84974768820973068</v>
      </c>
      <c r="AL208">
        <f t="shared" si="100"/>
        <v>0.16046025191506258</v>
      </c>
      <c r="AM208">
        <f t="shared" si="101"/>
        <v>1</v>
      </c>
      <c r="AN208">
        <f t="shared" si="102"/>
        <v>-1.2134315630389407</v>
      </c>
      <c r="AO208">
        <f t="shared" si="103"/>
        <v>-0.50146973467969003</v>
      </c>
    </row>
    <row r="209" spans="4:41" x14ac:dyDescent="0.25">
      <c r="D209" s="5">
        <v>41732</v>
      </c>
      <c r="E209" s="6">
        <v>40.22</v>
      </c>
      <c r="F209" s="6">
        <v>22.59</v>
      </c>
      <c r="G209" s="3">
        <f t="shared" si="81"/>
        <v>-0.34188162762022017</v>
      </c>
      <c r="H209" s="3">
        <f t="shared" si="81"/>
        <v>0.12103156958648462</v>
      </c>
      <c r="I209" s="3">
        <f t="shared" si="78"/>
        <v>-0.37287542920653755</v>
      </c>
      <c r="J209" s="3">
        <f t="shared" si="79"/>
        <v>9.1350747871136173E-2</v>
      </c>
      <c r="K209" s="4"/>
      <c r="L209" s="3">
        <f t="shared" si="82"/>
        <v>3.7214673574169268</v>
      </c>
      <c r="M209" s="3">
        <f t="shared" si="83"/>
        <v>1.0748448436684401</v>
      </c>
      <c r="N209" s="3">
        <f t="shared" si="80"/>
        <v>1.0748448436684401</v>
      </c>
      <c r="O209" s="4"/>
      <c r="P209" s="3">
        <f t="shared" si="84"/>
        <v>-0.37514566016218531</v>
      </c>
      <c r="Q209" s="3">
        <f t="shared" si="85"/>
        <v>9.2121696205221343E-2</v>
      </c>
      <c r="R209" s="4"/>
      <c r="S209" s="3">
        <f t="shared" si="86"/>
        <v>3.4705903468917914</v>
      </c>
      <c r="T209" s="3">
        <f t="shared" si="87"/>
        <v>1.15254167164452</v>
      </c>
      <c r="U209" s="3">
        <f t="shared" si="88"/>
        <v>1.15254167164452</v>
      </c>
      <c r="V209" s="3">
        <f t="shared" si="89"/>
        <v>-1.1778761939140736E-2</v>
      </c>
      <c r="W209" s="4"/>
      <c r="X209" s="3">
        <f t="shared" si="90"/>
        <v>-0.80948471422714552</v>
      </c>
      <c r="Y209" s="14">
        <f t="shared" si="91"/>
        <v>-0.47969968003996488</v>
      </c>
      <c r="Z209" s="15">
        <f t="shared" si="92"/>
        <v>-0.34872891532539385</v>
      </c>
      <c r="AA209" s="15">
        <f t="shared" si="93"/>
        <v>-0.37287542920653755</v>
      </c>
      <c r="AB209" s="15">
        <f t="shared" si="94"/>
        <v>9.1350747871136173E-2</v>
      </c>
      <c r="AC209" s="15">
        <f t="shared" si="95"/>
        <v>-0.50615352316006679</v>
      </c>
      <c r="AH209" s="15">
        <f t="shared" si="96"/>
        <v>-0.38546734282226636</v>
      </c>
      <c r="AI209" s="15">
        <f t="shared" si="97"/>
        <v>7.7445854384438434E-2</v>
      </c>
      <c r="AJ209" s="18">
        <f t="shared" si="98"/>
        <v>2.0559903944695117</v>
      </c>
      <c r="AK209">
        <f t="shared" si="99"/>
        <v>1</v>
      </c>
      <c r="AL209">
        <f t="shared" si="100"/>
        <v>0.97276719063468275</v>
      </c>
      <c r="AM209">
        <f t="shared" si="101"/>
        <v>0</v>
      </c>
      <c r="AN209">
        <f t="shared" si="102"/>
        <v>0</v>
      </c>
      <c r="AO209">
        <f t="shared" si="103"/>
        <v>0</v>
      </c>
    </row>
    <row r="210" spans="4:41" x14ac:dyDescent="0.25">
      <c r="D210" s="5">
        <v>41731</v>
      </c>
      <c r="E210" s="6">
        <v>40.549999999999997</v>
      </c>
      <c r="F210" s="6">
        <v>22.49</v>
      </c>
      <c r="G210" s="3">
        <f t="shared" si="81"/>
        <v>-7.2395371738060363E-2</v>
      </c>
      <c r="H210" s="3">
        <f t="shared" si="81"/>
        <v>-0.13248672566372038</v>
      </c>
      <c r="I210" s="3">
        <f t="shared" si="78"/>
        <v>-0.10338917332437772</v>
      </c>
      <c r="J210" s="3">
        <f t="shared" si="79"/>
        <v>-0.16216754737906883</v>
      </c>
      <c r="K210" s="4"/>
      <c r="L210" s="3">
        <f t="shared" si="82"/>
        <v>3.2322702482086108</v>
      </c>
      <c r="M210" s="3">
        <f t="shared" si="83"/>
        <v>1.2375202853835878</v>
      </c>
      <c r="N210" s="3">
        <f t="shared" si="80"/>
        <v>1.2375202853835878</v>
      </c>
      <c r="O210" s="4"/>
      <c r="P210" s="3">
        <f t="shared" si="84"/>
        <v>-0.10565940428002553</v>
      </c>
      <c r="Q210" s="3">
        <f t="shared" si="85"/>
        <v>-0.16139659904498366</v>
      </c>
      <c r="R210" s="4"/>
      <c r="S210" s="3">
        <f t="shared" si="86"/>
        <v>3.1448538434211839</v>
      </c>
      <c r="T210" s="3">
        <f t="shared" si="87"/>
        <v>1.2719192048837891</v>
      </c>
      <c r="U210" s="3">
        <f t="shared" si="88"/>
        <v>1.2719192048837891</v>
      </c>
      <c r="V210" s="3">
        <f t="shared" si="89"/>
        <v>-0.11033545206040607</v>
      </c>
      <c r="W210" s="4"/>
      <c r="X210" s="3">
        <f t="shared" si="90"/>
        <v>-0.80652265276101809</v>
      </c>
      <c r="Y210" s="14">
        <f t="shared" si="91"/>
        <v>-0.1077964416705233</v>
      </c>
      <c r="Z210" s="15">
        <f t="shared" si="92"/>
        <v>0.21500423613020697</v>
      </c>
      <c r="AA210" s="15">
        <f t="shared" si="93"/>
        <v>-0.10338917332437772</v>
      </c>
      <c r="AB210" s="15">
        <f t="shared" si="94"/>
        <v>-0.16216754737906883</v>
      </c>
      <c r="AC210" s="15">
        <f t="shared" si="95"/>
        <v>-0.12735581826078127</v>
      </c>
      <c r="AH210" s="15">
        <f t="shared" si="96"/>
        <v>-0.11598108694010656</v>
      </c>
      <c r="AI210" s="15">
        <f t="shared" si="97"/>
        <v>-0.17607244086576657</v>
      </c>
      <c r="AJ210" s="18">
        <f t="shared" si="98"/>
        <v>0.80319099802272853</v>
      </c>
      <c r="AK210">
        <f t="shared" si="99"/>
        <v>1</v>
      </c>
      <c r="AL210">
        <f t="shared" si="100"/>
        <v>1</v>
      </c>
      <c r="AM210">
        <f t="shared" si="101"/>
        <v>0</v>
      </c>
      <c r="AN210">
        <f t="shared" si="102"/>
        <v>0</v>
      </c>
      <c r="AO210">
        <f t="shared" si="103"/>
        <v>0</v>
      </c>
    </row>
    <row r="211" spans="4:41" x14ac:dyDescent="0.25">
      <c r="D211" s="5">
        <v>41730</v>
      </c>
      <c r="E211" s="6">
        <v>40.619999999999997</v>
      </c>
      <c r="F211" s="6">
        <v>22.6</v>
      </c>
      <c r="G211" s="3">
        <f t="shared" si="81"/>
        <v>0.43891044776118832</v>
      </c>
      <c r="H211" s="3">
        <f t="shared" si="81"/>
        <v>1.0637701149425305</v>
      </c>
      <c r="I211" s="3">
        <f t="shared" si="78"/>
        <v>0.40791664617487094</v>
      </c>
      <c r="J211" s="3">
        <f t="shared" si="79"/>
        <v>1.0340892932271821</v>
      </c>
      <c r="K211" s="4"/>
      <c r="L211" s="3">
        <f t="shared" si="82"/>
        <v>13.021429878028824</v>
      </c>
      <c r="M211" s="3">
        <f t="shared" si="83"/>
        <v>0.30718592638963838</v>
      </c>
      <c r="N211" s="3">
        <f t="shared" si="80"/>
        <v>0.30718592638963838</v>
      </c>
      <c r="O211" s="4"/>
      <c r="P211" s="3">
        <f t="shared" si="84"/>
        <v>0.40564641521922318</v>
      </c>
      <c r="Q211" s="3">
        <f t="shared" si="85"/>
        <v>1.0348602415612673</v>
      </c>
      <c r="R211" s="4"/>
      <c r="S211" s="3">
        <f t="shared" si="86"/>
        <v>9.342227017442962</v>
      </c>
      <c r="T211" s="3">
        <f t="shared" si="87"/>
        <v>0.42816343389339195</v>
      </c>
      <c r="U211" s="3">
        <f t="shared" si="88"/>
        <v>0.42816343389339195</v>
      </c>
      <c r="V211" s="3">
        <f t="shared" si="89"/>
        <v>0.97848905428410404</v>
      </c>
      <c r="W211" s="4"/>
      <c r="X211" s="3">
        <f t="shared" si="90"/>
        <v>-3.0205299683887508</v>
      </c>
      <c r="Y211" s="14">
        <f t="shared" si="91"/>
        <v>-4.7855250156845832</v>
      </c>
      <c r="Z211" s="15">
        <f t="shared" si="92"/>
        <v>-5.3586425592589695</v>
      </c>
      <c r="AA211" s="15">
        <f t="shared" si="93"/>
        <v>0.40791664617487094</v>
      </c>
      <c r="AB211" s="15">
        <f t="shared" si="94"/>
        <v>1.0340892932271821</v>
      </c>
      <c r="AC211" s="15">
        <f t="shared" si="95"/>
        <v>-4.5052733821885464</v>
      </c>
      <c r="AH211" s="15">
        <f t="shared" si="96"/>
        <v>0.39532473255914213</v>
      </c>
      <c r="AI211" s="15">
        <f t="shared" si="97"/>
        <v>1.0201843997404842</v>
      </c>
      <c r="AJ211" s="18">
        <f t="shared" si="98"/>
        <v>28.574736579118181</v>
      </c>
      <c r="AK211">
        <f t="shared" si="99"/>
        <v>0.56121612007971622</v>
      </c>
      <c r="AL211">
        <f t="shared" si="100"/>
        <v>6.9991896319406777E-2</v>
      </c>
      <c r="AM211">
        <f t="shared" si="101"/>
        <v>1</v>
      </c>
      <c r="AN211">
        <f t="shared" si="102"/>
        <v>0.39532473255914213</v>
      </c>
      <c r="AO211">
        <f t="shared" si="103"/>
        <v>1.0201843997404842</v>
      </c>
    </row>
    <row r="212" spans="4:41" x14ac:dyDescent="0.25">
      <c r="D212" s="5">
        <v>41729</v>
      </c>
      <c r="E212" s="6">
        <v>40.200000000000003</v>
      </c>
      <c r="F212" s="6">
        <v>21.75</v>
      </c>
      <c r="G212" s="3">
        <f t="shared" si="81"/>
        <v>0.72284412955465549</v>
      </c>
      <c r="H212" s="3">
        <f t="shared" si="81"/>
        <v>0.11310249307479206</v>
      </c>
      <c r="I212" s="3">
        <f t="shared" si="78"/>
        <v>0.69185032796833812</v>
      </c>
      <c r="J212" s="3">
        <f t="shared" si="79"/>
        <v>8.3421671359443617E-2</v>
      </c>
      <c r="K212" s="4"/>
      <c r="L212" s="3">
        <f t="shared" si="82"/>
        <v>4.2809473608181303</v>
      </c>
      <c r="M212" s="3">
        <f t="shared" si="83"/>
        <v>0.93437261962397999</v>
      </c>
      <c r="N212" s="3">
        <f t="shared" si="80"/>
        <v>0.93437261962397999</v>
      </c>
      <c r="O212" s="4"/>
      <c r="P212" s="3">
        <f t="shared" si="84"/>
        <v>0.6895800970126903</v>
      </c>
      <c r="Q212" s="3">
        <f t="shared" si="85"/>
        <v>8.4192619693528786E-2</v>
      </c>
      <c r="R212" s="4"/>
      <c r="S212" s="3">
        <f t="shared" si="86"/>
        <v>3.8224948377400452</v>
      </c>
      <c r="T212" s="3">
        <f t="shared" si="87"/>
        <v>1.0464369920156387</v>
      </c>
      <c r="U212" s="3">
        <f t="shared" si="88"/>
        <v>1.0464369920156387</v>
      </c>
      <c r="V212" s="3">
        <f t="shared" si="89"/>
        <v>8.4800190727207791E-2</v>
      </c>
      <c r="W212" s="4"/>
      <c r="X212" s="3">
        <f t="shared" si="90"/>
        <v>-0.86232824626270532</v>
      </c>
      <c r="Y212" s="14">
        <f t="shared" si="91"/>
        <v>-0.85549263101514361</v>
      </c>
      <c r="Z212" s="15">
        <f t="shared" si="92"/>
        <v>-0.90895407395567251</v>
      </c>
      <c r="AA212" s="15">
        <f t="shared" si="93"/>
        <v>0.69185032796833812</v>
      </c>
      <c r="AB212" s="15">
        <f t="shared" si="94"/>
        <v>8.3421671359443617E-2</v>
      </c>
      <c r="AC212" s="15">
        <f t="shared" si="95"/>
        <v>-0.89950242689502602</v>
      </c>
      <c r="AH212" s="15">
        <f t="shared" si="96"/>
        <v>0.67925841435260925</v>
      </c>
      <c r="AI212" s="15">
        <f t="shared" si="97"/>
        <v>6.9516777872745877E-2</v>
      </c>
      <c r="AJ212" s="18">
        <f t="shared" si="98"/>
        <v>3.7653423531255119</v>
      </c>
      <c r="AK212">
        <f t="shared" si="99"/>
        <v>1</v>
      </c>
      <c r="AL212">
        <f t="shared" si="100"/>
        <v>0.53116020070256098</v>
      </c>
      <c r="AM212">
        <f t="shared" si="101"/>
        <v>1</v>
      </c>
      <c r="AN212">
        <f t="shared" si="102"/>
        <v>0.67925841435260925</v>
      </c>
      <c r="AO212">
        <f t="shared" si="103"/>
        <v>6.9516777872745877E-2</v>
      </c>
    </row>
    <row r="213" spans="4:41" x14ac:dyDescent="0.25">
      <c r="D213" s="5">
        <v>41726</v>
      </c>
      <c r="E213" s="6">
        <v>39.520000000000003</v>
      </c>
      <c r="F213" s="6">
        <v>21.66</v>
      </c>
      <c r="G213" s="3">
        <f t="shared" si="81"/>
        <v>1.0012746113989655</v>
      </c>
      <c r="H213" s="3">
        <f t="shared" si="81"/>
        <v>0.38230337078651777</v>
      </c>
      <c r="I213" s="3">
        <f t="shared" si="78"/>
        <v>0.97028080981264808</v>
      </c>
      <c r="J213" s="3">
        <f t="shared" si="79"/>
        <v>0.3526225490711693</v>
      </c>
      <c r="K213" s="4"/>
      <c r="L213" s="3">
        <f t="shared" si="82"/>
        <v>5.4843891425006648</v>
      </c>
      <c r="M213" s="3">
        <f t="shared" si="83"/>
        <v>0.72934284859592546</v>
      </c>
      <c r="N213" s="3">
        <f t="shared" si="80"/>
        <v>0.72934284859592546</v>
      </c>
      <c r="O213" s="4"/>
      <c r="P213" s="3">
        <f t="shared" si="84"/>
        <v>0.96801057885700026</v>
      </c>
      <c r="Q213" s="3">
        <f t="shared" si="85"/>
        <v>0.3533934974052545</v>
      </c>
      <c r="R213" s="4"/>
      <c r="S213" s="3">
        <f t="shared" si="86"/>
        <v>4.5928376886524482</v>
      </c>
      <c r="T213" s="3">
        <f t="shared" si="87"/>
        <v>0.87092126287911809</v>
      </c>
      <c r="U213" s="3">
        <f t="shared" si="88"/>
        <v>0.87092126287911809</v>
      </c>
      <c r="V213" s="3">
        <f t="shared" si="89"/>
        <v>0.26839819052826286</v>
      </c>
      <c r="W213" s="4"/>
      <c r="X213" s="3">
        <f t="shared" si="90"/>
        <v>-1.0830343333053571</v>
      </c>
      <c r="Y213" s="14">
        <f t="shared" si="91"/>
        <v>-1.5993439554052307</v>
      </c>
      <c r="Z213" s="15">
        <f t="shared" si="92"/>
        <v>-1.8998796247821026</v>
      </c>
      <c r="AA213" s="15">
        <f t="shared" si="93"/>
        <v>0.97028080981264808</v>
      </c>
      <c r="AB213" s="15">
        <f t="shared" si="94"/>
        <v>0.3526225490711693</v>
      </c>
      <c r="AC213" s="15">
        <f t="shared" si="95"/>
        <v>-1.6336383963661325</v>
      </c>
      <c r="AH213" s="15">
        <f t="shared" si="96"/>
        <v>0.95768889619691921</v>
      </c>
      <c r="AI213" s="15">
        <f t="shared" si="97"/>
        <v>0.33871765558447159</v>
      </c>
      <c r="AJ213" s="18">
        <f t="shared" si="98"/>
        <v>7.2699574024125644</v>
      </c>
      <c r="AK213">
        <f t="shared" si="99"/>
        <v>1</v>
      </c>
      <c r="AL213">
        <f t="shared" si="100"/>
        <v>0.27510477562582308</v>
      </c>
      <c r="AM213">
        <f t="shared" si="101"/>
        <v>1</v>
      </c>
      <c r="AN213">
        <f t="shared" si="102"/>
        <v>0.95768889619691921</v>
      </c>
      <c r="AO213">
        <f t="shared" si="103"/>
        <v>0.33871765558447159</v>
      </c>
    </row>
    <row r="214" spans="4:41" x14ac:dyDescent="0.25">
      <c r="D214" s="5">
        <v>41725</v>
      </c>
      <c r="E214" s="6">
        <v>38.6</v>
      </c>
      <c r="F214" s="6">
        <v>21.36</v>
      </c>
      <c r="G214" s="3">
        <f t="shared" si="81"/>
        <v>-0.45218349564326166</v>
      </c>
      <c r="H214" s="3">
        <f t="shared" si="81"/>
        <v>-0.36460969976905205</v>
      </c>
      <c r="I214" s="3">
        <f t="shared" si="78"/>
        <v>-0.48317729722957903</v>
      </c>
      <c r="J214" s="3">
        <f t="shared" si="79"/>
        <v>-0.39429052148440052</v>
      </c>
      <c r="K214" s="4"/>
      <c r="L214" s="3">
        <f t="shared" si="82"/>
        <v>4.4116617096615585</v>
      </c>
      <c r="M214" s="3">
        <f t="shared" si="83"/>
        <v>0.90668783402861164</v>
      </c>
      <c r="N214" s="3">
        <f t="shared" si="80"/>
        <v>0.90668783402861164</v>
      </c>
      <c r="O214" s="4"/>
      <c r="P214" s="3">
        <f t="shared" si="84"/>
        <v>-0.48544752818522685</v>
      </c>
      <c r="Q214" s="3">
        <f t="shared" si="85"/>
        <v>-0.39351957315031533</v>
      </c>
      <c r="R214" s="4"/>
      <c r="S214" s="3">
        <f t="shared" si="86"/>
        <v>3.892977789195176</v>
      </c>
      <c r="T214" s="3">
        <f t="shared" si="87"/>
        <v>1.0274910920637308</v>
      </c>
      <c r="U214" s="3">
        <f t="shared" si="88"/>
        <v>1.0274910920637308</v>
      </c>
      <c r="V214" s="3">
        <f t="shared" si="89"/>
        <v>0.10307141732335268</v>
      </c>
      <c r="W214" s="4"/>
      <c r="X214" s="3">
        <f t="shared" si="90"/>
        <v>-0.87750184859156422</v>
      </c>
      <c r="Y214" s="14">
        <f t="shared" si="91"/>
        <v>-0.92781676472059005</v>
      </c>
      <c r="Z214" s="15">
        <f t="shared" si="92"/>
        <v>-1.0292624432024258</v>
      </c>
      <c r="AA214" s="15">
        <f t="shared" si="93"/>
        <v>-0.48317729722957903</v>
      </c>
      <c r="AB214" s="15">
        <f t="shared" si="94"/>
        <v>-0.39429052148440052</v>
      </c>
      <c r="AC214" s="15">
        <f t="shared" si="95"/>
        <v>-0.98608474314425032</v>
      </c>
      <c r="AH214" s="15">
        <f t="shared" si="96"/>
        <v>-0.49576921084530784</v>
      </c>
      <c r="AI214" s="15">
        <f t="shared" si="97"/>
        <v>-0.40819541497109824</v>
      </c>
      <c r="AJ214" s="18">
        <f t="shared" si="98"/>
        <v>4.5098938060476055</v>
      </c>
      <c r="AK214">
        <f t="shared" si="99"/>
        <v>1</v>
      </c>
      <c r="AL214">
        <f t="shared" si="100"/>
        <v>0.44346942212210672</v>
      </c>
      <c r="AM214">
        <f t="shared" si="101"/>
        <v>1</v>
      </c>
      <c r="AN214">
        <f t="shared" si="102"/>
        <v>-0.49576921084530784</v>
      </c>
      <c r="AO214">
        <f t="shared" si="103"/>
        <v>-0.40819541497109824</v>
      </c>
    </row>
    <row r="215" spans="4:41" x14ac:dyDescent="0.25">
      <c r="D215" s="5">
        <v>41724</v>
      </c>
      <c r="E215" s="6">
        <v>39.020000000000003</v>
      </c>
      <c r="F215" s="6">
        <v>21.65</v>
      </c>
      <c r="G215" s="3">
        <f t="shared" si="81"/>
        <v>-0.5734428715874611</v>
      </c>
      <c r="H215" s="3">
        <f t="shared" si="81"/>
        <v>-2.5122288878637981E-2</v>
      </c>
      <c r="I215" s="3">
        <f t="shared" si="78"/>
        <v>-0.60443667317377847</v>
      </c>
      <c r="J215" s="3">
        <f t="shared" si="79"/>
        <v>-5.4803110593986432E-2</v>
      </c>
      <c r="K215" s="4"/>
      <c r="L215" s="3">
        <f t="shared" si="82"/>
        <v>4.0123049981818477</v>
      </c>
      <c r="M215" s="3">
        <f t="shared" si="83"/>
        <v>0.99693318474357662</v>
      </c>
      <c r="N215" s="3">
        <f t="shared" si="80"/>
        <v>0.99693318474357662</v>
      </c>
      <c r="O215" s="4"/>
      <c r="P215" s="3">
        <f t="shared" si="84"/>
        <v>-0.60670690412942629</v>
      </c>
      <c r="Q215" s="3">
        <f t="shared" si="85"/>
        <v>-5.4032162259901248E-2</v>
      </c>
      <c r="R215" s="4"/>
      <c r="S215" s="3">
        <f t="shared" si="86"/>
        <v>3.6616295320675745</v>
      </c>
      <c r="T215" s="3">
        <f t="shared" si="87"/>
        <v>1.0924098041511483</v>
      </c>
      <c r="U215" s="3">
        <f t="shared" si="88"/>
        <v>1.0924098041511483</v>
      </c>
      <c r="V215" s="3">
        <f t="shared" si="89"/>
        <v>4.1804885899665578E-2</v>
      </c>
      <c r="W215" s="4"/>
      <c r="X215" s="3">
        <f t="shared" si="90"/>
        <v>-0.83300355524315872</v>
      </c>
      <c r="Y215" s="14">
        <f t="shared" si="91"/>
        <v>-0.68683458910788509</v>
      </c>
      <c r="Z215" s="15">
        <f t="shared" si="92"/>
        <v>-0.64972030437719241</v>
      </c>
      <c r="AA215" s="15">
        <f t="shared" si="93"/>
        <v>-0.60443667317377847</v>
      </c>
      <c r="AB215" s="15">
        <f t="shared" si="94"/>
        <v>-5.4803110593986432E-2</v>
      </c>
      <c r="AC215" s="15">
        <f t="shared" si="95"/>
        <v>-0.71544958806026937</v>
      </c>
      <c r="AH215" s="15">
        <f t="shared" si="96"/>
        <v>-0.61702858678950734</v>
      </c>
      <c r="AI215" s="15">
        <f t="shared" si="97"/>
        <v>-6.8708004080684171E-2</v>
      </c>
      <c r="AJ215" s="18">
        <f t="shared" si="98"/>
        <v>3.0771677191020785</v>
      </c>
      <c r="AK215">
        <f t="shared" si="99"/>
        <v>1</v>
      </c>
      <c r="AL215">
        <f t="shared" si="100"/>
        <v>0.64994832344842179</v>
      </c>
      <c r="AM215">
        <f t="shared" si="101"/>
        <v>1</v>
      </c>
      <c r="AN215">
        <f t="shared" si="102"/>
        <v>-0.61702858678950734</v>
      </c>
      <c r="AO215">
        <f t="shared" si="103"/>
        <v>-6.8708004080684171E-2</v>
      </c>
    </row>
    <row r="216" spans="4:41" x14ac:dyDescent="0.25">
      <c r="D216" s="5">
        <v>41723</v>
      </c>
      <c r="E216" s="6">
        <v>39.56</v>
      </c>
      <c r="F216" s="6">
        <v>21.67</v>
      </c>
      <c r="G216" s="3">
        <f t="shared" si="81"/>
        <v>-0.16922457200402458</v>
      </c>
      <c r="H216" s="3">
        <f t="shared" si="81"/>
        <v>0.97586042065009537</v>
      </c>
      <c r="I216" s="3">
        <f t="shared" si="78"/>
        <v>-0.20021837359034192</v>
      </c>
      <c r="J216" s="3">
        <f t="shared" si="79"/>
        <v>0.9461795989347469</v>
      </c>
      <c r="K216" s="4"/>
      <c r="L216" s="3">
        <f t="shared" si="82"/>
        <v>14.058720009063812</v>
      </c>
      <c r="M216" s="3">
        <f t="shared" si="83"/>
        <v>0.28452092348529284</v>
      </c>
      <c r="N216" s="3">
        <f t="shared" si="80"/>
        <v>0.28452092348529284</v>
      </c>
      <c r="O216" s="4"/>
      <c r="P216" s="3">
        <f t="shared" si="84"/>
        <v>-0.20248860454598974</v>
      </c>
      <c r="Q216" s="3">
        <f t="shared" si="85"/>
        <v>0.9469505472688321</v>
      </c>
      <c r="R216" s="4"/>
      <c r="S216" s="3">
        <f t="shared" si="86"/>
        <v>10.027751517752527</v>
      </c>
      <c r="T216" s="3">
        <f t="shared" si="87"/>
        <v>0.3988930113514122</v>
      </c>
      <c r="U216" s="3">
        <f t="shared" si="88"/>
        <v>0.3988930113514122</v>
      </c>
      <c r="V216" s="3">
        <f t="shared" si="89"/>
        <v>1.0493079725049093</v>
      </c>
      <c r="W216" s="4"/>
      <c r="X216" s="3">
        <f t="shared" si="90"/>
        <v>-3.2821102785996099</v>
      </c>
      <c r="Y216" s="14">
        <f t="shared" si="91"/>
        <v>-5.1255440068703635</v>
      </c>
      <c r="Z216" s="15">
        <f t="shared" si="92"/>
        <v>-5.6652281275169241</v>
      </c>
      <c r="AA216" s="15">
        <f t="shared" si="93"/>
        <v>-0.20021837359034192</v>
      </c>
      <c r="AB216" s="15">
        <f t="shared" si="94"/>
        <v>0.9461795989347469</v>
      </c>
      <c r="AC216" s="15">
        <f t="shared" si="95"/>
        <v>-4.7777610631074134</v>
      </c>
      <c r="AH216" s="15">
        <f t="shared" si="96"/>
        <v>-0.21281028720607076</v>
      </c>
      <c r="AI216" s="15">
        <f t="shared" si="97"/>
        <v>0.93227470544804913</v>
      </c>
      <c r="AJ216" s="18">
        <f t="shared" si="98"/>
        <v>31.385579856191605</v>
      </c>
      <c r="AK216">
        <f t="shared" si="99"/>
        <v>0.53549593244913996</v>
      </c>
      <c r="AL216">
        <f t="shared" si="100"/>
        <v>6.3723531926571972E-2</v>
      </c>
      <c r="AM216">
        <f t="shared" si="101"/>
        <v>1</v>
      </c>
      <c r="AN216">
        <f t="shared" si="102"/>
        <v>-0.21281028720607076</v>
      </c>
      <c r="AO216">
        <f t="shared" si="103"/>
        <v>0.93227470544804913</v>
      </c>
    </row>
    <row r="217" spans="4:41" x14ac:dyDescent="0.25">
      <c r="D217" s="5">
        <v>41722</v>
      </c>
      <c r="E217" s="6">
        <v>39.72</v>
      </c>
      <c r="F217" s="6">
        <v>20.92</v>
      </c>
      <c r="G217" s="3">
        <f t="shared" si="81"/>
        <v>0.36270695784661866</v>
      </c>
      <c r="H217" s="3">
        <f t="shared" si="81"/>
        <v>-9.0776560266789472E-2</v>
      </c>
      <c r="I217" s="3">
        <f t="shared" si="78"/>
        <v>0.33171315626030129</v>
      </c>
      <c r="J217" s="3">
        <f t="shared" si="79"/>
        <v>-0.12045738198213793</v>
      </c>
      <c r="K217" s="4"/>
      <c r="L217" s="3">
        <f t="shared" si="82"/>
        <v>3.7297999165713929</v>
      </c>
      <c r="M217" s="3">
        <f t="shared" si="83"/>
        <v>1.07244358664606</v>
      </c>
      <c r="N217" s="3">
        <f t="shared" si="80"/>
        <v>1.07244358664606</v>
      </c>
      <c r="O217" s="4"/>
      <c r="P217" s="3">
        <f t="shared" si="84"/>
        <v>0.32944292530465347</v>
      </c>
      <c r="Q217" s="3">
        <f t="shared" si="85"/>
        <v>-0.11968643364805275</v>
      </c>
      <c r="R217" s="4"/>
      <c r="S217" s="3">
        <f t="shared" si="86"/>
        <v>3.462364254434581</v>
      </c>
      <c r="T217" s="3">
        <f t="shared" si="87"/>
        <v>1.1552799492071979</v>
      </c>
      <c r="U217" s="3">
        <f t="shared" si="88"/>
        <v>1.1552799492071979</v>
      </c>
      <c r="V217" s="3">
        <f t="shared" si="89"/>
        <v>-1.4151800888928534E-2</v>
      </c>
      <c r="W217" s="4"/>
      <c r="X217" s="3">
        <f t="shared" si="90"/>
        <v>-0.80878859342000231</v>
      </c>
      <c r="Y217" s="14">
        <f t="shared" si="91"/>
        <v>-0.47060585034432512</v>
      </c>
      <c r="Z217" s="15">
        <f t="shared" si="92"/>
        <v>-0.35767511180066802</v>
      </c>
      <c r="AA217" s="15">
        <f t="shared" si="93"/>
        <v>0.33171315626030129</v>
      </c>
      <c r="AB217" s="15">
        <f t="shared" si="94"/>
        <v>-0.12045738198213793</v>
      </c>
      <c r="AC217" s="15">
        <f t="shared" si="95"/>
        <v>-0.51230481646333059</v>
      </c>
      <c r="AH217" s="15">
        <f t="shared" si="96"/>
        <v>0.31912124264457248</v>
      </c>
      <c r="AI217" s="15">
        <f t="shared" si="97"/>
        <v>-0.13436227546883567</v>
      </c>
      <c r="AJ217" s="18">
        <f t="shared" si="98"/>
        <v>2.2050088472803351</v>
      </c>
      <c r="AK217">
        <f t="shared" si="99"/>
        <v>1</v>
      </c>
      <c r="AL217">
        <f t="shared" si="100"/>
        <v>0.90702583913293877</v>
      </c>
      <c r="AM217">
        <f t="shared" si="101"/>
        <v>0</v>
      </c>
      <c r="AN217">
        <f t="shared" si="102"/>
        <v>0</v>
      </c>
      <c r="AO217">
        <f t="shared" si="103"/>
        <v>0</v>
      </c>
    </row>
    <row r="218" spans="4:41" x14ac:dyDescent="0.25">
      <c r="D218" s="5">
        <v>41719</v>
      </c>
      <c r="E218" s="6">
        <v>39.380000000000003</v>
      </c>
      <c r="F218" s="6">
        <v>20.99</v>
      </c>
      <c r="G218" s="3">
        <f t="shared" si="81"/>
        <v>-0.18057395701642917</v>
      </c>
      <c r="H218" s="3">
        <f t="shared" si="81"/>
        <v>-0.23144071799716998</v>
      </c>
      <c r="I218" s="3">
        <f t="shared" si="78"/>
        <v>-0.21156775860274651</v>
      </c>
      <c r="J218" s="3">
        <f t="shared" si="79"/>
        <v>-0.26112153971251845</v>
      </c>
      <c r="K218" s="4"/>
      <c r="L218" s="3">
        <f t="shared" si="82"/>
        <v>3.5916439230722825</v>
      </c>
      <c r="M218" s="3">
        <f t="shared" si="83"/>
        <v>1.1136961474116318</v>
      </c>
      <c r="N218" s="3">
        <f t="shared" si="80"/>
        <v>1.1136961474116318</v>
      </c>
      <c r="O218" s="4"/>
      <c r="P218" s="3">
        <f t="shared" si="84"/>
        <v>-0.21383798955839434</v>
      </c>
      <c r="Q218" s="3">
        <f t="shared" si="85"/>
        <v>-0.26035059137843325</v>
      </c>
      <c r="R218" s="4"/>
      <c r="S218" s="3">
        <f t="shared" si="86"/>
        <v>3.3713627575921143</v>
      </c>
      <c r="T218" s="3">
        <f t="shared" si="87"/>
        <v>1.1864638389898063</v>
      </c>
      <c r="U218" s="3">
        <f t="shared" si="88"/>
        <v>1.1864638389898063</v>
      </c>
      <c r="V218" s="3">
        <f t="shared" si="89"/>
        <v>-4.0786352243360469E-2</v>
      </c>
      <c r="W218" s="4"/>
      <c r="X218" s="3">
        <f t="shared" si="90"/>
        <v>-0.80304139591590729</v>
      </c>
      <c r="Y218" s="14">
        <f t="shared" si="91"/>
        <v>-0.36900558823302088</v>
      </c>
      <c r="Z218" s="15">
        <f t="shared" si="92"/>
        <v>-0.20669680952586689</v>
      </c>
      <c r="AA218" s="15">
        <f t="shared" si="93"/>
        <v>-0.21156775860274651</v>
      </c>
      <c r="AB218" s="15">
        <f t="shared" si="94"/>
        <v>-0.26112153971251845</v>
      </c>
      <c r="AC218" s="15">
        <f t="shared" si="95"/>
        <v>-0.40907242856527753</v>
      </c>
      <c r="AH218" s="15">
        <f t="shared" si="96"/>
        <v>-0.22415967221847535</v>
      </c>
      <c r="AI218" s="15">
        <f t="shared" si="97"/>
        <v>-0.27502643319921616</v>
      </c>
      <c r="AJ218" s="18">
        <f t="shared" si="98"/>
        <v>1.9398340087712298</v>
      </c>
      <c r="AK218">
        <f t="shared" si="99"/>
        <v>1</v>
      </c>
      <c r="AL218">
        <f t="shared" si="100"/>
        <v>1</v>
      </c>
      <c r="AM218">
        <f t="shared" si="101"/>
        <v>0</v>
      </c>
      <c r="AN218">
        <f t="shared" si="102"/>
        <v>0</v>
      </c>
      <c r="AO218">
        <f t="shared" si="103"/>
        <v>0</v>
      </c>
    </row>
    <row r="219" spans="4:41" x14ac:dyDescent="0.25">
      <c r="D219" s="5">
        <v>41718</v>
      </c>
      <c r="E219" s="6">
        <v>39.549999999999997</v>
      </c>
      <c r="F219" s="6">
        <v>21.17</v>
      </c>
      <c r="G219" s="3">
        <f t="shared" si="81"/>
        <v>1.1345209036613857</v>
      </c>
      <c r="H219" s="3">
        <f t="shared" si="81"/>
        <v>0.24651096282173665</v>
      </c>
      <c r="I219" s="3">
        <f t="shared" si="78"/>
        <v>1.1035271020750683</v>
      </c>
      <c r="J219" s="3">
        <f t="shared" si="79"/>
        <v>0.21683014110638821</v>
      </c>
      <c r="K219" s="4"/>
      <c r="L219" s="3">
        <f t="shared" si="82"/>
        <v>6.0742808530946739</v>
      </c>
      <c r="M219" s="3">
        <f t="shared" si="83"/>
        <v>0.65851416764210258</v>
      </c>
      <c r="N219" s="3">
        <f t="shared" si="80"/>
        <v>0.65851416764210258</v>
      </c>
      <c r="O219" s="4"/>
      <c r="P219" s="3">
        <f t="shared" si="84"/>
        <v>1.1012568711194206</v>
      </c>
      <c r="Q219" s="3">
        <f t="shared" si="85"/>
        <v>0.21760108944047338</v>
      </c>
      <c r="R219" s="4"/>
      <c r="S219" s="3">
        <f t="shared" si="86"/>
        <v>4.9792754255041629</v>
      </c>
      <c r="T219" s="3">
        <f t="shared" si="87"/>
        <v>0.80332973338083447</v>
      </c>
      <c r="U219" s="3">
        <f t="shared" si="88"/>
        <v>0.80332973338083447</v>
      </c>
      <c r="V219" s="3">
        <f t="shared" si="89"/>
        <v>0.34918700284602977</v>
      </c>
      <c r="W219" s="4"/>
      <c r="X219" s="3">
        <f t="shared" si="90"/>
        <v>-1.2244157615529969</v>
      </c>
      <c r="Y219" s="14">
        <f t="shared" si="91"/>
        <v>-1.9382540585286134</v>
      </c>
      <c r="Z219" s="15">
        <f t="shared" si="92"/>
        <v>-2.3085111661241511</v>
      </c>
      <c r="AA219" s="15">
        <f t="shared" si="93"/>
        <v>1.1035271020750683</v>
      </c>
      <c r="AB219" s="15">
        <f t="shared" si="94"/>
        <v>0.21683014110638821</v>
      </c>
      <c r="AC219" s="15">
        <f t="shared" si="95"/>
        <v>-1.9495856087643202</v>
      </c>
      <c r="AH219" s="15">
        <f t="shared" si="96"/>
        <v>1.0909351884593395</v>
      </c>
      <c r="AI219" s="15">
        <f t="shared" si="97"/>
        <v>0.20292524761969047</v>
      </c>
      <c r="AJ219" s="18">
        <f t="shared" si="98"/>
        <v>9.0842623211654256</v>
      </c>
      <c r="AK219">
        <f t="shared" si="99"/>
        <v>0.99535137656965911</v>
      </c>
      <c r="AL219">
        <f t="shared" si="100"/>
        <v>0.22016096951980343</v>
      </c>
      <c r="AM219">
        <f t="shared" si="101"/>
        <v>1</v>
      </c>
      <c r="AN219">
        <f t="shared" si="102"/>
        <v>1.0909351884593395</v>
      </c>
      <c r="AO219">
        <f t="shared" si="103"/>
        <v>0.20292524761969047</v>
      </c>
    </row>
    <row r="220" spans="4:41" x14ac:dyDescent="0.25">
      <c r="D220" s="5">
        <v>41717</v>
      </c>
      <c r="E220" s="6">
        <v>38.51</v>
      </c>
      <c r="F220" s="6">
        <v>20.98</v>
      </c>
      <c r="G220" s="3">
        <f t="shared" si="81"/>
        <v>-0.29248839608045724</v>
      </c>
      <c r="H220" s="3">
        <f t="shared" si="81"/>
        <v>0</v>
      </c>
      <c r="I220" s="3">
        <f t="shared" si="78"/>
        <v>-0.32348219766677461</v>
      </c>
      <c r="J220" s="3">
        <f t="shared" si="79"/>
        <v>-2.968082171534845E-2</v>
      </c>
      <c r="K220" s="4"/>
      <c r="L220" s="3">
        <f t="shared" si="82"/>
        <v>3.2895455986099336</v>
      </c>
      <c r="M220" s="3">
        <f t="shared" si="83"/>
        <v>1.2159734164166272</v>
      </c>
      <c r="N220" s="3">
        <f t="shared" si="80"/>
        <v>1.2159734164166272</v>
      </c>
      <c r="O220" s="4"/>
      <c r="P220" s="3">
        <f t="shared" si="84"/>
        <v>-0.32575242862242237</v>
      </c>
      <c r="Q220" s="3">
        <f t="shared" si="85"/>
        <v>-2.890987338126327E-2</v>
      </c>
      <c r="R220" s="4"/>
      <c r="S220" s="3">
        <f t="shared" si="86"/>
        <v>3.1908110369701119</v>
      </c>
      <c r="T220" s="3">
        <f t="shared" si="87"/>
        <v>1.2535997756226476</v>
      </c>
      <c r="U220" s="3">
        <f t="shared" si="88"/>
        <v>1.2535997756226476</v>
      </c>
      <c r="V220" s="3">
        <f t="shared" si="89"/>
        <v>-9.5827889954325229E-2</v>
      </c>
      <c r="W220" s="4"/>
      <c r="X220" s="3">
        <f t="shared" si="90"/>
        <v>-0.80352880903518775</v>
      </c>
      <c r="Y220" s="14">
        <f t="shared" si="91"/>
        <v>-0.1617899999881203</v>
      </c>
      <c r="Z220" s="15">
        <f t="shared" si="92"/>
        <v>0.14474549313023177</v>
      </c>
      <c r="AA220" s="15">
        <f t="shared" si="93"/>
        <v>-0.32348219766677461</v>
      </c>
      <c r="AB220" s="15">
        <f t="shared" si="94"/>
        <v>-2.968082171534845E-2</v>
      </c>
      <c r="AC220" s="15">
        <f t="shared" si="95"/>
        <v>-0.17360500071082588</v>
      </c>
      <c r="AH220" s="15">
        <f t="shared" si="96"/>
        <v>-0.33607411128250342</v>
      </c>
      <c r="AI220" s="15">
        <f t="shared" si="97"/>
        <v>-4.3585715202046189E-2</v>
      </c>
      <c r="AJ220" s="18">
        <f t="shared" si="98"/>
        <v>0.89666365728700637</v>
      </c>
      <c r="AK220">
        <f t="shared" si="99"/>
        <v>1</v>
      </c>
      <c r="AL220">
        <f t="shared" si="100"/>
        <v>1</v>
      </c>
      <c r="AM220">
        <f t="shared" si="101"/>
        <v>0</v>
      </c>
      <c r="AN220">
        <f t="shared" si="102"/>
        <v>0</v>
      </c>
      <c r="AO220">
        <f t="shared" si="103"/>
        <v>0</v>
      </c>
    </row>
    <row r="221" spans="4:41" x14ac:dyDescent="0.25">
      <c r="D221" s="5">
        <v>41716</v>
      </c>
      <c r="E221" s="6">
        <v>38.78</v>
      </c>
      <c r="F221" s="6">
        <v>20.98</v>
      </c>
      <c r="G221" s="3">
        <f t="shared" si="81"/>
        <v>1.6551782363977472</v>
      </c>
      <c r="H221" s="3">
        <f t="shared" si="81"/>
        <v>0.15658676893576351</v>
      </c>
      <c r="I221" s="3">
        <f t="shared" si="78"/>
        <v>1.6241844348114298</v>
      </c>
      <c r="J221" s="3">
        <f t="shared" si="79"/>
        <v>0.12690594722041507</v>
      </c>
      <c r="K221" s="4"/>
      <c r="L221" s="3">
        <f t="shared" si="82"/>
        <v>10.429559439819338</v>
      </c>
      <c r="M221" s="3">
        <f t="shared" si="83"/>
        <v>0.38352530833932219</v>
      </c>
      <c r="N221" s="3">
        <f t="shared" si="80"/>
        <v>0.38352530833932219</v>
      </c>
      <c r="O221" s="4"/>
      <c r="P221" s="3">
        <f t="shared" si="84"/>
        <v>1.6219142038557821</v>
      </c>
      <c r="Q221" s="3">
        <f t="shared" si="85"/>
        <v>0.12767689555450024</v>
      </c>
      <c r="R221" s="4"/>
      <c r="S221" s="3">
        <f t="shared" si="86"/>
        <v>7.7924272104227281</v>
      </c>
      <c r="T221" s="3">
        <f t="shared" si="87"/>
        <v>0.51331887895594541</v>
      </c>
      <c r="U221" s="3">
        <f t="shared" si="88"/>
        <v>0.51331887895594541</v>
      </c>
      <c r="V221" s="3">
        <f t="shared" si="89"/>
        <v>0.79708067967754204</v>
      </c>
      <c r="W221" s="4"/>
      <c r="X221" s="3">
        <f t="shared" si="90"/>
        <v>-2.3971960192711186</v>
      </c>
      <c r="Y221" s="14">
        <f t="shared" si="91"/>
        <v>-3.9308565850067696</v>
      </c>
      <c r="Z221" s="15">
        <f t="shared" si="92"/>
        <v>-4.470832863252487</v>
      </c>
      <c r="AA221" s="15">
        <f t="shared" si="93"/>
        <v>1.6241844348114298</v>
      </c>
      <c r="AB221" s="15">
        <f t="shared" si="94"/>
        <v>0.12690594722041507</v>
      </c>
      <c r="AC221" s="15">
        <f t="shared" si="95"/>
        <v>-3.7302185028945716</v>
      </c>
      <c r="AH221" s="15">
        <f t="shared" si="96"/>
        <v>1.611592521195701</v>
      </c>
      <c r="AI221" s="15">
        <f t="shared" si="97"/>
        <v>0.11300105373371733</v>
      </c>
      <c r="AJ221" s="18">
        <f t="shared" si="98"/>
        <v>22.034679777580799</v>
      </c>
      <c r="AK221">
        <f t="shared" si="99"/>
        <v>0.63909862473637091</v>
      </c>
      <c r="AL221">
        <f t="shared" si="100"/>
        <v>9.0766011586649042E-2</v>
      </c>
      <c r="AM221">
        <f t="shared" si="101"/>
        <v>1</v>
      </c>
      <c r="AN221">
        <f t="shared" si="102"/>
        <v>1.611592521195701</v>
      </c>
      <c r="AO221">
        <f t="shared" si="103"/>
        <v>0.11300105373371733</v>
      </c>
    </row>
    <row r="222" spans="4:41" x14ac:dyDescent="0.25">
      <c r="D222" s="5">
        <v>41715</v>
      </c>
      <c r="E222" s="6">
        <v>37.31</v>
      </c>
      <c r="F222" s="6">
        <v>20.86</v>
      </c>
      <c r="G222" s="3">
        <f t="shared" si="81"/>
        <v>0.38635109548282781</v>
      </c>
      <c r="H222" s="3">
        <f t="shared" si="81"/>
        <v>0.19715113471752588</v>
      </c>
      <c r="I222" s="3">
        <f t="shared" si="78"/>
        <v>0.35535729389651044</v>
      </c>
      <c r="J222" s="3">
        <f t="shared" si="79"/>
        <v>0.16747031300217743</v>
      </c>
      <c r="K222" s="4"/>
      <c r="L222" s="3">
        <f t="shared" si="82"/>
        <v>3.3839111184517563</v>
      </c>
      <c r="M222" s="3">
        <f t="shared" si="83"/>
        <v>1.1820641441168003</v>
      </c>
      <c r="N222" s="3">
        <f t="shared" si="80"/>
        <v>1.1820641441168003</v>
      </c>
      <c r="O222" s="4"/>
      <c r="P222" s="3">
        <f t="shared" si="84"/>
        <v>0.35308706294086267</v>
      </c>
      <c r="Q222" s="3">
        <f t="shared" si="85"/>
        <v>0.1682412613362626</v>
      </c>
      <c r="R222" s="4"/>
      <c r="S222" s="3">
        <f t="shared" si="86"/>
        <v>3.2446202654391523</v>
      </c>
      <c r="T222" s="3">
        <f t="shared" si="87"/>
        <v>1.2328099046310459</v>
      </c>
      <c r="U222" s="3">
        <f t="shared" si="88"/>
        <v>1.2328099046310459</v>
      </c>
      <c r="V222" s="3">
        <f t="shared" si="89"/>
        <v>-7.9104842398702857E-2</v>
      </c>
      <c r="W222" s="4"/>
      <c r="X222" s="3">
        <f t="shared" si="90"/>
        <v>-0.80157987131312014</v>
      </c>
      <c r="Y222" s="14">
        <f t="shared" si="91"/>
        <v>-0.22435305770416536</v>
      </c>
      <c r="Z222" s="15">
        <f t="shared" si="92"/>
        <v>3.161454572326583E-2</v>
      </c>
      <c r="AA222" s="15">
        <f t="shared" si="93"/>
        <v>0.35535729389651044</v>
      </c>
      <c r="AB222" s="15">
        <f t="shared" si="94"/>
        <v>0.16747031300217743</v>
      </c>
      <c r="AC222" s="15">
        <f t="shared" si="95"/>
        <v>-0.24865672103471664</v>
      </c>
      <c r="AH222" s="15">
        <f t="shared" si="96"/>
        <v>0.34276538028078163</v>
      </c>
      <c r="AI222" s="15">
        <f t="shared" si="97"/>
        <v>0.1535654195154797</v>
      </c>
      <c r="AJ222" s="18">
        <f t="shared" si="98"/>
        <v>1.0438077134983836</v>
      </c>
      <c r="AK222">
        <f t="shared" si="99"/>
        <v>1</v>
      </c>
      <c r="AL222">
        <f t="shared" si="100"/>
        <v>1</v>
      </c>
      <c r="AM222">
        <f t="shared" si="101"/>
        <v>0</v>
      </c>
      <c r="AN222">
        <f t="shared" si="102"/>
        <v>0</v>
      </c>
      <c r="AO222">
        <f t="shared" si="103"/>
        <v>0</v>
      </c>
    </row>
    <row r="223" spans="4:41" x14ac:dyDescent="0.25">
      <c r="D223" s="5">
        <v>41712</v>
      </c>
      <c r="E223" s="6">
        <v>36.97</v>
      </c>
      <c r="F223" s="6">
        <v>20.71</v>
      </c>
      <c r="G223" s="3">
        <f t="shared" si="81"/>
        <v>-0.21479817007534727</v>
      </c>
      <c r="H223" s="3">
        <f t="shared" si="81"/>
        <v>-0.20868231911835186</v>
      </c>
      <c r="I223" s="3">
        <f t="shared" si="78"/>
        <v>-0.24579197166166461</v>
      </c>
      <c r="J223" s="3">
        <f t="shared" si="79"/>
        <v>-0.2383631408337003</v>
      </c>
      <c r="K223" s="4"/>
      <c r="L223" s="3">
        <f t="shared" si="82"/>
        <v>3.4974438002077397</v>
      </c>
      <c r="M223" s="3">
        <f t="shared" si="83"/>
        <v>1.143692430386561</v>
      </c>
      <c r="N223" s="3">
        <f t="shared" si="80"/>
        <v>1.143692430386561</v>
      </c>
      <c r="O223" s="4"/>
      <c r="P223" s="3">
        <f t="shared" si="84"/>
        <v>-0.24806220261731243</v>
      </c>
      <c r="Q223" s="3">
        <f t="shared" si="85"/>
        <v>-0.23759219249961513</v>
      </c>
      <c r="R223" s="4"/>
      <c r="S223" s="3">
        <f t="shared" si="86"/>
        <v>3.3131495535234734</v>
      </c>
      <c r="T223" s="3">
        <f t="shared" si="87"/>
        <v>1.2073104263422318</v>
      </c>
      <c r="U223" s="3">
        <f t="shared" si="88"/>
        <v>1.2073104263422318</v>
      </c>
      <c r="V223" s="3">
        <f t="shared" si="89"/>
        <v>-5.8204044046661352E-2</v>
      </c>
      <c r="W223" s="4"/>
      <c r="X223" s="3">
        <f t="shared" si="90"/>
        <v>-0.80136677440318338</v>
      </c>
      <c r="Y223" s="14">
        <f t="shared" si="91"/>
        <v>-0.30303060092083872</v>
      </c>
      <c r="Z223" s="15">
        <f t="shared" si="92"/>
        <v>-0.10038618508171404</v>
      </c>
      <c r="AA223" s="15">
        <f t="shared" si="93"/>
        <v>-0.24579197166166461</v>
      </c>
      <c r="AB223" s="15">
        <f t="shared" si="94"/>
        <v>-0.2383631408337003</v>
      </c>
      <c r="AC223" s="15">
        <f t="shared" si="95"/>
        <v>-0.33712523615940682</v>
      </c>
      <c r="AH223" s="15">
        <f t="shared" si="96"/>
        <v>-0.25838388527739348</v>
      </c>
      <c r="AI223" s="15">
        <f t="shared" si="97"/>
        <v>-0.25226803432039807</v>
      </c>
      <c r="AJ223" s="18">
        <f t="shared" si="98"/>
        <v>1.6555595740633164</v>
      </c>
      <c r="AK223">
        <f t="shared" si="99"/>
        <v>1</v>
      </c>
      <c r="AL223">
        <f t="shared" si="100"/>
        <v>1</v>
      </c>
      <c r="AM223">
        <f t="shared" si="101"/>
        <v>0</v>
      </c>
      <c r="AN223">
        <f t="shared" si="102"/>
        <v>0</v>
      </c>
      <c r="AO223">
        <f t="shared" si="103"/>
        <v>0</v>
      </c>
    </row>
    <row r="224" spans="4:41" x14ac:dyDescent="0.25">
      <c r="D224" s="5">
        <v>41711</v>
      </c>
      <c r="E224" s="6">
        <v>37.159999999999997</v>
      </c>
      <c r="F224" s="6">
        <v>20.87</v>
      </c>
      <c r="G224" s="3">
        <f t="shared" si="81"/>
        <v>-0.41416733280043139</v>
      </c>
      <c r="H224" s="3">
        <f t="shared" si="81"/>
        <v>-0.37305293005670964</v>
      </c>
      <c r="I224" s="3">
        <f t="shared" si="78"/>
        <v>-0.44516113438674876</v>
      </c>
      <c r="J224" s="3">
        <f t="shared" si="79"/>
        <v>-0.40273375177205811</v>
      </c>
      <c r="K224" s="4"/>
      <c r="L224" s="3">
        <f t="shared" si="82"/>
        <v>4.4355838692391378</v>
      </c>
      <c r="M224" s="3">
        <f t="shared" si="83"/>
        <v>0.90179785072717922</v>
      </c>
      <c r="N224" s="3">
        <f t="shared" si="80"/>
        <v>0.90179785072717922</v>
      </c>
      <c r="O224" s="4"/>
      <c r="P224" s="3">
        <f t="shared" si="84"/>
        <v>-0.44743136534239658</v>
      </c>
      <c r="Q224" s="3">
        <f t="shared" si="85"/>
        <v>-0.40196280343797292</v>
      </c>
      <c r="R224" s="4"/>
      <c r="S224" s="3">
        <f t="shared" si="86"/>
        <v>3.9064428237278155</v>
      </c>
      <c r="T224" s="3">
        <f t="shared" si="87"/>
        <v>1.0239494549117463</v>
      </c>
      <c r="U224" s="3">
        <f t="shared" si="88"/>
        <v>1.0239494549117463</v>
      </c>
      <c r="V224" s="3">
        <f t="shared" si="89"/>
        <v>0.10652428637403233</v>
      </c>
      <c r="W224" s="4"/>
      <c r="X224" s="3">
        <f t="shared" si="90"/>
        <v>-0.88054715712067599</v>
      </c>
      <c r="Y224" s="14">
        <f t="shared" si="91"/>
        <v>-0.94152773636098952</v>
      </c>
      <c r="Z224" s="15">
        <f t="shared" si="92"/>
        <v>-1.0508937793409752</v>
      </c>
      <c r="AA224" s="15">
        <f t="shared" si="93"/>
        <v>-0.44516113438674876</v>
      </c>
      <c r="AB224" s="15">
        <f t="shared" si="94"/>
        <v>-0.40273375177205811</v>
      </c>
      <c r="AC224" s="15">
        <f t="shared" si="95"/>
        <v>-1.001729360540794</v>
      </c>
      <c r="AH224" s="15">
        <f t="shared" si="96"/>
        <v>-0.45775304800247757</v>
      </c>
      <c r="AI224" s="15">
        <f t="shared" si="97"/>
        <v>-0.41663864525875582</v>
      </c>
      <c r="AJ224" s="18">
        <f t="shared" si="98"/>
        <v>4.5731564444627359</v>
      </c>
      <c r="AK224">
        <f t="shared" si="99"/>
        <v>1</v>
      </c>
      <c r="AL224">
        <f t="shared" si="100"/>
        <v>0.43733469962997606</v>
      </c>
      <c r="AM224">
        <f t="shared" si="101"/>
        <v>1</v>
      </c>
      <c r="AN224">
        <f t="shared" si="102"/>
        <v>-0.45775304800247757</v>
      </c>
      <c r="AO224">
        <f t="shared" si="103"/>
        <v>-0.41663864525875582</v>
      </c>
    </row>
    <row r="225" spans="4:41" x14ac:dyDescent="0.25">
      <c r="D225" s="5">
        <v>41710</v>
      </c>
      <c r="E225" s="6">
        <v>37.53</v>
      </c>
      <c r="F225" s="6">
        <v>21.16</v>
      </c>
      <c r="G225" s="3">
        <f t="shared" si="81"/>
        <v>0.28171942060085836</v>
      </c>
      <c r="H225" s="3">
        <f t="shared" si="81"/>
        <v>0.25973282442747997</v>
      </c>
      <c r="I225" s="3">
        <f t="shared" si="78"/>
        <v>0.25072561901454099</v>
      </c>
      <c r="J225" s="3">
        <f t="shared" si="79"/>
        <v>0.23005200271213153</v>
      </c>
      <c r="K225" s="4"/>
      <c r="L225" s="3">
        <f t="shared" si="82"/>
        <v>3.4672186042709612</v>
      </c>
      <c r="M225" s="3">
        <f t="shared" si="83"/>
        <v>1.1536624760471557</v>
      </c>
      <c r="N225" s="3">
        <f t="shared" si="80"/>
        <v>1.1536624760471557</v>
      </c>
      <c r="O225" s="4"/>
      <c r="P225" s="3">
        <f t="shared" si="84"/>
        <v>0.2484553880588932</v>
      </c>
      <c r="Q225" s="3">
        <f t="shared" si="85"/>
        <v>0.2308229510462167</v>
      </c>
      <c r="R225" s="4"/>
      <c r="S225" s="3">
        <f t="shared" si="86"/>
        <v>3.29699358688808</v>
      </c>
      <c r="T225" s="3">
        <f t="shared" si="87"/>
        <v>1.2132265030504545</v>
      </c>
      <c r="U225" s="3">
        <f t="shared" si="88"/>
        <v>1.2132265030504545</v>
      </c>
      <c r="V225" s="3">
        <f t="shared" si="89"/>
        <v>-6.3092259168229248E-2</v>
      </c>
      <c r="W225" s="4"/>
      <c r="X225" s="3">
        <f t="shared" si="90"/>
        <v>-0.80119777483538868</v>
      </c>
      <c r="Y225" s="14">
        <f t="shared" si="91"/>
        <v>-0.28458164359754895</v>
      </c>
      <c r="Z225" s="15">
        <f t="shared" si="92"/>
        <v>-6.5667619919021925E-2</v>
      </c>
      <c r="AA225" s="15">
        <f t="shared" si="93"/>
        <v>0.25072561901454099</v>
      </c>
      <c r="AB225" s="15">
        <f t="shared" si="94"/>
        <v>0.23005200271213153</v>
      </c>
      <c r="AC225" s="15">
        <f t="shared" si="95"/>
        <v>-0.31376319535547981</v>
      </c>
      <c r="AH225" s="15">
        <f t="shared" si="96"/>
        <v>0.23813370539881218</v>
      </c>
      <c r="AI225" s="15">
        <f t="shared" si="97"/>
        <v>0.21614710922543379</v>
      </c>
      <c r="AJ225" s="18">
        <f t="shared" si="98"/>
        <v>1.231556969155402</v>
      </c>
      <c r="AK225">
        <f t="shared" si="99"/>
        <v>1</v>
      </c>
      <c r="AL225">
        <f t="shared" si="100"/>
        <v>1</v>
      </c>
      <c r="AM225">
        <f t="shared" si="101"/>
        <v>0</v>
      </c>
      <c r="AN225">
        <f t="shared" si="102"/>
        <v>0</v>
      </c>
      <c r="AO225">
        <f t="shared" si="103"/>
        <v>0</v>
      </c>
    </row>
    <row r="226" spans="4:41" x14ac:dyDescent="0.25">
      <c r="D226" s="5">
        <v>41709</v>
      </c>
      <c r="E226" s="6">
        <v>37.28</v>
      </c>
      <c r="F226" s="6">
        <v>20.96</v>
      </c>
      <c r="G226" s="3">
        <f t="shared" si="81"/>
        <v>0.21520355891075502</v>
      </c>
      <c r="H226" s="3">
        <f t="shared" si="81"/>
        <v>-0.10349809885931339</v>
      </c>
      <c r="I226" s="3">
        <f t="shared" si="78"/>
        <v>0.18420975732443767</v>
      </c>
      <c r="J226" s="3">
        <f t="shared" si="79"/>
        <v>-0.13317892057466185</v>
      </c>
      <c r="K226" s="4"/>
      <c r="L226" s="3">
        <f t="shared" si="82"/>
        <v>3.4387141742262402</v>
      </c>
      <c r="M226" s="3">
        <f t="shared" si="83"/>
        <v>1.1632254957334618</v>
      </c>
      <c r="N226" s="3">
        <f t="shared" si="80"/>
        <v>1.1632254957334618</v>
      </c>
      <c r="O226" s="4"/>
      <c r="P226" s="3">
        <f t="shared" si="84"/>
        <v>0.18193952636878985</v>
      </c>
      <c r="Q226" s="3">
        <f t="shared" si="85"/>
        <v>-0.13240797224057665</v>
      </c>
      <c r="R226" s="4"/>
      <c r="S226" s="3">
        <f t="shared" si="86"/>
        <v>3.2755696680216979</v>
      </c>
      <c r="T226" s="3">
        <f t="shared" si="87"/>
        <v>1.2211616315325775</v>
      </c>
      <c r="U226" s="3">
        <f t="shared" si="88"/>
        <v>1.2211616315325775</v>
      </c>
      <c r="V226" s="3">
        <f t="shared" si="89"/>
        <v>-6.9611436469552146E-2</v>
      </c>
      <c r="W226" s="4"/>
      <c r="X226" s="3">
        <f t="shared" si="90"/>
        <v>-0.80117964682180332</v>
      </c>
      <c r="Y226" s="14">
        <f t="shared" si="91"/>
        <v>-0.26002279956263324</v>
      </c>
      <c r="Z226" s="15">
        <f t="shared" si="92"/>
        <v>-3.2647209402536514E-2</v>
      </c>
      <c r="AA226" s="15">
        <f t="shared" si="93"/>
        <v>0.18420975732443767</v>
      </c>
      <c r="AB226" s="15">
        <f t="shared" si="94"/>
        <v>-0.13317892057466185</v>
      </c>
      <c r="AC226" s="15">
        <f t="shared" si="95"/>
        <v>-0.29160546873497667</v>
      </c>
      <c r="AH226" s="15">
        <f t="shared" si="96"/>
        <v>0.17161784370870883</v>
      </c>
      <c r="AI226" s="15">
        <f t="shared" si="97"/>
        <v>-0.14708381406135959</v>
      </c>
      <c r="AJ226" s="18">
        <f t="shared" si="98"/>
        <v>1.3638202523209511</v>
      </c>
      <c r="AK226">
        <f t="shared" si="99"/>
        <v>1</v>
      </c>
      <c r="AL226">
        <f t="shared" si="100"/>
        <v>1</v>
      </c>
      <c r="AM226">
        <f t="shared" si="101"/>
        <v>0</v>
      </c>
      <c r="AN226">
        <f t="shared" si="102"/>
        <v>0</v>
      </c>
      <c r="AO226">
        <f t="shared" si="103"/>
        <v>0</v>
      </c>
    </row>
    <row r="227" spans="4:41" x14ac:dyDescent="0.25">
      <c r="D227" s="5">
        <v>41708</v>
      </c>
      <c r="E227" s="6">
        <v>37.090000000000003</v>
      </c>
      <c r="F227" s="6">
        <v>21.04</v>
      </c>
      <c r="G227" s="3">
        <f t="shared" si="81"/>
        <v>-9.0417002959373896E-2</v>
      </c>
      <c r="H227" s="3">
        <f t="shared" si="81"/>
        <v>-5.1650853889941978E-2</v>
      </c>
      <c r="I227" s="3">
        <f t="shared" si="78"/>
        <v>-0.12141080454569125</v>
      </c>
      <c r="J227" s="3">
        <f t="shared" si="79"/>
        <v>-8.1331675605290421E-2</v>
      </c>
      <c r="K227" s="4"/>
      <c r="L227" s="3">
        <f t="shared" si="82"/>
        <v>3.0656185116912846</v>
      </c>
      <c r="M227" s="3">
        <f t="shared" si="83"/>
        <v>1.3047937911208731</v>
      </c>
      <c r="N227" s="3">
        <f t="shared" si="80"/>
        <v>1.3047937911208731</v>
      </c>
      <c r="O227" s="4"/>
      <c r="P227" s="3">
        <f t="shared" si="84"/>
        <v>-0.12368103550133906</v>
      </c>
      <c r="Q227" s="3">
        <f t="shared" si="85"/>
        <v>-8.0560727271205251E-2</v>
      </c>
      <c r="R227" s="4"/>
      <c r="S227" s="3">
        <f t="shared" si="86"/>
        <v>3.0416643159797854</v>
      </c>
      <c r="T227" s="3">
        <f t="shared" si="87"/>
        <v>1.3150695094739651</v>
      </c>
      <c r="U227" s="3">
        <f t="shared" si="88"/>
        <v>1.3150695094739651</v>
      </c>
      <c r="V227" s="3">
        <f t="shared" si="89"/>
        <v>-0.14369760672039433</v>
      </c>
      <c r="W227" s="4"/>
      <c r="X227" s="3">
        <f t="shared" si="90"/>
        <v>-0.81810077993755215</v>
      </c>
      <c r="Y227" s="14">
        <f t="shared" si="91"/>
        <v>1.5371401860451446E-2</v>
      </c>
      <c r="Z227" s="15">
        <f t="shared" si="92"/>
        <v>0.42674586119729829</v>
      </c>
      <c r="AA227" s="15">
        <f t="shared" si="93"/>
        <v>-0.12141080454569125</v>
      </c>
      <c r="AB227" s="15">
        <f t="shared" si="94"/>
        <v>-8.1331675605290421E-2</v>
      </c>
      <c r="AC227" s="15">
        <f t="shared" si="95"/>
        <v>1.0337471254245084E-2</v>
      </c>
      <c r="AH227" s="15">
        <f t="shared" si="96"/>
        <v>-0.13400271816142009</v>
      </c>
      <c r="AI227" s="15">
        <f t="shared" si="97"/>
        <v>-9.523656909198816E-2</v>
      </c>
      <c r="AJ227" s="18">
        <f t="shared" si="98"/>
        <v>0.26143556245869803</v>
      </c>
      <c r="AK227">
        <f t="shared" si="99"/>
        <v>1</v>
      </c>
      <c r="AL227">
        <f t="shared" si="100"/>
        <v>1</v>
      </c>
      <c r="AM227">
        <f t="shared" si="101"/>
        <v>0</v>
      </c>
      <c r="AN227">
        <f t="shared" si="102"/>
        <v>0</v>
      </c>
      <c r="AO227">
        <f t="shared" si="103"/>
        <v>0</v>
      </c>
    </row>
    <row r="228" spans="4:41" x14ac:dyDescent="0.25">
      <c r="D228" s="5">
        <v>41705</v>
      </c>
      <c r="E228" s="6">
        <v>37.17</v>
      </c>
      <c r="F228" s="6">
        <v>21.08</v>
      </c>
      <c r="G228" s="3">
        <f t="shared" si="81"/>
        <v>-0.26951082598235193</v>
      </c>
      <c r="H228" s="3">
        <f t="shared" si="81"/>
        <v>-0.102911153119095</v>
      </c>
      <c r="I228" s="3">
        <f t="shared" si="78"/>
        <v>-0.3005046275686693</v>
      </c>
      <c r="J228" s="3">
        <f t="shared" si="79"/>
        <v>-0.13259197483444346</v>
      </c>
      <c r="K228" s="4"/>
      <c r="L228" s="3">
        <f t="shared" si="82"/>
        <v>3.2621125425143611</v>
      </c>
      <c r="M228" s="3">
        <f t="shared" si="83"/>
        <v>1.2261992643935247</v>
      </c>
      <c r="N228" s="3">
        <f t="shared" si="80"/>
        <v>1.2261992643935247</v>
      </c>
      <c r="O228" s="4"/>
      <c r="P228" s="3">
        <f t="shared" si="84"/>
        <v>-0.30277485852431707</v>
      </c>
      <c r="Q228" s="3">
        <f t="shared" si="85"/>
        <v>-0.13182102650035826</v>
      </c>
      <c r="R228" s="4"/>
      <c r="S228" s="3">
        <f t="shared" si="86"/>
        <v>3.1691503981092692</v>
      </c>
      <c r="T228" s="3">
        <f t="shared" si="87"/>
        <v>1.262167930681491</v>
      </c>
      <c r="U228" s="3">
        <f t="shared" si="88"/>
        <v>1.262167930681491</v>
      </c>
      <c r="V228" s="3">
        <f t="shared" si="89"/>
        <v>-0.10263941165433721</v>
      </c>
      <c r="W228" s="4"/>
      <c r="X228" s="3">
        <f t="shared" si="90"/>
        <v>-0.80478250893398373</v>
      </c>
      <c r="Y228" s="14">
        <f t="shared" si="91"/>
        <v>-0.1364065936004957</v>
      </c>
      <c r="Z228" s="15">
        <f t="shared" si="92"/>
        <v>0.17824323166354394</v>
      </c>
      <c r="AA228" s="15">
        <f t="shared" si="93"/>
        <v>-0.3005046275686693</v>
      </c>
      <c r="AB228" s="15">
        <f t="shared" si="94"/>
        <v>-0.13259197483444346</v>
      </c>
      <c r="AC228" s="15">
        <f t="shared" si="95"/>
        <v>-0.15151983934980973</v>
      </c>
      <c r="AH228" s="15">
        <f t="shared" si="96"/>
        <v>-0.31309654118439811</v>
      </c>
      <c r="AI228" s="15">
        <f t="shared" si="97"/>
        <v>-0.1464968683211412</v>
      </c>
      <c r="AJ228" s="18">
        <f t="shared" si="98"/>
        <v>0.89785214463113427</v>
      </c>
      <c r="AK228">
        <f t="shared" si="99"/>
        <v>1</v>
      </c>
      <c r="AL228">
        <f t="shared" si="100"/>
        <v>1</v>
      </c>
      <c r="AM228">
        <f t="shared" si="101"/>
        <v>0</v>
      </c>
      <c r="AN228">
        <f t="shared" si="102"/>
        <v>0</v>
      </c>
      <c r="AO228">
        <f t="shared" si="103"/>
        <v>0</v>
      </c>
    </row>
    <row r="229" spans="4:41" x14ac:dyDescent="0.25">
      <c r="D229" s="5">
        <v>41704</v>
      </c>
      <c r="E229" s="6">
        <v>37.409999999999997</v>
      </c>
      <c r="F229" s="6">
        <v>21.16</v>
      </c>
      <c r="G229" s="3">
        <f t="shared" si="81"/>
        <v>4.4966550709124004E-2</v>
      </c>
      <c r="H229" s="3">
        <f t="shared" si="81"/>
        <v>-6.4167845355965078E-2</v>
      </c>
      <c r="I229" s="3">
        <f t="shared" si="78"/>
        <v>1.3972749122806653E-2</v>
      </c>
      <c r="J229" s="3">
        <f t="shared" si="79"/>
        <v>-9.3848667071313535E-2</v>
      </c>
      <c r="K229" s="4"/>
      <c r="L229" s="3">
        <f t="shared" si="82"/>
        <v>3.1051250535824853</v>
      </c>
      <c r="M229" s="3">
        <f t="shared" si="83"/>
        <v>1.288192884658564</v>
      </c>
      <c r="N229" s="3">
        <f t="shared" si="80"/>
        <v>1.288192884658564</v>
      </c>
      <c r="O229" s="4"/>
      <c r="P229" s="3">
        <f t="shared" si="84"/>
        <v>1.1702518167158837E-2</v>
      </c>
      <c r="Q229" s="3">
        <f t="shared" si="85"/>
        <v>-9.3077718737228352E-2</v>
      </c>
      <c r="R229" s="4"/>
      <c r="S229" s="3">
        <f t="shared" si="86"/>
        <v>3.0646720333196629</v>
      </c>
      <c r="T229" s="3">
        <f t="shared" si="87"/>
        <v>1.3051967572749332</v>
      </c>
      <c r="U229" s="3">
        <f t="shared" si="88"/>
        <v>1.3051967572749332</v>
      </c>
      <c r="V229" s="3">
        <f t="shared" si="89"/>
        <v>-0.1361619902862099</v>
      </c>
      <c r="W229" s="4"/>
      <c r="X229" s="3">
        <f t="shared" si="90"/>
        <v>-0.81490591709714688</v>
      </c>
      <c r="Y229" s="14">
        <f t="shared" si="91"/>
        <v>-1.2326782864050881E-2</v>
      </c>
      <c r="Z229" s="15">
        <f t="shared" si="92"/>
        <v>0.3755272924668055</v>
      </c>
      <c r="AA229" s="15">
        <f t="shared" si="93"/>
        <v>1.3972749122806653E-2</v>
      </c>
      <c r="AB229" s="15">
        <f t="shared" si="94"/>
        <v>-9.3848667071313535E-2</v>
      </c>
      <c r="AC229" s="15">
        <f t="shared" si="95"/>
        <v>-2.273538197913838E-2</v>
      </c>
      <c r="AH229" s="15">
        <f t="shared" si="96"/>
        <v>1.3808355070778142E-3</v>
      </c>
      <c r="AI229" s="15">
        <f t="shared" si="97"/>
        <v>-0.10775356055801127</v>
      </c>
      <c r="AJ229" s="18">
        <f t="shared" si="98"/>
        <v>0.37468523666958048</v>
      </c>
      <c r="AK229">
        <f t="shared" si="99"/>
        <v>1</v>
      </c>
      <c r="AL229">
        <f t="shared" si="100"/>
        <v>1</v>
      </c>
      <c r="AM229">
        <f t="shared" si="101"/>
        <v>0</v>
      </c>
      <c r="AN229">
        <f t="shared" si="102"/>
        <v>0</v>
      </c>
      <c r="AO229">
        <f t="shared" si="103"/>
        <v>0</v>
      </c>
    </row>
    <row r="230" spans="4:41" x14ac:dyDescent="0.25">
      <c r="D230" s="5">
        <v>41703</v>
      </c>
      <c r="E230" s="6">
        <v>37.369999999999997</v>
      </c>
      <c r="F230" s="6">
        <v>21.21</v>
      </c>
      <c r="G230" s="3">
        <f t="shared" si="81"/>
        <v>-0.33456331298115688</v>
      </c>
      <c r="H230" s="3">
        <f t="shared" si="81"/>
        <v>6.4319470699433792E-2</v>
      </c>
      <c r="I230" s="3">
        <f t="shared" si="78"/>
        <v>-0.36555711456747425</v>
      </c>
      <c r="J230" s="3">
        <f t="shared" si="79"/>
        <v>3.4638648984085342E-2</v>
      </c>
      <c r="K230" s="4"/>
      <c r="L230" s="3">
        <f t="shared" si="82"/>
        <v>3.5076662881618885</v>
      </c>
      <c r="M230" s="3">
        <f t="shared" si="83"/>
        <v>1.1403593362058702</v>
      </c>
      <c r="N230" s="3">
        <f t="shared" si="80"/>
        <v>1.1403593362058702</v>
      </c>
      <c r="O230" s="4"/>
      <c r="P230" s="3">
        <f t="shared" si="84"/>
        <v>-0.36782734552312202</v>
      </c>
      <c r="Q230" s="3">
        <f t="shared" si="85"/>
        <v>3.5409597318170519E-2</v>
      </c>
      <c r="R230" s="4"/>
      <c r="S230" s="3">
        <f t="shared" si="86"/>
        <v>3.3329004089464469</v>
      </c>
      <c r="T230" s="3">
        <f t="shared" si="87"/>
        <v>1.200155873023649</v>
      </c>
      <c r="U230" s="3">
        <f t="shared" si="88"/>
        <v>1.200155873023649</v>
      </c>
      <c r="V230" s="3">
        <f t="shared" si="89"/>
        <v>-5.2260422018779451E-2</v>
      </c>
      <c r="W230" s="4"/>
      <c r="X230" s="3">
        <f t="shared" si="90"/>
        <v>-0.80175065389780875</v>
      </c>
      <c r="Y230" s="14">
        <f t="shared" si="91"/>
        <v>-0.32550227732742598</v>
      </c>
      <c r="Z230" s="15">
        <f t="shared" si="92"/>
        <v>-0.11206051434313402</v>
      </c>
      <c r="AA230" s="15">
        <f t="shared" si="93"/>
        <v>-0.36555711456747425</v>
      </c>
      <c r="AB230" s="15">
        <f t="shared" si="94"/>
        <v>3.4638648984085342E-2</v>
      </c>
      <c r="AC230" s="15">
        <f t="shared" si="95"/>
        <v>-0.34499575371474078</v>
      </c>
      <c r="AH230" s="15">
        <f t="shared" si="96"/>
        <v>-0.37814902818320306</v>
      </c>
      <c r="AI230" s="15">
        <f t="shared" si="97"/>
        <v>2.0733755497387603E-2</v>
      </c>
      <c r="AJ230" s="18">
        <f t="shared" si="98"/>
        <v>1.4823632572731296</v>
      </c>
      <c r="AK230">
        <f t="shared" si="99"/>
        <v>1</v>
      </c>
      <c r="AL230">
        <f t="shared" si="100"/>
        <v>1</v>
      </c>
      <c r="AM230">
        <f t="shared" si="101"/>
        <v>0</v>
      </c>
      <c r="AN230">
        <f t="shared" si="102"/>
        <v>0</v>
      </c>
      <c r="AO230">
        <f t="shared" si="103"/>
        <v>0</v>
      </c>
    </row>
    <row r="231" spans="4:41" x14ac:dyDescent="0.25">
      <c r="D231" s="5">
        <v>41702</v>
      </c>
      <c r="E231" s="6">
        <v>37.67</v>
      </c>
      <c r="F231" s="6">
        <v>21.16</v>
      </c>
      <c r="G231" s="3">
        <f t="shared" si="81"/>
        <v>0.70300134952767057</v>
      </c>
      <c r="H231" s="3">
        <f t="shared" si="81"/>
        <v>0.31227533460802853</v>
      </c>
      <c r="I231" s="3">
        <f t="shared" si="78"/>
        <v>0.6720075479413532</v>
      </c>
      <c r="J231" s="3">
        <f t="shared" si="79"/>
        <v>0.28259451289268006</v>
      </c>
      <c r="K231" s="4"/>
      <c r="L231" s="3">
        <f t="shared" si="82"/>
        <v>4.2732020301876723</v>
      </c>
      <c r="M231" s="3">
        <f t="shared" si="83"/>
        <v>0.93606620322239398</v>
      </c>
      <c r="N231" s="3">
        <f t="shared" si="80"/>
        <v>0.93606620322239398</v>
      </c>
      <c r="O231" s="4"/>
      <c r="P231" s="3">
        <f t="shared" si="84"/>
        <v>0.66973731698570538</v>
      </c>
      <c r="Q231" s="3">
        <f t="shared" si="85"/>
        <v>0.28336546122676526</v>
      </c>
      <c r="R231" s="4"/>
      <c r="S231" s="3">
        <f t="shared" si="86"/>
        <v>3.8140270464825368</v>
      </c>
      <c r="T231" s="3">
        <f t="shared" si="87"/>
        <v>1.0487602608085791</v>
      </c>
      <c r="U231" s="3">
        <f t="shared" si="88"/>
        <v>1.0487602608085791</v>
      </c>
      <c r="V231" s="3">
        <f t="shared" si="89"/>
        <v>8.2582462361813214E-2</v>
      </c>
      <c r="W231" s="4"/>
      <c r="X231" s="3">
        <f t="shared" si="90"/>
        <v>-0.86059508511306504</v>
      </c>
      <c r="Y231" s="14">
        <f t="shared" si="91"/>
        <v>-0.84674035464505848</v>
      </c>
      <c r="Z231" s="15">
        <f t="shared" si="92"/>
        <v>-0.90171049436120487</v>
      </c>
      <c r="AA231" s="15">
        <f t="shared" si="93"/>
        <v>0.6720075479413532</v>
      </c>
      <c r="AB231" s="15">
        <f t="shared" si="94"/>
        <v>0.28259451289268006</v>
      </c>
      <c r="AC231" s="15">
        <f t="shared" si="95"/>
        <v>-0.89431279741855674</v>
      </c>
      <c r="AH231" s="15">
        <f t="shared" si="96"/>
        <v>0.65941563432562433</v>
      </c>
      <c r="AI231" s="15">
        <f t="shared" si="97"/>
        <v>0.26868961940598235</v>
      </c>
      <c r="AJ231" s="18">
        <f t="shared" si="98"/>
        <v>3.6537256010586323</v>
      </c>
      <c r="AK231">
        <f t="shared" si="99"/>
        <v>1</v>
      </c>
      <c r="AL231">
        <f t="shared" si="100"/>
        <v>0.54738648119073829</v>
      </c>
      <c r="AM231">
        <f t="shared" si="101"/>
        <v>1</v>
      </c>
      <c r="AN231">
        <f t="shared" si="102"/>
        <v>0.65941563432562433</v>
      </c>
      <c r="AO231">
        <f t="shared" si="103"/>
        <v>0.26868961940598235</v>
      </c>
    </row>
    <row r="232" spans="4:41" x14ac:dyDescent="0.25">
      <c r="D232" s="5">
        <v>41701</v>
      </c>
      <c r="E232" s="6">
        <v>37.049999999999997</v>
      </c>
      <c r="F232" s="6">
        <v>20.92</v>
      </c>
      <c r="G232" s="3">
        <f t="shared" si="81"/>
        <v>-0.58145328719723532</v>
      </c>
      <c r="H232" s="3">
        <f t="shared" si="81"/>
        <v>-0.28327341532639394</v>
      </c>
      <c r="I232" s="3">
        <f t="shared" si="78"/>
        <v>-0.6124470887835527</v>
      </c>
      <c r="J232" s="3">
        <f t="shared" si="79"/>
        <v>-0.31295423704174241</v>
      </c>
      <c r="K232" s="4"/>
      <c r="L232" s="3">
        <f t="shared" si="82"/>
        <v>4.2200607123491043</v>
      </c>
      <c r="M232" s="3">
        <f t="shared" si="83"/>
        <v>0.94785366198520704</v>
      </c>
      <c r="N232" s="3">
        <f t="shared" si="80"/>
        <v>0.94785366198520704</v>
      </c>
      <c r="O232" s="4"/>
      <c r="P232" s="3">
        <f t="shared" si="84"/>
        <v>-0.61471731973920052</v>
      </c>
      <c r="Q232" s="3">
        <f t="shared" si="85"/>
        <v>-0.31218328870765721</v>
      </c>
      <c r="R232" s="4"/>
      <c r="S232" s="3">
        <f t="shared" si="86"/>
        <v>3.781170248884179</v>
      </c>
      <c r="T232" s="3">
        <f t="shared" si="87"/>
        <v>1.057873551496497</v>
      </c>
      <c r="U232" s="3">
        <f t="shared" si="88"/>
        <v>1.057873551496497</v>
      </c>
      <c r="V232" s="3">
        <f t="shared" si="89"/>
        <v>7.3930347501693916E-2</v>
      </c>
      <c r="W232" s="4"/>
      <c r="X232" s="3">
        <f t="shared" si="90"/>
        <v>-0.85406036443113909</v>
      </c>
      <c r="Y232" s="14">
        <f t="shared" si="91"/>
        <v>-0.81264938356295768</v>
      </c>
      <c r="Z232" s="15">
        <f t="shared" si="92"/>
        <v>-0.8516548086403668</v>
      </c>
      <c r="AA232" s="15">
        <f t="shared" si="93"/>
        <v>-0.6124470887835527</v>
      </c>
      <c r="AB232" s="15">
        <f t="shared" si="94"/>
        <v>-0.31295423704174241</v>
      </c>
      <c r="AC232" s="15">
        <f t="shared" si="95"/>
        <v>-0.85852360475124068</v>
      </c>
      <c r="AH232" s="15">
        <f t="shared" si="96"/>
        <v>-0.62503900239928156</v>
      </c>
      <c r="AI232" s="15">
        <f t="shared" si="97"/>
        <v>-0.32685913052844012</v>
      </c>
      <c r="AJ232" s="18">
        <f t="shared" si="98"/>
        <v>3.9269668607157517</v>
      </c>
      <c r="AK232">
        <f t="shared" si="99"/>
        <v>1</v>
      </c>
      <c r="AL232">
        <f t="shared" si="100"/>
        <v>0.50929892482858086</v>
      </c>
      <c r="AM232">
        <f t="shared" si="101"/>
        <v>1</v>
      </c>
      <c r="AN232">
        <f t="shared" si="102"/>
        <v>-0.62503900239928156</v>
      </c>
      <c r="AO232">
        <f t="shared" si="103"/>
        <v>-0.32685913052844012</v>
      </c>
    </row>
    <row r="233" spans="4:41" x14ac:dyDescent="0.25">
      <c r="D233" s="5">
        <v>41698</v>
      </c>
      <c r="E233" s="6">
        <v>37.57</v>
      </c>
      <c r="F233" s="6">
        <v>21.14</v>
      </c>
      <c r="G233" s="3">
        <f t="shared" si="81"/>
        <v>0.49782924858604638</v>
      </c>
      <c r="H233" s="3">
        <f t="shared" si="81"/>
        <v>-0.15364063969896644</v>
      </c>
      <c r="I233" s="3">
        <f t="shared" si="78"/>
        <v>0.46683544699972901</v>
      </c>
      <c r="J233" s="3">
        <f t="shared" si="79"/>
        <v>-0.18332146141431488</v>
      </c>
      <c r="K233" s="4"/>
      <c r="L233" s="3">
        <f t="shared" si="82"/>
        <v>4.534654659698278</v>
      </c>
      <c r="M233" s="3">
        <f t="shared" si="83"/>
        <v>0.88209583753973175</v>
      </c>
      <c r="N233" s="3">
        <f t="shared" si="80"/>
        <v>0.88209583753973175</v>
      </c>
      <c r="O233" s="4"/>
      <c r="P233" s="3">
        <f t="shared" si="84"/>
        <v>0.46456521604408119</v>
      </c>
      <c r="Q233" s="3">
        <f t="shared" si="85"/>
        <v>-0.18255051308022971</v>
      </c>
      <c r="R233" s="4"/>
      <c r="S233" s="3">
        <f t="shared" si="86"/>
        <v>3.9758205217472482</v>
      </c>
      <c r="T233" s="3">
        <f t="shared" si="87"/>
        <v>1.0060816322367907</v>
      </c>
      <c r="U233" s="3">
        <f t="shared" si="88"/>
        <v>1.0060816322367907</v>
      </c>
      <c r="V233" s="3">
        <f t="shared" si="89"/>
        <v>0.12412844060394335</v>
      </c>
      <c r="W233" s="4"/>
      <c r="X233" s="3">
        <f t="shared" si="90"/>
        <v>-0.8969407317909952</v>
      </c>
      <c r="Y233" s="14">
        <f t="shared" si="91"/>
        <v>-1.0116445734608668</v>
      </c>
      <c r="Z233" s="15">
        <f t="shared" si="92"/>
        <v>-1.139252472236848</v>
      </c>
      <c r="AA233" s="15">
        <f t="shared" si="93"/>
        <v>0.46683544699972901</v>
      </c>
      <c r="AB233" s="15">
        <f t="shared" si="94"/>
        <v>-0.18332146141431488</v>
      </c>
      <c r="AC233" s="15">
        <f t="shared" si="95"/>
        <v>-1.0658760428629961</v>
      </c>
      <c r="AH233" s="15">
        <f t="shared" si="96"/>
        <v>0.4542435333840002</v>
      </c>
      <c r="AI233" s="15">
        <f t="shared" si="97"/>
        <v>-0.19722635490101262</v>
      </c>
      <c r="AJ233" s="18">
        <f t="shared" si="98"/>
        <v>4.584232463138993</v>
      </c>
      <c r="AK233">
        <f t="shared" si="99"/>
        <v>1</v>
      </c>
      <c r="AL233">
        <f t="shared" si="100"/>
        <v>0.43627805005126774</v>
      </c>
      <c r="AM233">
        <f t="shared" si="101"/>
        <v>1</v>
      </c>
      <c r="AN233">
        <f t="shared" si="102"/>
        <v>0.4542435333840002</v>
      </c>
      <c r="AO233">
        <f t="shared" si="103"/>
        <v>-0.19722635490101262</v>
      </c>
    </row>
    <row r="234" spans="4:41" x14ac:dyDescent="0.25">
      <c r="D234" s="5">
        <v>41697</v>
      </c>
      <c r="E234" s="6">
        <v>37.130000000000003</v>
      </c>
      <c r="F234" s="6">
        <v>21.26</v>
      </c>
      <c r="G234" s="3">
        <f t="shared" si="81"/>
        <v>0.44594175285792115</v>
      </c>
      <c r="H234" s="3">
        <f t="shared" si="81"/>
        <v>-1.2797367183824441E-2</v>
      </c>
      <c r="I234" s="3">
        <f t="shared" si="78"/>
        <v>0.41494795127160378</v>
      </c>
      <c r="J234" s="3">
        <f t="shared" si="79"/>
        <v>-4.2478188899172889E-2</v>
      </c>
      <c r="K234" s="4"/>
      <c r="L234" s="3">
        <f t="shared" si="82"/>
        <v>3.6641815432108764</v>
      </c>
      <c r="M234" s="3">
        <f t="shared" si="83"/>
        <v>1.0916489679424699</v>
      </c>
      <c r="N234" s="3">
        <f t="shared" si="80"/>
        <v>1.0916489679424699</v>
      </c>
      <c r="O234" s="4"/>
      <c r="P234" s="3">
        <f t="shared" si="84"/>
        <v>0.41267772031595595</v>
      </c>
      <c r="Q234" s="3">
        <f t="shared" si="85"/>
        <v>-4.1707240565087712E-2</v>
      </c>
      <c r="R234" s="4"/>
      <c r="S234" s="3">
        <f t="shared" si="86"/>
        <v>3.4230423902884484</v>
      </c>
      <c r="T234" s="3">
        <f t="shared" si="87"/>
        <v>1.1685511144555043</v>
      </c>
      <c r="U234" s="3">
        <f t="shared" si="88"/>
        <v>1.1685511144555043</v>
      </c>
      <c r="V234" s="3">
        <f t="shared" si="89"/>
        <v>-2.5573701021297524E-2</v>
      </c>
      <c r="W234" s="4"/>
      <c r="X234" s="3">
        <f t="shared" si="90"/>
        <v>-0.80585721459078297</v>
      </c>
      <c r="Y234" s="14">
        <f t="shared" si="91"/>
        <v>-0.4269305753200755</v>
      </c>
      <c r="Z234" s="15">
        <f t="shared" si="92"/>
        <v>-0.28667672322828008</v>
      </c>
      <c r="AA234" s="15">
        <f t="shared" si="93"/>
        <v>0.41494795127160378</v>
      </c>
      <c r="AB234" s="15">
        <f t="shared" si="94"/>
        <v>-4.2478188899172889E-2</v>
      </c>
      <c r="AC234" s="15">
        <f t="shared" si="95"/>
        <v>-0.46360575027782835</v>
      </c>
      <c r="AH234" s="15">
        <f t="shared" si="96"/>
        <v>0.40235603765587497</v>
      </c>
      <c r="AI234" s="15">
        <f t="shared" si="97"/>
        <v>-5.6383082385870628E-2</v>
      </c>
      <c r="AJ234" s="18">
        <f t="shared" si="98"/>
        <v>1.9793983979675618</v>
      </c>
      <c r="AK234">
        <f t="shared" si="99"/>
        <v>1</v>
      </c>
      <c r="AL234">
        <f t="shared" si="100"/>
        <v>1</v>
      </c>
      <c r="AM234">
        <f t="shared" si="101"/>
        <v>0</v>
      </c>
      <c r="AN234">
        <f t="shared" si="102"/>
        <v>0</v>
      </c>
      <c r="AO234">
        <f t="shared" si="103"/>
        <v>0</v>
      </c>
    </row>
    <row r="235" spans="4:41" x14ac:dyDescent="0.25">
      <c r="D235" s="5">
        <v>41696</v>
      </c>
      <c r="E235" s="6">
        <v>36.74</v>
      </c>
      <c r="F235" s="6">
        <v>21.27</v>
      </c>
      <c r="G235" s="3">
        <f t="shared" si="81"/>
        <v>-7.9888617223580871E-2</v>
      </c>
      <c r="H235" s="3">
        <f t="shared" si="81"/>
        <v>0.11566572237960322</v>
      </c>
      <c r="I235" s="3">
        <f t="shared" si="78"/>
        <v>-0.11088241880989821</v>
      </c>
      <c r="J235" s="3">
        <f t="shared" si="79"/>
        <v>8.5984900664254765E-2</v>
      </c>
      <c r="K235" s="4"/>
      <c r="L235" s="3">
        <f t="shared" si="82"/>
        <v>3.1731882351917666</v>
      </c>
      <c r="M235" s="3">
        <f t="shared" si="83"/>
        <v>1.2605618398677398</v>
      </c>
      <c r="N235" s="3">
        <f t="shared" si="80"/>
        <v>1.2605618398677398</v>
      </c>
      <c r="O235" s="4"/>
      <c r="P235" s="3">
        <f t="shared" si="84"/>
        <v>-0.11315264976554604</v>
      </c>
      <c r="Q235" s="3">
        <f t="shared" si="85"/>
        <v>8.6755848998339949E-2</v>
      </c>
      <c r="R235" s="4"/>
      <c r="S235" s="3">
        <f t="shared" si="86"/>
        <v>3.1135567704526435</v>
      </c>
      <c r="T235" s="3">
        <f t="shared" si="87"/>
        <v>1.2847043734546992</v>
      </c>
      <c r="U235" s="3">
        <f t="shared" si="88"/>
        <v>1.2847043734546992</v>
      </c>
      <c r="V235" s="3">
        <f t="shared" si="89"/>
        <v>-0.12033702428859705</v>
      </c>
      <c r="W235" s="4"/>
      <c r="X235" s="3">
        <f t="shared" si="90"/>
        <v>-0.80930139193519945</v>
      </c>
      <c r="Y235" s="14">
        <f t="shared" si="91"/>
        <v>-7.0725835078051386E-2</v>
      </c>
      <c r="Z235" s="15">
        <f t="shared" si="92"/>
        <v>0.28879591084567102</v>
      </c>
      <c r="AA235" s="15">
        <f t="shared" si="93"/>
        <v>-0.11088241880989821</v>
      </c>
      <c r="AB235" s="15">
        <f t="shared" si="94"/>
        <v>8.5984900664254765E-2</v>
      </c>
      <c r="AC235" s="15">
        <f t="shared" si="95"/>
        <v>-7.9080761607448202E-2</v>
      </c>
      <c r="AH235" s="15">
        <f t="shared" si="96"/>
        <v>-0.12347433242562705</v>
      </c>
      <c r="AI235" s="15">
        <f t="shared" si="97"/>
        <v>7.2080007177557026E-2</v>
      </c>
      <c r="AJ235" s="18">
        <f t="shared" si="98"/>
        <v>0.44864371333809516</v>
      </c>
      <c r="AK235">
        <f t="shared" si="99"/>
        <v>1</v>
      </c>
      <c r="AL235">
        <f t="shared" si="100"/>
        <v>1</v>
      </c>
      <c r="AM235">
        <f t="shared" si="101"/>
        <v>0</v>
      </c>
      <c r="AN235">
        <f t="shared" si="102"/>
        <v>0</v>
      </c>
      <c r="AO235">
        <f t="shared" si="103"/>
        <v>0</v>
      </c>
    </row>
    <row r="236" spans="4:41" x14ac:dyDescent="0.25">
      <c r="D236" s="5">
        <v>41695</v>
      </c>
      <c r="E236" s="6">
        <v>36.81</v>
      </c>
      <c r="F236" s="6">
        <v>21.18</v>
      </c>
      <c r="G236" s="3">
        <f t="shared" si="81"/>
        <v>-0.17049512987012824</v>
      </c>
      <c r="H236" s="3">
        <f t="shared" si="81"/>
        <v>-0.34262937062937004</v>
      </c>
      <c r="I236" s="3">
        <f t="shared" si="78"/>
        <v>-0.20148893145644559</v>
      </c>
      <c r="J236" s="3">
        <f t="shared" si="79"/>
        <v>-0.37231019234471852</v>
      </c>
      <c r="K236" s="4"/>
      <c r="L236" s="3">
        <f t="shared" si="82"/>
        <v>4.2476793108437931</v>
      </c>
      <c r="M236" s="3">
        <f t="shared" si="83"/>
        <v>0.94169067560926767</v>
      </c>
      <c r="N236" s="3">
        <f t="shared" si="80"/>
        <v>0.94169067560926767</v>
      </c>
      <c r="O236" s="4"/>
      <c r="P236" s="3">
        <f t="shared" si="84"/>
        <v>-0.20375916241209341</v>
      </c>
      <c r="Q236" s="3">
        <f t="shared" si="85"/>
        <v>-0.37153924401063332</v>
      </c>
      <c r="R236" s="4"/>
      <c r="S236" s="3">
        <f t="shared" si="86"/>
        <v>3.7830811477699768</v>
      </c>
      <c r="T236" s="3">
        <f t="shared" si="87"/>
        <v>1.0573392015019003</v>
      </c>
      <c r="U236" s="3">
        <f t="shared" si="88"/>
        <v>1.0573392015019003</v>
      </c>
      <c r="V236" s="3">
        <f t="shared" si="89"/>
        <v>7.4435595940336441E-2</v>
      </c>
      <c r="W236" s="4"/>
      <c r="X236" s="3">
        <f t="shared" si="90"/>
        <v>-0.8544319990473741</v>
      </c>
      <c r="Y236" s="14">
        <f t="shared" si="91"/>
        <v>-0.81463776305414604</v>
      </c>
      <c r="Z236" s="15">
        <f t="shared" si="92"/>
        <v>-0.8777479067818581</v>
      </c>
      <c r="AA236" s="15">
        <f t="shared" si="93"/>
        <v>-0.20148893145644559</v>
      </c>
      <c r="AB236" s="15">
        <f t="shared" si="94"/>
        <v>-0.37231019234471852</v>
      </c>
      <c r="AC236" s="15">
        <f t="shared" si="95"/>
        <v>-0.87716391908385227</v>
      </c>
      <c r="AH236" s="15">
        <f t="shared" si="96"/>
        <v>-0.21408084507217442</v>
      </c>
      <c r="AI236" s="15">
        <f t="shared" si="97"/>
        <v>-0.38621508583141623</v>
      </c>
      <c r="AJ236" s="18">
        <f t="shared" si="98"/>
        <v>3.9288865822006565</v>
      </c>
      <c r="AK236">
        <f t="shared" si="99"/>
        <v>1</v>
      </c>
      <c r="AL236">
        <f t="shared" si="100"/>
        <v>0.50905007262382096</v>
      </c>
      <c r="AM236">
        <f t="shared" si="101"/>
        <v>1</v>
      </c>
      <c r="AN236">
        <f t="shared" si="102"/>
        <v>-0.21408084507217442</v>
      </c>
      <c r="AO236">
        <f t="shared" si="103"/>
        <v>-0.38621508583141623</v>
      </c>
    </row>
    <row r="237" spans="4:41" x14ac:dyDescent="0.25">
      <c r="D237" s="5">
        <v>41694</v>
      </c>
      <c r="E237" s="6">
        <v>36.96</v>
      </c>
      <c r="F237" s="6">
        <v>21.45</v>
      </c>
      <c r="G237" s="3">
        <f t="shared" si="81"/>
        <v>-0.31586466165413657</v>
      </c>
      <c r="H237" s="3">
        <f t="shared" si="81"/>
        <v>-1.2684063373720529E-2</v>
      </c>
      <c r="I237" s="3">
        <f t="shared" si="78"/>
        <v>-0.34685846324045394</v>
      </c>
      <c r="J237" s="3">
        <f t="shared" si="79"/>
        <v>-4.2364885089068979E-2</v>
      </c>
      <c r="K237" s="4"/>
      <c r="L237" s="3">
        <f t="shared" si="82"/>
        <v>3.3214377431725954</v>
      </c>
      <c r="M237" s="3">
        <f t="shared" si="83"/>
        <v>1.2042977497387173</v>
      </c>
      <c r="N237" s="3">
        <f t="shared" si="80"/>
        <v>1.2042977497387173</v>
      </c>
      <c r="O237" s="4"/>
      <c r="P237" s="3">
        <f t="shared" si="84"/>
        <v>-0.34912869419610171</v>
      </c>
      <c r="Q237" s="3">
        <f t="shared" si="85"/>
        <v>-4.1593936754983796E-2</v>
      </c>
      <c r="R237" s="4"/>
      <c r="S237" s="3">
        <f t="shared" si="86"/>
        <v>3.2114947443132977</v>
      </c>
      <c r="T237" s="3">
        <f t="shared" si="87"/>
        <v>1.2455259368189642</v>
      </c>
      <c r="U237" s="3">
        <f t="shared" si="88"/>
        <v>1.2455259368189642</v>
      </c>
      <c r="V237" s="3">
        <f t="shared" si="89"/>
        <v>-8.9366596637274753E-2</v>
      </c>
      <c r="W237" s="4"/>
      <c r="X237" s="3">
        <f t="shared" si="90"/>
        <v>-0.8025864306512156</v>
      </c>
      <c r="Y237" s="14">
        <f t="shared" si="91"/>
        <v>-0.1859214860903628</v>
      </c>
      <c r="Z237" s="15">
        <f t="shared" si="92"/>
        <v>0.10615227294954643</v>
      </c>
      <c r="AA237" s="15">
        <f t="shared" si="93"/>
        <v>-0.34685846324045394</v>
      </c>
      <c r="AB237" s="15">
        <f t="shared" si="94"/>
        <v>-4.2364885089068979E-2</v>
      </c>
      <c r="AC237" s="15">
        <f t="shared" si="95"/>
        <v>-0.19912763213856605</v>
      </c>
      <c r="AH237" s="15">
        <f t="shared" si="96"/>
        <v>-0.35945037685618275</v>
      </c>
      <c r="AI237" s="15">
        <f t="shared" si="97"/>
        <v>-5.6269778575766718E-2</v>
      </c>
      <c r="AJ237" s="18">
        <f t="shared" si="98"/>
        <v>1.0036138101960588</v>
      </c>
      <c r="AK237">
        <f t="shared" si="99"/>
        <v>1</v>
      </c>
      <c r="AL237">
        <f t="shared" si="100"/>
        <v>1</v>
      </c>
      <c r="AM237">
        <f t="shared" si="101"/>
        <v>0</v>
      </c>
      <c r="AN237">
        <f t="shared" si="102"/>
        <v>0</v>
      </c>
      <c r="AO237">
        <f t="shared" si="103"/>
        <v>0</v>
      </c>
    </row>
    <row r="238" spans="4:41" x14ac:dyDescent="0.25">
      <c r="D238" s="5">
        <v>41691</v>
      </c>
      <c r="E238" s="6">
        <v>37.24</v>
      </c>
      <c r="F238" s="6">
        <v>21.46</v>
      </c>
      <c r="G238" s="3">
        <f t="shared" si="81"/>
        <v>0.24965424095083608</v>
      </c>
      <c r="H238" s="3">
        <f t="shared" si="81"/>
        <v>-0.2139343504392025</v>
      </c>
      <c r="I238" s="3">
        <f t="shared" si="78"/>
        <v>0.21866043936451873</v>
      </c>
      <c r="J238" s="3">
        <f t="shared" si="79"/>
        <v>-0.24361517215455095</v>
      </c>
      <c r="K238" s="4"/>
      <c r="L238" s="3">
        <f t="shared" si="82"/>
        <v>4.1005354246263401</v>
      </c>
      <c r="M238" s="3">
        <f t="shared" si="83"/>
        <v>0.97548236651668452</v>
      </c>
      <c r="N238" s="3">
        <f t="shared" si="80"/>
        <v>0.97548236651668452</v>
      </c>
      <c r="O238" s="4"/>
      <c r="P238" s="3">
        <f t="shared" si="84"/>
        <v>0.21639020840887091</v>
      </c>
      <c r="Q238" s="3">
        <f t="shared" si="85"/>
        <v>-0.24284422382046578</v>
      </c>
      <c r="R238" s="4"/>
      <c r="S238" s="3">
        <f t="shared" si="86"/>
        <v>3.6938043981156339</v>
      </c>
      <c r="T238" s="3">
        <f t="shared" si="87"/>
        <v>1.0828943736275178</v>
      </c>
      <c r="U238" s="3">
        <f t="shared" si="88"/>
        <v>1.0828943736275178</v>
      </c>
      <c r="V238" s="3">
        <f t="shared" si="89"/>
        <v>5.0553579764578416E-2</v>
      </c>
      <c r="W238" s="4"/>
      <c r="X238" s="3">
        <f t="shared" si="90"/>
        <v>-0.83823193507703198</v>
      </c>
      <c r="Y238" s="14">
        <f t="shared" si="91"/>
        <v>-0.72097756093471654</v>
      </c>
      <c r="Z238" s="15">
        <f t="shared" si="92"/>
        <v>-0.73672697583722324</v>
      </c>
      <c r="AA238" s="15">
        <f t="shared" si="93"/>
        <v>0.21866043936451873</v>
      </c>
      <c r="AB238" s="15">
        <f t="shared" si="94"/>
        <v>-0.24361517215455095</v>
      </c>
      <c r="AC238" s="15">
        <f t="shared" si="95"/>
        <v>-0.77683703375571778</v>
      </c>
      <c r="AH238" s="15">
        <f t="shared" si="96"/>
        <v>0.20606852574878989</v>
      </c>
      <c r="AI238" s="15">
        <f t="shared" si="97"/>
        <v>-0.25752006564124869</v>
      </c>
      <c r="AJ238" s="18">
        <f t="shared" si="98"/>
        <v>3.3521640254529457</v>
      </c>
      <c r="AK238">
        <f t="shared" si="99"/>
        <v>1</v>
      </c>
      <c r="AL238">
        <f t="shared" si="100"/>
        <v>0.59662951598251801</v>
      </c>
      <c r="AM238">
        <f t="shared" si="101"/>
        <v>1</v>
      </c>
      <c r="AN238">
        <f t="shared" si="102"/>
        <v>0.20606852574878989</v>
      </c>
      <c r="AO238">
        <f t="shared" si="103"/>
        <v>-0.25752006564124869</v>
      </c>
    </row>
    <row r="239" spans="4:41" x14ac:dyDescent="0.25">
      <c r="D239" s="5">
        <v>41690</v>
      </c>
      <c r="E239" s="6">
        <v>37.020000000000003</v>
      </c>
      <c r="F239" s="6">
        <v>21.63</v>
      </c>
      <c r="G239" s="3">
        <f t="shared" si="81"/>
        <v>0.27412724306688646</v>
      </c>
      <c r="H239" s="3">
        <f t="shared" si="81"/>
        <v>2.5192040721887476E-2</v>
      </c>
      <c r="I239" s="3">
        <f t="shared" si="78"/>
        <v>0.24313344148056912</v>
      </c>
      <c r="J239" s="3">
        <f t="shared" si="79"/>
        <v>-4.4887809934609744E-3</v>
      </c>
      <c r="K239" s="4"/>
      <c r="L239" s="3">
        <f t="shared" si="82"/>
        <v>3.1941284383053818</v>
      </c>
      <c r="M239" s="3">
        <f t="shared" si="83"/>
        <v>1.2522977949259193</v>
      </c>
      <c r="N239" s="3">
        <f t="shared" si="80"/>
        <v>1.2522977949259193</v>
      </c>
      <c r="O239" s="4"/>
      <c r="P239" s="3">
        <f t="shared" si="84"/>
        <v>0.2408632105249213</v>
      </c>
      <c r="Q239" s="3">
        <f t="shared" si="85"/>
        <v>-3.7178326593757943E-3</v>
      </c>
      <c r="R239" s="4"/>
      <c r="S239" s="3">
        <f t="shared" si="86"/>
        <v>3.1225442564945127</v>
      </c>
      <c r="T239" s="3">
        <f t="shared" si="87"/>
        <v>1.2810066636142901</v>
      </c>
      <c r="U239" s="3">
        <f t="shared" si="88"/>
        <v>1.2810066636142901</v>
      </c>
      <c r="V239" s="3">
        <f t="shared" si="89"/>
        <v>-0.11745465103185637</v>
      </c>
      <c r="W239" s="4"/>
      <c r="X239" s="3">
        <f t="shared" si="90"/>
        <v>-0.80844031457838961</v>
      </c>
      <c r="Y239" s="14">
        <f t="shared" si="91"/>
        <v>-8.1396468867836247E-2</v>
      </c>
      <c r="Z239" s="15">
        <f t="shared" si="92"/>
        <v>0.26248620497590169</v>
      </c>
      <c r="AA239" s="15">
        <f t="shared" si="93"/>
        <v>0.24313344148056912</v>
      </c>
      <c r="AB239" s="15">
        <f t="shared" si="94"/>
        <v>-4.4887809934609744E-3</v>
      </c>
      <c r="AC239" s="15">
        <f t="shared" si="95"/>
        <v>-9.6257430038568903E-2</v>
      </c>
      <c r="AH239" s="15">
        <f t="shared" si="96"/>
        <v>0.23054152786484028</v>
      </c>
      <c r="AI239" s="15">
        <f t="shared" si="97"/>
        <v>-1.8393674480158714E-2</v>
      </c>
      <c r="AJ239" s="18">
        <f t="shared" si="98"/>
        <v>0.57732814981991587</v>
      </c>
      <c r="AK239">
        <f t="shared" si="99"/>
        <v>1</v>
      </c>
      <c r="AL239">
        <f t="shared" si="100"/>
        <v>1</v>
      </c>
      <c r="AM239">
        <f t="shared" si="101"/>
        <v>0</v>
      </c>
      <c r="AN239">
        <f t="shared" si="102"/>
        <v>0</v>
      </c>
      <c r="AO239">
        <f t="shared" si="103"/>
        <v>0</v>
      </c>
    </row>
    <row r="240" spans="4:41" x14ac:dyDescent="0.25">
      <c r="D240" s="5">
        <v>41689</v>
      </c>
      <c r="E240" s="6">
        <v>36.78</v>
      </c>
      <c r="F240" s="6">
        <v>21.61</v>
      </c>
      <c r="G240" s="3">
        <f t="shared" si="81"/>
        <v>9.1574931880107027E-2</v>
      </c>
      <c r="H240" s="3">
        <f t="shared" si="81"/>
        <v>-0.1627690892364293</v>
      </c>
      <c r="I240" s="3">
        <f t="shared" si="78"/>
        <v>6.0581130293789677E-2</v>
      </c>
      <c r="J240" s="3">
        <f t="shared" si="79"/>
        <v>-0.19244991095177774</v>
      </c>
      <c r="K240" s="4"/>
      <c r="L240" s="3">
        <f t="shared" si="82"/>
        <v>3.4849140628332331</v>
      </c>
      <c r="M240" s="3">
        <f t="shared" si="83"/>
        <v>1.147804487536775</v>
      </c>
      <c r="N240" s="3">
        <f t="shared" si="80"/>
        <v>1.147804487536775</v>
      </c>
      <c r="O240" s="4"/>
      <c r="P240" s="3">
        <f t="shared" si="84"/>
        <v>5.8310899338141861E-2</v>
      </c>
      <c r="Q240" s="3">
        <f t="shared" si="85"/>
        <v>-0.19167896261769257</v>
      </c>
      <c r="R240" s="4"/>
      <c r="S240" s="3">
        <f t="shared" si="86"/>
        <v>3.3031961383358173</v>
      </c>
      <c r="T240" s="3">
        <f t="shared" si="87"/>
        <v>1.2109483762036726</v>
      </c>
      <c r="U240" s="3">
        <f t="shared" si="88"/>
        <v>1.2109483762036726</v>
      </c>
      <c r="V240" s="3">
        <f t="shared" si="89"/>
        <v>-6.1212763279305804E-2</v>
      </c>
      <c r="W240" s="4"/>
      <c r="X240" s="3">
        <f t="shared" si="90"/>
        <v>-0.80124703848198897</v>
      </c>
      <c r="Y240" s="14">
        <f t="shared" si="91"/>
        <v>-0.29167171425214994</v>
      </c>
      <c r="Z240" s="15">
        <f t="shared" si="92"/>
        <v>-8.6030288612781836E-2</v>
      </c>
      <c r="AA240" s="15">
        <f t="shared" si="93"/>
        <v>6.0581130293789677E-2</v>
      </c>
      <c r="AB240" s="15">
        <f t="shared" si="94"/>
        <v>-0.19244991095177774</v>
      </c>
      <c r="AC240" s="15">
        <f t="shared" si="95"/>
        <v>-0.32745714510062579</v>
      </c>
      <c r="AH240" s="15">
        <f t="shared" si="96"/>
        <v>4.7989216678060838E-2</v>
      </c>
      <c r="AI240" s="15">
        <f t="shared" si="97"/>
        <v>-0.20635480443847548</v>
      </c>
      <c r="AJ240" s="18">
        <f t="shared" si="98"/>
        <v>1.5413316546093383</v>
      </c>
      <c r="AK240">
        <f t="shared" si="99"/>
        <v>1</v>
      </c>
      <c r="AL240">
        <f t="shared" si="100"/>
        <v>1</v>
      </c>
      <c r="AM240">
        <f t="shared" si="101"/>
        <v>0</v>
      </c>
      <c r="AN240">
        <f t="shared" si="102"/>
        <v>0</v>
      </c>
      <c r="AO240">
        <f t="shared" si="103"/>
        <v>0</v>
      </c>
    </row>
    <row r="241" spans="4:41" x14ac:dyDescent="0.25">
      <c r="D241" s="5">
        <v>41688</v>
      </c>
      <c r="E241" s="6">
        <v>36.700000000000003</v>
      </c>
      <c r="F241" s="6">
        <v>21.74</v>
      </c>
      <c r="G241" s="3">
        <f t="shared" si="81"/>
        <v>9.1774986346265075E-2</v>
      </c>
      <c r="H241" s="3">
        <f t="shared" si="81"/>
        <v>-0.17416819012797147</v>
      </c>
      <c r="I241" s="3">
        <f t="shared" si="78"/>
        <v>6.0781184759947725E-2</v>
      </c>
      <c r="J241" s="3">
        <f t="shared" si="79"/>
        <v>-0.20384901184331991</v>
      </c>
      <c r="K241" s="4"/>
      <c r="L241" s="3">
        <f t="shared" si="82"/>
        <v>3.538915338073215</v>
      </c>
      <c r="M241" s="3">
        <f t="shared" si="83"/>
        <v>1.1302898255197666</v>
      </c>
      <c r="N241" s="3">
        <f t="shared" si="80"/>
        <v>1.1302898255197666</v>
      </c>
      <c r="O241" s="4"/>
      <c r="P241" s="3">
        <f t="shared" si="84"/>
        <v>5.8510953804299909E-2</v>
      </c>
      <c r="Q241" s="3">
        <f t="shared" si="85"/>
        <v>-0.20307806350923474</v>
      </c>
      <c r="R241" s="4"/>
      <c r="S241" s="3">
        <f t="shared" si="86"/>
        <v>3.3371814127729751</v>
      </c>
      <c r="T241" s="3">
        <f t="shared" si="87"/>
        <v>1.1986162887909251</v>
      </c>
      <c r="U241" s="3">
        <f t="shared" si="88"/>
        <v>1.1986162887909251</v>
      </c>
      <c r="V241" s="3">
        <f t="shared" si="89"/>
        <v>-5.0976784896628047E-2</v>
      </c>
      <c r="W241" s="4"/>
      <c r="X241" s="3">
        <f t="shared" si="90"/>
        <v>-0.80185916238314814</v>
      </c>
      <c r="Y241" s="14">
        <f t="shared" si="91"/>
        <v>-0.33036113335097067</v>
      </c>
      <c r="Z241" s="15">
        <f t="shared" si="92"/>
        <v>-0.14753786369577104</v>
      </c>
      <c r="AA241" s="15">
        <f t="shared" si="93"/>
        <v>6.0781184759947725E-2</v>
      </c>
      <c r="AB241" s="15">
        <f t="shared" si="94"/>
        <v>-0.20384901184331991</v>
      </c>
      <c r="AC241" s="15">
        <f t="shared" si="95"/>
        <v>-0.36895950160921709</v>
      </c>
      <c r="AH241" s="15">
        <f t="shared" si="96"/>
        <v>4.8189271144218886E-2</v>
      </c>
      <c r="AI241" s="15">
        <f t="shared" si="97"/>
        <v>-0.21775390533001765</v>
      </c>
      <c r="AJ241" s="18">
        <f t="shared" si="98"/>
        <v>1.7057388336317878</v>
      </c>
      <c r="AK241">
        <f t="shared" si="99"/>
        <v>1</v>
      </c>
      <c r="AL241">
        <f t="shared" si="100"/>
        <v>1</v>
      </c>
      <c r="AM241">
        <f t="shared" si="101"/>
        <v>0</v>
      </c>
      <c r="AN241">
        <f t="shared" si="102"/>
        <v>0</v>
      </c>
      <c r="AO241">
        <f t="shared" si="103"/>
        <v>0</v>
      </c>
    </row>
    <row r="242" spans="4:41" x14ac:dyDescent="0.25">
      <c r="D242" s="5">
        <v>41684</v>
      </c>
      <c r="E242" s="6">
        <v>36.619999999999997</v>
      </c>
      <c r="F242" s="6">
        <v>21.88</v>
      </c>
      <c r="G242" s="3">
        <f t="shared" si="81"/>
        <v>1.1475006828733035E-2</v>
      </c>
      <c r="H242" s="3">
        <f t="shared" si="81"/>
        <v>0.35285185185184875</v>
      </c>
      <c r="I242" s="3">
        <f t="shared" si="78"/>
        <v>-1.9518794757584314E-2</v>
      </c>
      <c r="J242" s="3">
        <f t="shared" si="79"/>
        <v>0.32317103013650028</v>
      </c>
      <c r="K242" s="4"/>
      <c r="L242" s="3">
        <f t="shared" si="82"/>
        <v>4.1895899410445576</v>
      </c>
      <c r="M242" s="3">
        <f t="shared" si="83"/>
        <v>0.95474737534879406</v>
      </c>
      <c r="N242" s="3">
        <f t="shared" si="80"/>
        <v>0.95474737534879406</v>
      </c>
      <c r="O242" s="4"/>
      <c r="P242" s="3">
        <f t="shared" si="84"/>
        <v>-2.178902571323213E-2</v>
      </c>
      <c r="Q242" s="3">
        <f t="shared" si="85"/>
        <v>0.32394197847058548</v>
      </c>
      <c r="R242" s="4"/>
      <c r="S242" s="3">
        <f t="shared" si="86"/>
        <v>3.7592796432202116</v>
      </c>
      <c r="T242" s="3">
        <f t="shared" si="87"/>
        <v>1.0640336393207468</v>
      </c>
      <c r="U242" s="3">
        <f t="shared" si="88"/>
        <v>1.0640336393207468</v>
      </c>
      <c r="V242" s="3">
        <f t="shared" si="89"/>
        <v>6.8124109688927348E-2</v>
      </c>
      <c r="W242" s="4"/>
      <c r="X242" s="3">
        <f t="shared" si="90"/>
        <v>-0.84987875633464416</v>
      </c>
      <c r="Y242" s="14">
        <f t="shared" si="91"/>
        <v>-0.78982059518754488</v>
      </c>
      <c r="Z242" s="15">
        <f t="shared" si="92"/>
        <v>-0.82266820179509126</v>
      </c>
      <c r="AA242" s="15">
        <f t="shared" si="93"/>
        <v>-1.9518794757584314E-2</v>
      </c>
      <c r="AB242" s="15">
        <f t="shared" si="94"/>
        <v>0.32317103013650028</v>
      </c>
      <c r="AC242" s="15">
        <f t="shared" si="95"/>
        <v>-0.83785701592497963</v>
      </c>
      <c r="AH242" s="15">
        <f t="shared" si="96"/>
        <v>-3.2110708373313153E-2</v>
      </c>
      <c r="AI242" s="15">
        <f t="shared" si="97"/>
        <v>0.30926613664980257</v>
      </c>
      <c r="AJ242" s="18">
        <f t="shared" si="98"/>
        <v>3.2314966196475314</v>
      </c>
      <c r="AK242">
        <f t="shared" si="99"/>
        <v>1</v>
      </c>
      <c r="AL242">
        <f t="shared" si="100"/>
        <v>0.61890827545354066</v>
      </c>
      <c r="AM242">
        <f t="shared" si="101"/>
        <v>1</v>
      </c>
      <c r="AN242">
        <f t="shared" si="102"/>
        <v>-3.2110708373313153E-2</v>
      </c>
      <c r="AO242">
        <f t="shared" si="103"/>
        <v>0.30926613664980257</v>
      </c>
    </row>
    <row r="243" spans="4:41" x14ac:dyDescent="0.25">
      <c r="D243" s="5">
        <v>41683</v>
      </c>
      <c r="E243" s="6">
        <v>36.61</v>
      </c>
      <c r="F243" s="6">
        <v>21.6</v>
      </c>
      <c r="G243" s="3">
        <f t="shared" si="81"/>
        <v>0.16126679462572044</v>
      </c>
      <c r="H243" s="3">
        <f t="shared" si="81"/>
        <v>-0.68787003610108144</v>
      </c>
      <c r="I243" s="3">
        <f t="shared" si="78"/>
        <v>0.1302729930394031</v>
      </c>
      <c r="J243" s="3">
        <f t="shared" si="79"/>
        <v>-0.71755085781642991</v>
      </c>
      <c r="K243" s="4"/>
      <c r="L243" s="3">
        <f t="shared" si="82"/>
        <v>9.2556416531351697</v>
      </c>
      <c r="M243" s="3">
        <f t="shared" si="83"/>
        <v>0.43216884900087693</v>
      </c>
      <c r="N243" s="3">
        <f t="shared" si="80"/>
        <v>0.43216884900087693</v>
      </c>
      <c r="O243" s="4"/>
      <c r="P243" s="3">
        <f t="shared" si="84"/>
        <v>0.12800276208375527</v>
      </c>
      <c r="Q243" s="3">
        <f t="shared" si="85"/>
        <v>-0.71677990948234471</v>
      </c>
      <c r="R243" s="4"/>
      <c r="S243" s="3">
        <f t="shared" si="86"/>
        <v>6.9480516768663811</v>
      </c>
      <c r="T243" s="3">
        <f t="shared" si="87"/>
        <v>0.57570095704930446</v>
      </c>
      <c r="U243" s="3">
        <f t="shared" si="88"/>
        <v>0.57570095704930446</v>
      </c>
      <c r="V243" s="3">
        <f t="shared" si="89"/>
        <v>0.68238108999807423</v>
      </c>
      <c r="W243" s="4"/>
      <c r="X243" s="3">
        <f t="shared" si="90"/>
        <v>-2.0422913109089045</v>
      </c>
      <c r="Y243" s="14">
        <f t="shared" si="91"/>
        <v>-3.403642175530103</v>
      </c>
      <c r="Z243" s="15">
        <f t="shared" si="92"/>
        <v>-3.9931898458235624</v>
      </c>
      <c r="AA243" s="15">
        <f t="shared" si="93"/>
        <v>0.1302729930394031</v>
      </c>
      <c r="AB243" s="15">
        <f t="shared" si="94"/>
        <v>-0.71755085781642991</v>
      </c>
      <c r="AC243" s="15">
        <f t="shared" si="95"/>
        <v>-3.322799732985013</v>
      </c>
      <c r="AH243" s="15">
        <f t="shared" si="96"/>
        <v>0.11768107942367426</v>
      </c>
      <c r="AI243" s="15">
        <f t="shared" si="97"/>
        <v>-0.73145575130312768</v>
      </c>
      <c r="AJ243" s="18">
        <f t="shared" si="98"/>
        <v>18.627532701049827</v>
      </c>
      <c r="AK243">
        <f t="shared" si="99"/>
        <v>0.69509407642404586</v>
      </c>
      <c r="AL243">
        <f t="shared" si="100"/>
        <v>0.10736795001773275</v>
      </c>
      <c r="AM243">
        <f t="shared" si="101"/>
        <v>1</v>
      </c>
      <c r="AN243">
        <f t="shared" si="102"/>
        <v>0.11768107942367426</v>
      </c>
      <c r="AO243">
        <f t="shared" si="103"/>
        <v>-0.73145575130312768</v>
      </c>
    </row>
    <row r="244" spans="4:41" x14ac:dyDescent="0.25">
      <c r="D244" s="5">
        <v>41682</v>
      </c>
      <c r="E244" s="6">
        <v>36.47</v>
      </c>
      <c r="F244" s="6">
        <v>22.16</v>
      </c>
      <c r="G244" s="3">
        <f t="shared" si="81"/>
        <v>0.3367302377003859</v>
      </c>
      <c r="H244" s="3">
        <f t="shared" si="81"/>
        <v>0.16062641852019849</v>
      </c>
      <c r="I244" s="3">
        <f t="shared" si="78"/>
        <v>0.30573643611406853</v>
      </c>
      <c r="J244" s="3">
        <f t="shared" si="79"/>
        <v>0.13094559680485005</v>
      </c>
      <c r="K244" s="4"/>
      <c r="L244" s="3">
        <f t="shared" si="82"/>
        <v>3.2663547755684434</v>
      </c>
      <c r="M244" s="3">
        <f t="shared" si="83"/>
        <v>1.2246067175308231</v>
      </c>
      <c r="N244" s="3">
        <f t="shared" si="80"/>
        <v>1.2246067175308231</v>
      </c>
      <c r="O244" s="4"/>
      <c r="P244" s="3">
        <f t="shared" si="84"/>
        <v>0.30346620515842071</v>
      </c>
      <c r="Q244" s="3">
        <f t="shared" si="85"/>
        <v>0.13171654513893521</v>
      </c>
      <c r="R244" s="4"/>
      <c r="S244" s="3">
        <f t="shared" si="86"/>
        <v>3.1696101186164789</v>
      </c>
      <c r="T244" s="3">
        <f t="shared" si="87"/>
        <v>1.2619848657430406</v>
      </c>
      <c r="U244" s="3">
        <f t="shared" si="88"/>
        <v>1.2619848657430406</v>
      </c>
      <c r="V244" s="3">
        <f t="shared" si="89"/>
        <v>-0.10249436254161637</v>
      </c>
      <c r="W244" s="4"/>
      <c r="X244" s="3">
        <f t="shared" si="90"/>
        <v>-0.80475301618386785</v>
      </c>
      <c r="Y244" s="14">
        <f t="shared" si="91"/>
        <v>-0.13694652393647161</v>
      </c>
      <c r="Z244" s="15">
        <f t="shared" si="92"/>
        <v>0.17304478805406437</v>
      </c>
      <c r="AA244" s="15">
        <f t="shared" si="93"/>
        <v>0.30573643611406853</v>
      </c>
      <c r="AB244" s="15">
        <f t="shared" si="94"/>
        <v>0.13094559680485005</v>
      </c>
      <c r="AC244" s="15">
        <f t="shared" si="95"/>
        <v>-0.15494305725006058</v>
      </c>
      <c r="AH244" s="15">
        <f t="shared" si="96"/>
        <v>0.29314452249833972</v>
      </c>
      <c r="AI244" s="15">
        <f t="shared" si="97"/>
        <v>0.11704070331815231</v>
      </c>
      <c r="AJ244" s="18">
        <f t="shared" si="98"/>
        <v>0.71479854186902736</v>
      </c>
      <c r="AK244">
        <f t="shared" si="99"/>
        <v>1</v>
      </c>
      <c r="AL244">
        <f t="shared" si="100"/>
        <v>1</v>
      </c>
      <c r="AM244">
        <f t="shared" si="101"/>
        <v>0</v>
      </c>
      <c r="AN244">
        <f t="shared" si="102"/>
        <v>0</v>
      </c>
      <c r="AO244">
        <f t="shared" si="103"/>
        <v>0</v>
      </c>
    </row>
    <row r="245" spans="4:41" x14ac:dyDescent="0.25">
      <c r="D245" s="5">
        <v>41681</v>
      </c>
      <c r="E245" s="6">
        <v>36.18</v>
      </c>
      <c r="F245" s="6">
        <v>22.03</v>
      </c>
      <c r="G245" s="3">
        <f t="shared" si="81"/>
        <v>0.42221105527638125</v>
      </c>
      <c r="H245" s="3">
        <f t="shared" si="81"/>
        <v>-0.13523938572718988</v>
      </c>
      <c r="I245" s="3">
        <f t="shared" si="78"/>
        <v>0.39121725369006388</v>
      </c>
      <c r="J245" s="3">
        <f t="shared" si="79"/>
        <v>-0.16492020744253832</v>
      </c>
      <c r="K245" s="4"/>
      <c r="L245" s="3">
        <f t="shared" si="82"/>
        <v>4.1417897582959986</v>
      </c>
      <c r="M245" s="3">
        <f t="shared" si="83"/>
        <v>0.96576606574199142</v>
      </c>
      <c r="N245" s="3">
        <f t="shared" si="80"/>
        <v>0.96576606574199142</v>
      </c>
      <c r="O245" s="4"/>
      <c r="P245" s="3">
        <f t="shared" si="84"/>
        <v>0.38894702273441606</v>
      </c>
      <c r="Q245" s="3">
        <f t="shared" si="85"/>
        <v>-0.16414925910845315</v>
      </c>
      <c r="R245" s="4"/>
      <c r="S245" s="3">
        <f t="shared" si="86"/>
        <v>3.7245857092938506</v>
      </c>
      <c r="T245" s="3">
        <f t="shared" si="87"/>
        <v>1.0739449464188504</v>
      </c>
      <c r="U245" s="3">
        <f t="shared" si="88"/>
        <v>1.0739449464188504</v>
      </c>
      <c r="V245" s="3">
        <f t="shared" si="89"/>
        <v>5.8852322692981573E-2</v>
      </c>
      <c r="W245" s="4"/>
      <c r="X245" s="3">
        <f t="shared" si="90"/>
        <v>-0.84354319465564576</v>
      </c>
      <c r="Y245" s="14">
        <f t="shared" si="91"/>
        <v>-0.75344774266698344</v>
      </c>
      <c r="Z245" s="15">
        <f t="shared" si="92"/>
        <v>-0.77676876235574732</v>
      </c>
      <c r="AA245" s="15">
        <f t="shared" si="93"/>
        <v>0.39121725369006388</v>
      </c>
      <c r="AB245" s="15">
        <f t="shared" si="94"/>
        <v>-0.16492020744253832</v>
      </c>
      <c r="AC245" s="15">
        <f t="shared" si="95"/>
        <v>-0.80522019422232893</v>
      </c>
      <c r="AH245" s="15">
        <f t="shared" si="96"/>
        <v>0.37862534007433507</v>
      </c>
      <c r="AI245" s="15">
        <f t="shared" si="97"/>
        <v>-0.17882510092923606</v>
      </c>
      <c r="AJ245" s="18">
        <f t="shared" si="98"/>
        <v>3.4288356354304579</v>
      </c>
      <c r="AK245">
        <f t="shared" si="99"/>
        <v>1</v>
      </c>
      <c r="AL245">
        <f t="shared" si="100"/>
        <v>0.58328838493563984</v>
      </c>
      <c r="AM245">
        <f t="shared" si="101"/>
        <v>1</v>
      </c>
      <c r="AN245">
        <f t="shared" si="102"/>
        <v>0.37862534007433507</v>
      </c>
      <c r="AO245">
        <f t="shared" si="103"/>
        <v>-0.17882510092923606</v>
      </c>
    </row>
    <row r="246" spans="4:41" x14ac:dyDescent="0.25">
      <c r="D246" s="5">
        <v>41680</v>
      </c>
      <c r="E246" s="6">
        <v>35.82</v>
      </c>
      <c r="F246" s="6">
        <v>22.14</v>
      </c>
      <c r="G246" s="3">
        <f t="shared" si="81"/>
        <v>0.27148918235459024</v>
      </c>
      <c r="H246" s="3">
        <f t="shared" si="81"/>
        <v>0.1856753069577107</v>
      </c>
      <c r="I246" s="3">
        <f t="shared" si="78"/>
        <v>0.2404953807682729</v>
      </c>
      <c r="J246" s="3">
        <f t="shared" si="79"/>
        <v>0.15599448524236226</v>
      </c>
      <c r="K246" s="4"/>
      <c r="L246" s="3">
        <f t="shared" si="82"/>
        <v>3.2463273038153333</v>
      </c>
      <c r="M246" s="3">
        <f t="shared" si="83"/>
        <v>1.2321616478100939</v>
      </c>
      <c r="N246" s="3">
        <f t="shared" si="80"/>
        <v>1.2321616478100939</v>
      </c>
      <c r="O246" s="4"/>
      <c r="P246" s="3">
        <f t="shared" si="84"/>
        <v>0.23822514981262508</v>
      </c>
      <c r="Q246" s="3">
        <f t="shared" si="85"/>
        <v>0.15676543357644743</v>
      </c>
      <c r="R246" s="4"/>
      <c r="S246" s="3">
        <f t="shared" si="86"/>
        <v>3.1567103001889638</v>
      </c>
      <c r="T246" s="3">
        <f t="shared" si="87"/>
        <v>1.2671419356285423</v>
      </c>
      <c r="U246" s="3">
        <f t="shared" si="88"/>
        <v>1.2671419356285423</v>
      </c>
      <c r="V246" s="3">
        <f t="shared" si="89"/>
        <v>-0.10657246817147303</v>
      </c>
      <c r="W246" s="4"/>
      <c r="X246" s="3">
        <f t="shared" si="90"/>
        <v>-0.80562875352597851</v>
      </c>
      <c r="Y246" s="14">
        <f t="shared" si="91"/>
        <v>-0.12177617700754984</v>
      </c>
      <c r="Z246" s="15">
        <f t="shared" si="92"/>
        <v>0.19764606247781957</v>
      </c>
      <c r="AA246" s="15">
        <f t="shared" si="93"/>
        <v>0.2404953807682729</v>
      </c>
      <c r="AB246" s="15">
        <f t="shared" si="94"/>
        <v>0.15599448524236226</v>
      </c>
      <c r="AC246" s="15">
        <f t="shared" si="95"/>
        <v>-0.13875634093847491</v>
      </c>
      <c r="AH246" s="15">
        <f t="shared" si="96"/>
        <v>0.22790346715254406</v>
      </c>
      <c r="AI246" s="15">
        <f t="shared" si="97"/>
        <v>0.14208959175566452</v>
      </c>
      <c r="AJ246" s="18">
        <f t="shared" si="98"/>
        <v>0.63281822168512614</v>
      </c>
      <c r="AK246">
        <f t="shared" si="99"/>
        <v>1</v>
      </c>
      <c r="AL246">
        <f t="shared" si="100"/>
        <v>1</v>
      </c>
      <c r="AM246">
        <f t="shared" si="101"/>
        <v>0</v>
      </c>
      <c r="AN246">
        <f t="shared" si="102"/>
        <v>0</v>
      </c>
      <c r="AO246">
        <f t="shared" si="103"/>
        <v>0</v>
      </c>
    </row>
    <row r="247" spans="4:41" x14ac:dyDescent="0.25">
      <c r="D247" s="5">
        <v>41677</v>
      </c>
      <c r="E247" s="6">
        <v>35.590000000000003</v>
      </c>
      <c r="F247" s="6">
        <v>21.99</v>
      </c>
      <c r="G247" s="3">
        <f t="shared" si="81"/>
        <v>0.44133162975582596</v>
      </c>
      <c r="H247" s="3">
        <f t="shared" si="81"/>
        <v>0.2246492434662995</v>
      </c>
      <c r="I247" s="3">
        <f t="shared" si="78"/>
        <v>0.41033782816950859</v>
      </c>
      <c r="J247" s="3">
        <f t="shared" si="79"/>
        <v>0.19496842175095105</v>
      </c>
      <c r="K247" s="4"/>
      <c r="L247" s="3">
        <f t="shared" si="82"/>
        <v>3.5151250015443551</v>
      </c>
      <c r="M247" s="3">
        <f t="shared" si="83"/>
        <v>1.1379396175790668</v>
      </c>
      <c r="N247" s="3">
        <f t="shared" si="80"/>
        <v>1.1379396175790668</v>
      </c>
      <c r="O247" s="4"/>
      <c r="P247" s="3">
        <f t="shared" si="84"/>
        <v>0.40806759721386077</v>
      </c>
      <c r="Q247" s="3">
        <f t="shared" si="85"/>
        <v>0.19573937008503622</v>
      </c>
      <c r="R247" s="4"/>
      <c r="S247" s="3">
        <f t="shared" si="86"/>
        <v>3.3284075456130702</v>
      </c>
      <c r="T247" s="3">
        <f t="shared" si="87"/>
        <v>1.2017759079028969</v>
      </c>
      <c r="U247" s="3">
        <f t="shared" si="88"/>
        <v>1.2017759079028969</v>
      </c>
      <c r="V247" s="3">
        <f t="shared" si="89"/>
        <v>-5.3609358372508353E-2</v>
      </c>
      <c r="W247" s="4"/>
      <c r="X247" s="3">
        <f t="shared" si="90"/>
        <v>-0.8016464107934862</v>
      </c>
      <c r="Y247" s="14">
        <f t="shared" si="91"/>
        <v>-0.32039841983590245</v>
      </c>
      <c r="Z247" s="15">
        <f t="shared" si="92"/>
        <v>-0.12055709740163634</v>
      </c>
      <c r="AA247" s="15">
        <f t="shared" si="93"/>
        <v>0.41033782816950859</v>
      </c>
      <c r="AB247" s="15">
        <f t="shared" si="94"/>
        <v>0.19496842175095105</v>
      </c>
      <c r="AC247" s="15">
        <f t="shared" si="95"/>
        <v>-0.350728624478371</v>
      </c>
      <c r="AH247" s="15">
        <f t="shared" si="96"/>
        <v>0.39774591455377978</v>
      </c>
      <c r="AI247" s="15">
        <f t="shared" si="97"/>
        <v>0.18106352826425332</v>
      </c>
      <c r="AJ247" s="18">
        <f t="shared" si="98"/>
        <v>1.4208085456923247</v>
      </c>
      <c r="AK247">
        <f t="shared" si="99"/>
        <v>1</v>
      </c>
      <c r="AL247">
        <f t="shared" si="100"/>
        <v>1</v>
      </c>
      <c r="AM247">
        <f t="shared" si="101"/>
        <v>0</v>
      </c>
      <c r="AN247">
        <f t="shared" si="102"/>
        <v>0</v>
      </c>
      <c r="AO247">
        <f t="shared" si="103"/>
        <v>0</v>
      </c>
    </row>
    <row r="248" spans="4:41" x14ac:dyDescent="0.25">
      <c r="D248" s="5">
        <v>41676</v>
      </c>
      <c r="E248" s="6">
        <v>35.22</v>
      </c>
      <c r="F248" s="6">
        <v>21.81</v>
      </c>
      <c r="G248" s="3">
        <f t="shared" si="81"/>
        <v>0.42166618870089073</v>
      </c>
      <c r="H248" s="3">
        <f t="shared" si="81"/>
        <v>0.6256003752345195</v>
      </c>
      <c r="I248" s="3">
        <f t="shared" si="78"/>
        <v>0.39067238711457336</v>
      </c>
      <c r="J248" s="3">
        <f t="shared" si="79"/>
        <v>0.59591955351917103</v>
      </c>
      <c r="K248" s="4"/>
      <c r="L248" s="3">
        <f t="shared" si="82"/>
        <v>6.1275712420405304</v>
      </c>
      <c r="M248" s="3">
        <f t="shared" si="83"/>
        <v>0.65278718794103618</v>
      </c>
      <c r="N248" s="3">
        <f t="shared" si="80"/>
        <v>0.65278718794103618</v>
      </c>
      <c r="O248" s="4"/>
      <c r="P248" s="3">
        <f t="shared" si="84"/>
        <v>0.38840215615892559</v>
      </c>
      <c r="Q248" s="3">
        <f t="shared" si="85"/>
        <v>0.59669050185325623</v>
      </c>
      <c r="R248" s="4"/>
      <c r="S248" s="3">
        <f t="shared" si="86"/>
        <v>4.9810023156334573</v>
      </c>
      <c r="T248" s="3">
        <f t="shared" si="87"/>
        <v>0.80305122273192542</v>
      </c>
      <c r="U248" s="3">
        <f t="shared" si="88"/>
        <v>0.80305122273192542</v>
      </c>
      <c r="V248" s="3">
        <f t="shared" si="89"/>
        <v>0.34953377038293709</v>
      </c>
      <c r="W248" s="4"/>
      <c r="X248" s="3">
        <f t="shared" si="90"/>
        <v>-1.2250759165845591</v>
      </c>
      <c r="Y248" s="14">
        <f t="shared" si="91"/>
        <v>-1.9397233804967959</v>
      </c>
      <c r="Z248" s="15">
        <f t="shared" si="92"/>
        <v>-2.3434506014544807</v>
      </c>
      <c r="AA248" s="15">
        <f t="shared" si="93"/>
        <v>0.39067238711457336</v>
      </c>
      <c r="AB248" s="15">
        <f t="shared" si="94"/>
        <v>0.59591955351917103</v>
      </c>
      <c r="AC248" s="15">
        <f t="shared" si="95"/>
        <v>-1.9769361942285317</v>
      </c>
      <c r="AH248" s="15">
        <f t="shared" si="96"/>
        <v>0.37808047349884455</v>
      </c>
      <c r="AI248" s="15">
        <f t="shared" si="97"/>
        <v>0.58201466003247326</v>
      </c>
      <c r="AJ248" s="18">
        <f t="shared" si="98"/>
        <v>8.7861295200072522</v>
      </c>
      <c r="AK248">
        <f t="shared" si="99"/>
        <v>1</v>
      </c>
      <c r="AL248">
        <f t="shared" si="100"/>
        <v>0.22763151800183673</v>
      </c>
      <c r="AM248">
        <f t="shared" si="101"/>
        <v>1</v>
      </c>
      <c r="AN248">
        <f t="shared" si="102"/>
        <v>0.37808047349884455</v>
      </c>
      <c r="AO248">
        <f t="shared" si="103"/>
        <v>0.58201466003247326</v>
      </c>
    </row>
    <row r="249" spans="4:41" x14ac:dyDescent="0.25">
      <c r="D249" s="5">
        <v>41675</v>
      </c>
      <c r="E249" s="6">
        <v>34.869999999999997</v>
      </c>
      <c r="F249" s="6">
        <v>21.32</v>
      </c>
      <c r="G249" s="3">
        <f t="shared" si="81"/>
        <v>-0.60557094403618461</v>
      </c>
      <c r="H249" s="3">
        <f t="shared" si="81"/>
        <v>0.23176915799432318</v>
      </c>
      <c r="I249" s="3">
        <f t="shared" si="78"/>
        <v>-0.63656474562250198</v>
      </c>
      <c r="J249" s="3">
        <f t="shared" si="79"/>
        <v>0.20208833627897474</v>
      </c>
      <c r="K249" s="4"/>
      <c r="L249" s="3">
        <f t="shared" si="82"/>
        <v>5.446679326073439</v>
      </c>
      <c r="M249" s="3">
        <f t="shared" si="83"/>
        <v>0.7343924179365332</v>
      </c>
      <c r="N249" s="3">
        <f t="shared" si="80"/>
        <v>0.7343924179365332</v>
      </c>
      <c r="O249" s="4"/>
      <c r="P249" s="3">
        <f t="shared" si="84"/>
        <v>-0.6388349765781498</v>
      </c>
      <c r="Q249" s="3">
        <f t="shared" si="85"/>
        <v>0.20285928461305991</v>
      </c>
      <c r="R249" s="4"/>
      <c r="S249" s="3">
        <f t="shared" si="86"/>
        <v>4.5838883343173666</v>
      </c>
      <c r="T249" s="3">
        <f t="shared" si="87"/>
        <v>0.87262160599635996</v>
      </c>
      <c r="U249" s="3">
        <f t="shared" si="88"/>
        <v>0.87262160599635996</v>
      </c>
      <c r="V249" s="3">
        <f t="shared" si="89"/>
        <v>0.26644769174133387</v>
      </c>
      <c r="W249" s="4"/>
      <c r="X249" s="3">
        <f t="shared" si="90"/>
        <v>-1.0799352960940147</v>
      </c>
      <c r="Y249" s="14">
        <f t="shared" si="91"/>
        <v>-1.5912466644830667</v>
      </c>
      <c r="Z249" s="15">
        <f t="shared" si="92"/>
        <v>-1.8722812496504477</v>
      </c>
      <c r="AA249" s="15">
        <f t="shared" si="93"/>
        <v>-0.63656474562250198</v>
      </c>
      <c r="AB249" s="15">
        <f t="shared" si="94"/>
        <v>0.20208833627897474</v>
      </c>
      <c r="AC249" s="15">
        <f t="shared" si="95"/>
        <v>-1.6125664458823958</v>
      </c>
      <c r="AH249" s="15">
        <f t="shared" si="96"/>
        <v>-0.64915665923823085</v>
      </c>
      <c r="AI249" s="15">
        <f t="shared" si="97"/>
        <v>0.188183442792277</v>
      </c>
      <c r="AJ249" s="18">
        <f t="shared" si="98"/>
        <v>7.004467372354517</v>
      </c>
      <c r="AK249">
        <f t="shared" si="99"/>
        <v>1</v>
      </c>
      <c r="AL249">
        <f t="shared" si="100"/>
        <v>0.28553206028108169</v>
      </c>
      <c r="AM249">
        <f t="shared" si="101"/>
        <v>1</v>
      </c>
      <c r="AN249">
        <f t="shared" si="102"/>
        <v>-0.64915665923823085</v>
      </c>
      <c r="AO249">
        <f t="shared" si="103"/>
        <v>0.188183442792277</v>
      </c>
    </row>
    <row r="250" spans="4:41" x14ac:dyDescent="0.25">
      <c r="D250" s="5">
        <v>41674</v>
      </c>
      <c r="E250" s="6">
        <v>35.380000000000003</v>
      </c>
      <c r="F250" s="6">
        <v>21.14</v>
      </c>
      <c r="G250" s="3">
        <f t="shared" si="81"/>
        <v>-0.15379611377076341</v>
      </c>
      <c r="H250" s="3">
        <f t="shared" si="81"/>
        <v>0.31257416267942839</v>
      </c>
      <c r="I250" s="3">
        <f t="shared" si="78"/>
        <v>-0.18478991535708075</v>
      </c>
      <c r="J250" s="3">
        <f t="shared" si="79"/>
        <v>0.28289334096407992</v>
      </c>
      <c r="K250" s="4"/>
      <c r="L250" s="3">
        <f t="shared" si="82"/>
        <v>4.2800804937216448</v>
      </c>
      <c r="M250" s="3">
        <f t="shared" si="83"/>
        <v>0.93456186299942523</v>
      </c>
      <c r="N250" s="3">
        <f t="shared" si="80"/>
        <v>0.93456186299942523</v>
      </c>
      <c r="O250" s="4"/>
      <c r="P250" s="3">
        <f t="shared" si="84"/>
        <v>-0.18706014631272858</v>
      </c>
      <c r="Q250" s="3">
        <f t="shared" si="85"/>
        <v>0.28366428929816512</v>
      </c>
      <c r="R250" s="4"/>
      <c r="S250" s="3">
        <f t="shared" si="86"/>
        <v>3.8214899484212017</v>
      </c>
      <c r="T250" s="3">
        <f t="shared" si="87"/>
        <v>1.0467121604369383</v>
      </c>
      <c r="U250" s="3">
        <f t="shared" si="88"/>
        <v>1.0467121604369383</v>
      </c>
      <c r="V250" s="3">
        <f t="shared" si="89"/>
        <v>8.4537265598871869E-2</v>
      </c>
      <c r="W250" s="4"/>
      <c r="X250" s="3">
        <f t="shared" si="90"/>
        <v>-0.86212153370163902</v>
      </c>
      <c r="Y250" s="14">
        <f t="shared" si="91"/>
        <v>-0.85445469745668146</v>
      </c>
      <c r="Z250" s="15">
        <f t="shared" si="92"/>
        <v>-0.90814401505697262</v>
      </c>
      <c r="AA250" s="15">
        <f t="shared" si="93"/>
        <v>-0.18478991535708075</v>
      </c>
      <c r="AB250" s="15">
        <f t="shared" si="94"/>
        <v>0.28289334096407992</v>
      </c>
      <c r="AC250" s="15">
        <f t="shared" si="95"/>
        <v>-0.89892193157357703</v>
      </c>
      <c r="AH250" s="15">
        <f t="shared" si="96"/>
        <v>-0.19738182897280959</v>
      </c>
      <c r="AI250" s="15">
        <f t="shared" si="97"/>
        <v>0.26898844747738221</v>
      </c>
      <c r="AJ250" s="18">
        <f t="shared" si="98"/>
        <v>3.5132167980398257</v>
      </c>
      <c r="AK250">
        <f t="shared" si="99"/>
        <v>1</v>
      </c>
      <c r="AL250">
        <f t="shared" si="100"/>
        <v>0.56927884470889634</v>
      </c>
      <c r="AM250">
        <f t="shared" si="101"/>
        <v>1</v>
      </c>
      <c r="AN250">
        <f t="shared" si="102"/>
        <v>-0.19738182897280959</v>
      </c>
      <c r="AO250">
        <f t="shared" si="103"/>
        <v>0.26898844747738221</v>
      </c>
    </row>
    <row r="251" spans="4:41" x14ac:dyDescent="0.25">
      <c r="D251" s="5">
        <v>41673</v>
      </c>
      <c r="E251" s="6">
        <v>35.51</v>
      </c>
      <c r="F251" s="6">
        <v>20.9</v>
      </c>
      <c r="G251" s="3">
        <f t="shared" si="81"/>
        <v>-1.505653000271518</v>
      </c>
      <c r="H251" s="3">
        <f t="shared" si="81"/>
        <v>-0.4483294117647077</v>
      </c>
      <c r="I251" s="3">
        <f t="shared" si="78"/>
        <v>-1.5366468018578354</v>
      </c>
      <c r="J251" s="3">
        <f t="shared" si="79"/>
        <v>-0.47801023348005617</v>
      </c>
      <c r="K251" s="4"/>
      <c r="L251" s="3">
        <f t="shared" si="82"/>
        <v>8.9900430052175899</v>
      </c>
      <c r="M251" s="3">
        <f t="shared" si="83"/>
        <v>0.44493669248061468</v>
      </c>
      <c r="N251" s="3">
        <f t="shared" si="80"/>
        <v>0.44493669248061468</v>
      </c>
      <c r="O251" s="4"/>
      <c r="P251" s="3">
        <f t="shared" si="84"/>
        <v>-1.5389170328134831</v>
      </c>
      <c r="Q251" s="3">
        <f t="shared" si="85"/>
        <v>-0.47723928514597097</v>
      </c>
      <c r="R251" s="4"/>
      <c r="S251" s="3">
        <f t="shared" si="86"/>
        <v>6.8706433360898282</v>
      </c>
      <c r="T251" s="3">
        <f t="shared" si="87"/>
        <v>0.58218711179329696</v>
      </c>
      <c r="U251" s="3">
        <f t="shared" si="88"/>
        <v>0.58218711179329696</v>
      </c>
      <c r="V251" s="3">
        <f t="shared" si="89"/>
        <v>0.67117679186878831</v>
      </c>
      <c r="W251" s="4"/>
      <c r="X251" s="3">
        <f t="shared" si="90"/>
        <v>-2.0094246256081401</v>
      </c>
      <c r="Y251" s="14">
        <f t="shared" si="91"/>
        <v>-3.3527265119354386</v>
      </c>
      <c r="Z251" s="15">
        <f t="shared" si="92"/>
        <v>-3.8767272781914626</v>
      </c>
      <c r="AA251" s="15">
        <f t="shared" si="93"/>
        <v>-1.5366468018578354</v>
      </c>
      <c r="AB251" s="15">
        <f t="shared" si="94"/>
        <v>-0.47801023348005617</v>
      </c>
      <c r="AC251" s="15">
        <f t="shared" si="95"/>
        <v>-3.2245670019928454</v>
      </c>
      <c r="AH251" s="15">
        <f t="shared" si="96"/>
        <v>-1.5492387154735643</v>
      </c>
      <c r="AI251" s="15">
        <f t="shared" si="97"/>
        <v>-0.49191512696675388</v>
      </c>
      <c r="AJ251" s="18">
        <f t="shared" si="98"/>
        <v>18.506760025224619</v>
      </c>
      <c r="AK251">
        <f t="shared" si="99"/>
        <v>0.697358434353755</v>
      </c>
      <c r="AL251">
        <f t="shared" si="100"/>
        <v>0.10806861910318231</v>
      </c>
      <c r="AM251">
        <f t="shared" si="101"/>
        <v>1</v>
      </c>
      <c r="AN251">
        <f t="shared" si="102"/>
        <v>-1.5492387154735643</v>
      </c>
      <c r="AO251">
        <f t="shared" si="103"/>
        <v>-0.49191512696675388</v>
      </c>
    </row>
    <row r="252" spans="4:41" x14ac:dyDescent="0.25">
      <c r="D252" s="5">
        <v>41670</v>
      </c>
      <c r="E252" s="6">
        <v>36.83</v>
      </c>
      <c r="F252" s="6">
        <v>21.25</v>
      </c>
      <c r="G252" s="3">
        <f t="shared" si="81"/>
        <v>1.1123049052396827</v>
      </c>
      <c r="H252" s="3">
        <f t="shared" si="81"/>
        <v>-8.9371482176360581E-2</v>
      </c>
      <c r="I252" s="3">
        <f t="shared" si="78"/>
        <v>1.0813111036533654</v>
      </c>
      <c r="J252" s="3">
        <f t="shared" si="79"/>
        <v>-0.11905230389170904</v>
      </c>
      <c r="K252" s="4"/>
      <c r="L252" s="3">
        <f t="shared" si="82"/>
        <v>7.581173748336802</v>
      </c>
      <c r="M252" s="3">
        <f t="shared" si="83"/>
        <v>0.5276227841206701</v>
      </c>
      <c r="N252" s="3">
        <f t="shared" si="80"/>
        <v>0.5276227841206701</v>
      </c>
      <c r="O252" s="4"/>
      <c r="P252" s="3">
        <f t="shared" si="84"/>
        <v>1.0790408726977176</v>
      </c>
      <c r="Q252" s="3">
        <f t="shared" si="85"/>
        <v>-0.11828135555762385</v>
      </c>
      <c r="R252" s="4"/>
      <c r="S252" s="3">
        <f t="shared" si="86"/>
        <v>5.9420490185101329</v>
      </c>
      <c r="T252" s="3">
        <f t="shared" si="87"/>
        <v>0.67316846218191106</v>
      </c>
      <c r="U252" s="3">
        <f t="shared" si="88"/>
        <v>0.67316846218191106</v>
      </c>
      <c r="V252" s="3">
        <f t="shared" si="89"/>
        <v>0.52596438079310914</v>
      </c>
      <c r="W252" s="4"/>
      <c r="X252" s="3">
        <f t="shared" si="90"/>
        <v>-1.6152214278206838</v>
      </c>
      <c r="Y252" s="14">
        <f t="shared" si="91"/>
        <v>-2.7027986984497918</v>
      </c>
      <c r="Z252" s="15">
        <f t="shared" si="92"/>
        <v>-3.1949288925406947</v>
      </c>
      <c r="AA252" s="15">
        <f t="shared" si="93"/>
        <v>1.0813111036533654</v>
      </c>
      <c r="AB252" s="15">
        <f t="shared" si="94"/>
        <v>-0.11905230389170904</v>
      </c>
      <c r="AC252" s="15">
        <f t="shared" si="95"/>
        <v>-2.6588576200607847</v>
      </c>
      <c r="AH252" s="15">
        <f t="shared" si="96"/>
        <v>1.0687191900376365</v>
      </c>
      <c r="AI252" s="15">
        <f t="shared" si="97"/>
        <v>-0.13295719737840678</v>
      </c>
      <c r="AJ252" s="18">
        <f t="shared" si="98"/>
        <v>13.533192770212111</v>
      </c>
      <c r="AK252">
        <f t="shared" si="99"/>
        <v>0.81549465838250257</v>
      </c>
      <c r="AL252">
        <f t="shared" si="100"/>
        <v>0.14778478618897656</v>
      </c>
      <c r="AM252">
        <f t="shared" si="101"/>
        <v>1</v>
      </c>
      <c r="AN252">
        <f t="shared" si="102"/>
        <v>1.0687191900376365</v>
      </c>
      <c r="AO252">
        <f t="shared" si="103"/>
        <v>-0.13295719737840678</v>
      </c>
    </row>
    <row r="253" spans="4:41" x14ac:dyDescent="0.25">
      <c r="D253" s="5">
        <v>41669</v>
      </c>
      <c r="E253" s="6">
        <v>35.880000000000003</v>
      </c>
      <c r="F253" s="6">
        <v>21.32</v>
      </c>
      <c r="G253" s="3">
        <f t="shared" si="81"/>
        <v>0.23548206278027239</v>
      </c>
      <c r="H253" s="3">
        <f t="shared" si="81"/>
        <v>0.41478095238095275</v>
      </c>
      <c r="I253" s="3">
        <f t="shared" si="78"/>
        <v>0.20448826119395505</v>
      </c>
      <c r="J253" s="3">
        <f t="shared" si="79"/>
        <v>0.38510013066560428</v>
      </c>
      <c r="K253" s="4"/>
      <c r="L253" s="3">
        <f t="shared" si="82"/>
        <v>4.3380339903564913</v>
      </c>
      <c r="M253" s="3">
        <f t="shared" si="83"/>
        <v>0.92207668471294935</v>
      </c>
      <c r="N253" s="3">
        <f t="shared" si="80"/>
        <v>0.92207668471294935</v>
      </c>
      <c r="O253" s="4"/>
      <c r="P253" s="3">
        <f t="shared" si="84"/>
        <v>0.20221803023830723</v>
      </c>
      <c r="Q253" s="3">
        <f t="shared" si="85"/>
        <v>0.38587107899968948</v>
      </c>
      <c r="R253" s="4"/>
      <c r="S253" s="3">
        <f t="shared" si="86"/>
        <v>3.8494565007899877</v>
      </c>
      <c r="T253" s="3">
        <f t="shared" si="87"/>
        <v>1.0391077283712955</v>
      </c>
      <c r="U253" s="3">
        <f t="shared" si="88"/>
        <v>1.0391077283712955</v>
      </c>
      <c r="V253" s="3">
        <f t="shared" si="89"/>
        <v>9.182891418157979E-2</v>
      </c>
      <c r="W253" s="4"/>
      <c r="X253" s="3">
        <f t="shared" si="90"/>
        <v>-0.86797710110688664</v>
      </c>
      <c r="Y253" s="14">
        <f t="shared" si="91"/>
        <v>-0.88326919334088039</v>
      </c>
      <c r="Z253" s="15">
        <f t="shared" si="92"/>
        <v>-0.96194174106905028</v>
      </c>
      <c r="AA253" s="15">
        <f t="shared" si="93"/>
        <v>0.20448826119395505</v>
      </c>
      <c r="AB253" s="15">
        <f t="shared" si="94"/>
        <v>0.38510013066560428</v>
      </c>
      <c r="AC253" s="15">
        <f t="shared" si="95"/>
        <v>-0.9375460779287994</v>
      </c>
      <c r="AH253" s="15">
        <f t="shared" si="96"/>
        <v>0.19189634757822621</v>
      </c>
      <c r="AI253" s="15">
        <f t="shared" si="97"/>
        <v>0.37119523717890657</v>
      </c>
      <c r="AJ253" s="18">
        <f t="shared" si="98"/>
        <v>3.6573726905105257</v>
      </c>
      <c r="AK253">
        <f t="shared" si="99"/>
        <v>1</v>
      </c>
      <c r="AL253">
        <f t="shared" si="100"/>
        <v>0.54684063376675562</v>
      </c>
      <c r="AM253">
        <f t="shared" si="101"/>
        <v>1</v>
      </c>
      <c r="AN253">
        <f t="shared" si="102"/>
        <v>0.19189634757822621</v>
      </c>
      <c r="AO253">
        <f t="shared" si="103"/>
        <v>0.37119523717890657</v>
      </c>
    </row>
    <row r="254" spans="4:41" x14ac:dyDescent="0.25">
      <c r="D254" s="5">
        <v>41668</v>
      </c>
      <c r="E254" s="6">
        <v>35.68</v>
      </c>
      <c r="F254" s="6">
        <v>21</v>
      </c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</row>
  </sheetData>
  <scenarios current="0">
    <scenario name="myfit" count="1" user="Roy DeMeo" comment="Created by Roy DeMeo on 1/31/2015">
      <inputCells r="B43" val="1.17109208431097" numFmtId="164"/>
    </scenario>
  </scenario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 Algorithm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test</cp:lastModifiedBy>
  <dcterms:created xsi:type="dcterms:W3CDTF">2015-01-31T01:18:34Z</dcterms:created>
  <dcterms:modified xsi:type="dcterms:W3CDTF">2017-02-03T01:19:32Z</dcterms:modified>
</cp:coreProperties>
</file>